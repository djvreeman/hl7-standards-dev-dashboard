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8_{B75060F1-CEDB-43E8-B07E-E3007742E52D}" xr6:coauthVersionLast="47" xr6:coauthVersionMax="47" xr10:uidLastSave="{00000000-0000-0000-0000-000000000000}"/>
  <bookViews>
    <workbookView xWindow="-110" yWindow="-110" windowWidth="19420" windowHeight="1150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Receipts'!$A$1:$J$35</definedName>
    <definedName name="ExternalData_2" localSheetId="5" hidden="1">Individual!$A$1:$J$13</definedName>
    <definedName name="ExternalData_2" localSheetId="3" hidden="1">Orgs!$A$1:$J$23</definedName>
    <definedName name="ExternalData_2" localSheetId="7" hidden="1">'Yrs of Membership'!$A$1:$K$34</definedName>
  </definedNames>
  <calcPr calcId="191029"/>
  <pivotCaches>
    <pivotCache cacheId="419" r:id="rId11"/>
    <pivotCache cacheId="422" r:id="rId12"/>
    <pivotCache cacheId="425" r:id="rId13"/>
    <pivotCache cacheId="429" r:id="rId14"/>
    <pivotCache cacheId="433" r:id="rId15"/>
    <pivotCache cacheId="439" r:id="rId16"/>
    <pivotCache cacheId="444" r:id="rId17"/>
    <pivotCache cacheId="448" r:id="rId18"/>
    <pivotCache cacheId="456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I3" i="1" l="1"/>
  <c r="C17" i="6"/>
  <c r="C42" i="8" l="1"/>
  <c r="C12" i="8"/>
  <c r="B13" i="8"/>
  <c r="C13" i="8" s="1"/>
  <c r="G4" i="8"/>
  <c r="M6" i="4"/>
  <c r="C27" i="6"/>
  <c r="M4" i="4"/>
  <c r="G5" i="8"/>
  <c r="M5" i="4"/>
  <c r="C16" i="6"/>
  <c r="H3" i="1"/>
  <c r="G3" i="1"/>
  <c r="C10" i="8"/>
  <c r="G6" i="8"/>
  <c r="G7" i="8" l="1"/>
  <c r="C40" i="8" s="1"/>
  <c r="E12" i="8" l="1"/>
  <c r="B4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<sst xmlns="http://schemas.openxmlformats.org/spreadsheetml/2006/main" count="569" uniqueCount="88">
  <si>
    <t>Consultant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</si>
  <si>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</si>
  <si>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</si>
  <si>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</si>
  <si>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</si>
  <si>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</si>
  <si>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</si>
  <si>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</si>
  <si>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</si>
  <si>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</si>
  <si>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</si>
  <si>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</si>
  <si>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</si>
  <si>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</si>
  <si>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</si>
  <si>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</si>
  <si>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</si>
  <si>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</si>
  <si>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</si>
  <si>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</si>
  <si>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</si>
  <si>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</si>
  <si>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</si>
  <si>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SLI Compliance</t>
  </si>
  <si>
    <t>Firely USA</t>
  </si>
  <si>
    <t>Tennessee Department of Health</t>
  </si>
  <si>
    <t>Flatiron Health</t>
  </si>
  <si>
    <t>Indian Health Service</t>
  </si>
  <si>
    <t>Beata Piehl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</si>
  <si>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</si>
  <si>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</si>
  <si>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</si>
  <si>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</si>
  <si>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</si>
  <si>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</si>
  <si>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</si>
  <si>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</si>
  <si>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</si>
  <si>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</si>
  <si>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</si>
  <si>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</si>
  <si>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</si>
  <si>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</si>
  <si>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</si>
  <si>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</si>
  <si>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</si>
  <si>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</si>
  <si>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</si>
  <si>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</si>
  <si>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</si>
  <si>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</si>
  <si>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</si>
  <si>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</si>
  <si>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</si>
  <si>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</si>
  <si>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</si>
  <si>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New Fields Technologies LLC</t>
  </si>
  <si>
    <t>Sam Schifman Household</t>
  </si>
  <si>
    <t>Tetra Fields LLC</t>
  </si>
  <si>
    <t>pct</t>
  </si>
  <si>
    <t>total</t>
  </si>
  <si>
    <t>Count of pct</t>
  </si>
  <si>
    <t>Column1</t>
  </si>
  <si>
    <t>MedicaSoft</t>
  </si>
  <si>
    <t>Apelon, Inc.</t>
  </si>
  <si>
    <t>Feb</t>
  </si>
  <si>
    <t>Column Labels</t>
  </si>
  <si>
    <t>Patient Centric Solutions</t>
  </si>
  <si>
    <t>Japan</t>
  </si>
  <si>
    <t>CSIRO</t>
  </si>
  <si>
    <t>College of American Pathologists</t>
  </si>
  <si>
    <t>Dennis Loucks Household</t>
  </si>
  <si>
    <t>Donald Kurtz Household</t>
  </si>
  <si>
    <t>Epic</t>
  </si>
  <si>
    <t>First Databank</t>
  </si>
  <si>
    <t>ICF</t>
  </si>
  <si>
    <t>John Moehrke Household</t>
  </si>
  <si>
    <t>MyDirectives</t>
  </si>
  <si>
    <t>Onyx Technology LLC</t>
  </si>
  <si>
    <t>Ryan Lee Household</t>
  </si>
  <si>
    <t>SandwYch, Inc.</t>
  </si>
  <si>
    <t>Sandy Vance Household</t>
  </si>
  <si>
    <t>Srinivasan Parthasarathy Household</t>
  </si>
  <si>
    <t>Toshiaki Kato Household</t>
  </si>
  <si>
    <t>Virginia Department of Health</t>
  </si>
  <si>
    <t>West Virginia Departments of Human Services, Health and Health Facilities</t>
  </si>
  <si>
    <t>Jan</t>
  </si>
  <si>
    <t>2026 Dues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</si>
</sst>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64586.915000000001</c:v>
                </c:pt>
                <c:pt idx="1">
                  <c:v>-2562975.9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FCBCDED-AC50-4C08-8FDF-058CA4D18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0DAED1-1C1E-43FB-AB75-4198AC478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552507-455D-4ECA-973B-59F119D44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A8EE6B-EAB7-4CE9-AC5C-9037494B9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A2A12B-EB9E-478F-8B24-27C90C14C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3CC76BB-EF11-4B21-8F5B-F9753DC9C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5E6514-0BD5-4D0F-9FD8-EBEAFDF38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F3C563E-75CE-4D6B-9338-FCEECF01E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D140A3-A319-477A-8951-4FD7C75CE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D3CA946-AB1E-4111-BEF1-0D96BDD49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BB575D-0923-4FF3-A9A2-203537F45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C30727-DF14-4013-8E67-94AA5853A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BA4F29-4646-4DA3-A7CC-47CA28E0FA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86E9445-C089-4FCA-86C7-10D8172D96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36B46D0-2E27-4D89-98D0-65D6CBBDA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854BF8E-2A3C-4105-B379-6E7918D4E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F119893-4D53-46B6-8C06-75FD24D45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9B2A47F-F4BE-4F21-BBD6-58EA6739E1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E21CD80-0FD0-4100-8AC1-4DDD50BFA5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D00D239-8F8B-40D6-A948-4C82D3A7CF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A-4F57-8F6D-EBA73316E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A-4F57-8F6D-EBA73316E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A-4F57-8F6D-EBA73316EFAA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A849DD23-77B1-4B97-BF4F-916467C61CA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289572B-08C7-4510-BE26-31AA4CB4AAA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EC071930-3C50-40A5-B97C-8DD8755B0AD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F0A-4F57-8F6D-EBA73316EFAA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B5F784D9-8A14-421A-9438-3EC0C7B4C3A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76CBC05-E075-4BA1-A4FB-C550835F745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0F3B5E85-FBCB-4E66-BA7D-4FB1E643191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F0A-4F57-8F6D-EBA73316EFAA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BA22D6D6-4B93-42E1-85BF-D74353D9842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F8BFF2-476F-4A89-9141-B2FCF732F26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638A68F0-9794-4549-B8D9-85365910899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F0A-4F57-8F6D-EBA73316E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9300</c:v>
                </c:pt>
                <c:pt idx="1">
                  <c:v>9300</c:v>
                </c:pt>
                <c:pt idx="2">
                  <c:v>110573.83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F0A-4F57-8F6D-EBA73316E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2FFD448C-1D0A-4FB1-8EAD-E972E5FA452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B42239D-3DAF-4390-A51C-D866845E579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EF4C476D-E633-45A1-BE15-FA993BD4E26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89BF4E1B-6151-41F6-9EF2-25233EE3F05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F4C0D4-C140-49FB-BC8A-3F3EB1527E9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9984F734-33B1-4E3D-9819-25883C11FB8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8B3A97A4-AAAC-4812-8195-F846BCDFFF4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B183CD3-5C4D-405B-916B-7A4DC8ABCFB3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B3B02B7-044F-48B8-A8FA-7E48A20FF5C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9300</c:v>
                </c:pt>
                <c:pt idx="1">
                  <c:v>9300</c:v>
                </c:pt>
                <c:pt idx="2">
                  <c:v>110573.83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72A645B-0D9E-40F7-9D23-1F65D1B61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A844A9-8B3C-4A9C-B8BB-2ECAAB0A3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74FA1A-8C67-49F6-9459-D9C4CA432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956854-9D18-4099-8F89-80215902E7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30CA2F-DBBB-4BA4-864D-CA354A313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67A5FA-797C-4D6E-BD75-2DD237C00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70551D-0116-40BF-900D-8A982C534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A81C926-7104-4D6D-816F-4E7415564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2D7D697-82F9-4967-B4E8-77010F6F0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F62C26-C3DD-412B-96E3-9BF5CA9D1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6E9C37C-2CDB-405E-9662-37980A43B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1497B67-C940-4DA9-A695-B077B6955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DCBCDF5-5E4E-476E-AFE3-C4B9C4DBC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2E638BA-A18F-4A78-A9B3-22B61B0DB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51E49A1-D60D-4A74-B522-311D58943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C8D97B-0B36-4A5B-A857-A6F589F05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77BF2C8-0117-4770-A665-56CDFF79A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3F085E2-FB0C-47A0-A1BC-BF8AD1453F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C1EF321-C51B-4436-B5B0-F061A251B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28477.51</c:v>
                </c:pt>
                <c:pt idx="2">
                  <c:v>0</c:v>
                </c:pt>
                <c:pt idx="3" formatCode="&quot;$&quot;#,##0.00_);[Red]\(&quot;$&quot;#,##0.00\)">
                  <c:v>284775.09999999998</c:v>
                </c:pt>
                <c:pt idx="4" formatCode="&quot;$&quot;#,##0.00_);[Red]\(&quot;$&quot;#,##0.00\)">
                  <c:v>284775.09999999998</c:v>
                </c:pt>
                <c:pt idx="5" formatCode="&quot;$&quot;#,##0.00_);[Red]\(&quot;$&quot;#,##0.00\)">
                  <c:v>284775.09999999998</c:v>
                </c:pt>
                <c:pt idx="6" formatCode="&quot;$&quot;#,##0.00_);[Red]\(&quot;$&quot;#,##0.00\)">
                  <c:v>284775.09999999998</c:v>
                </c:pt>
                <c:pt idx="7" formatCode="&quot;$&quot;#,##0.00_);[Red]\(&quot;$&quot;#,##0.00\)">
                  <c:v>284775.09999999998</c:v>
                </c:pt>
                <c:pt idx="8" formatCode="&quot;$&quot;#,##0.00_);[Red]\(&quot;$&quot;#,##0.00\)">
                  <c:v>284775.09999999998</c:v>
                </c:pt>
                <c:pt idx="9" formatCode="&quot;$&quot;#,##0.00_);[Red]\(&quot;$&quot;#,##0.00\)">
                  <c:v>284775.09999999998</c:v>
                </c:pt>
                <c:pt idx="10" formatCode="&quot;$&quot;#,##0.00_);[Red]\(&quot;$&quot;#,##0.00\)">
                  <c:v>284775.09999999998</c:v>
                </c:pt>
                <c:pt idx="11" formatCode="&quot;$&quot;#,##0.00_);[Red]\(&quot;$&quot;#,##0.00\)">
                  <c:v>284775.09999999998</c:v>
                </c:pt>
                <c:pt idx="12" formatCode="&quot;$&quot;#,##0.00_);[Red]\(&quot;$&quot;#,##0.00\)">
                  <c:v>284775.09999999998</c:v>
                </c:pt>
                <c:pt idx="13" formatCode="&quot;$&quot;#,##0.00_);[Red]\(&quot;$&quot;#,##0.00\)">
                  <c:v>284775.09999999998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284775.09999999998</c:v>
                </c:pt>
                <c:pt idx="1">
                  <c:v>284775.09999999998</c:v>
                </c:pt>
                <c:pt idx="2">
                  <c:v>284775.09999999998</c:v>
                </c:pt>
                <c:pt idx="3">
                  <c:v>284775.09999999998</c:v>
                </c:pt>
                <c:pt idx="4">
                  <c:v>284775.09999999998</c:v>
                </c:pt>
                <c:pt idx="5">
                  <c:v>284775.09999999998</c:v>
                </c:pt>
                <c:pt idx="6">
                  <c:v>284775.09999999998</c:v>
                </c:pt>
                <c:pt idx="7">
                  <c:v>284775.09999999998</c:v>
                </c:pt>
                <c:pt idx="8">
                  <c:v>284775.09999999998</c:v>
                </c:pt>
                <c:pt idx="9">
                  <c:v>284775.09999999998</c:v>
                </c:pt>
                <c:pt idx="10">
                  <c:v>284775.09999999998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64586.915000000001</c:v>
                </c:pt>
                <c:pt idx="1">
                  <c:v>30000</c:v>
                </c:pt>
                <c:pt idx="2" formatCode="&quot;$&quot;#,##0_);[Red]\(&quot;$&quot;#,##0\)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64586.915000000001</c:v>
                </c:pt>
                <c:pt idx="1">
                  <c:v>64586.915000000001</c:v>
                </c:pt>
                <c:pt idx="2" formatCode="&quot;$&quot;#,##0_);[Red]\(&quot;$&quot;#,##0\)">
                  <c:v>-2562975.9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64586.915000000001</c:v>
                </c:pt>
                <c:pt idx="1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0E855D6-0703-4B6D-BC56-0B8961430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13B090-E5F6-4C62-ACAB-7FA46EEE6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662838-2031-4B10-8B02-DD610CA18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019ADB-1130-4E78-9CE7-394DA19633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1F1264-E3F5-4083-A7FF-22E05A58A3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6FDB84-97D9-4AC4-9128-8C82246A0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F0A205-FC1D-4E39-8D10-6D426AB87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65E287-5604-4056-A276-E0066D651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144E15-E345-4474-B11E-B710D3CCC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C2642E-B1B2-4D09-BDBC-8D1235E3D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F967EC-0742-4BAA-B9F9-3E37E637D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7156AD-F202-4ACA-9CA6-980817124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12AD2CE-DC59-4660-8F1D-1CD2271CF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D1A1A93-161D-4641-91BF-CDDD2EC7F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9198A35-01A6-4D3E-BED7-B44C221FC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68C9171-0B62-46C1-9C48-EE9A71AAE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528DCAC-0CFB-40EE-820C-2CB7CD36B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C99CD2-D318-4EA7-8915-E3849D395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7A4FC3A-75EE-4385-BBF2-2D643C488E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A5498F6-C6EA-47B6-976E-95C289572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[2026_Membership_Revenues_Jan2026_No_Affiliate.xlsx]Org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393810148731433E-2"/>
              <c:y val="1.447834645669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552384076990383E-2"/>
              <c:y val="-4.88192621755613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-2.5393810148731433E-2"/>
                  <c:y val="1.4478346456692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7.1552384076990383E-2"/>
                  <c:y val="-4.88192621755613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38100</c:v>
                </c:pt>
                <c:pt idx="1">
                  <c:v>9898.7900000000009</c:v>
                </c:pt>
                <c:pt idx="2">
                  <c:v>62575.040000000001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[2026_Membership_Revenues_Jan2026_No_Affiliate.xlsx]Ind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'Ind Revenues'!$B$4:$B$6</c:f>
              <c:numCache>
                <c:formatCode>_("$"* #,##0.00_);_("$"* \(#,##0.00\);_("$"* "-"??_);_(@_)</c:formatCode>
                <c:ptCount val="2"/>
                <c:pt idx="0">
                  <c:v>8525</c:v>
                </c:pt>
                <c:pt idx="1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[2026_Membership_Revenues_Jan2026_No_Affiliate.xlsx]Yrs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Membership'!$M$7:$M$12</c:f>
              <c:strCache>
                <c:ptCount val="5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</c:strCache>
            </c:strRef>
          </c:cat>
          <c:val>
            <c:numRef>
              <c:f>'Yrs of Membership'!$N$7:$N$12</c:f>
              <c:numCache>
                <c:formatCode>General</c:formatCode>
                <c:ptCount val="5"/>
                <c:pt idx="0">
                  <c:v>15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[2026_Membership_Revenues_Jan2026_No_Affiliate.xlsx]draft_mem_goal_work!PivotTable3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CF8A9D4-A390-445F-97A5-CA67F37E81D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27EC955-46E2-452E-93FF-3E8D5D91583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9F87B77-77EF-4CB5-A9A5-A0542D6187A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5E8A36F-09A3-41EF-8B1A-E5EF0C3EC03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127D5D4-072D-40EC-B9B2-171559F8901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426FC3B-0949-4AB2-95CB-D075809E422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BE1C696-3AEE-491D-85D5-B46F28AC8EA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B657FCD-46A0-4A15-BEA7-C31DF651270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DE956BA-2A16-47C0-8664-AFDA42A10BF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F3127A6-8712-4F94-9725-545222BCF66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98BA20D-C903-40C0-B930-07A175521C0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6E7483F-AEA5-4A92-BF95-4FD7A715943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328D217-3F92-49C1-A169-92FB1CDB692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16819C0-2F65-453B-9686-2C5C96F1F5D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5058F7F-FFC5-44B9-BFDA-B9600E5D8E5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37F117-19C6-4A20-9C7A-0A649C411D2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C24F0BE-8455-4968-AD5D-A671404D494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1CE11E4-3433-40D4-8AFA-D7EA1AD4D1B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802CA84-F78E-4E9B-BDEF-66587E30200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DF577F-89DB-4A46-9D27-BBCC8B65445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CF8A9D4-A390-445F-97A5-CA67F37E8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7EC955-46E2-452E-93FF-3E8D5D915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F87B77-77EF-4CB5-A9A5-A0542D618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E8A36F-09A3-41EF-8B1A-E5EF0C3EC0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27D5D4-072D-40EC-B9B2-171559F89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26FC3B-0949-4AB2-95CB-D075809E4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BE1C696-3AEE-491D-85D5-B46F28AC8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657FCD-46A0-4A15-BEA7-C31DF6512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E956BA-2A16-47C0-8664-AFDA42A10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3127A6-8712-4F94-9725-545222BCF6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98BA20D-C903-40C0-B930-07A175521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6E7483F-AEA5-4A92-BF95-4FD7A7159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28D217-3F92-49C1-A169-92FB1CDB6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16819C0-2F65-453B-9686-2C5C96F1F5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5058F7F-FFC5-44B9-BFDA-B9600E5D8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D37F117-19C6-4A20-9C7A-0A649C411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C24F0BE-8455-4968-AD5D-A671404D49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1CE11E4-3433-40D4-8AFA-D7EA1AD4D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802CA84-F78E-4E9B-BDEF-66587E302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EDF577F-89DB-4A46-9D27-BBCC8B654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- 2026 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21</xdr:col>
      <xdr:colOff>502355</xdr:colOff>
      <xdr:row>1</xdr:row>
      <xdr:rowOff>67028</xdr:rowOff>
    </xdr:from>
    <xdr:to>
      <xdr:col>24</xdr:col>
      <xdr:colOff>534104</xdr:colOff>
      <xdr:row>3</xdr:row>
      <xdr:rowOff>47978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13244688" y="250472"/>
          <a:ext cx="1852083" cy="3478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$129,174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$129,174, 5%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1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5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16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12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73750" y="35179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0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486833</xdr:colOff>
      <xdr:row>2</xdr:row>
      <xdr:rowOff>155222</xdr:rowOff>
    </xdr:from>
    <xdr:to>
      <xdr:col>21</xdr:col>
      <xdr:colOff>317500</xdr:colOff>
      <xdr:row>23</xdr:row>
      <xdr:rowOff>77611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D762BD-5EB8-4A13-9E47-4FF5D858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$129,174</a:t>
          </a:fld>
          <a:endParaRPr lang="en-US" sz="14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218722</xdr:colOff>
      <xdr:row>8</xdr:row>
      <xdr:rowOff>77610</xdr:rowOff>
    </xdr:from>
    <xdr:to>
      <xdr:col>9</xdr:col>
      <xdr:colOff>1029405</xdr:colOff>
      <xdr:row>26</xdr:row>
      <xdr:rowOff>96659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$129,174, 5%</a:t>
          </a:fld>
          <a:endParaRPr lang="en-US" sz="1400" kern="1200"/>
        </a:p>
      </xdr:txBody>
    </xdr:sp>
    <xdr:clientData/>
  </xdr:twoCellAnchor>
  <xdr:twoCellAnchor>
    <xdr:from>
      <xdr:col>0</xdr:col>
      <xdr:colOff>2455333</xdr:colOff>
      <xdr:row>47</xdr:row>
      <xdr:rowOff>112889</xdr:rowOff>
    </xdr:from>
    <xdr:to>
      <xdr:col>6</xdr:col>
      <xdr:colOff>620888</xdr:colOff>
      <xdr:row>67</xdr:row>
      <xdr:rowOff>141109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$129,174</a:t>
          </a:fld>
          <a:endParaRPr lang="en-US" sz="14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$9,300</a:t>
          </a:fld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55.447210185186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55.44721111111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55.447214236112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3">
        <s v="Consultant"/>
        <s v="Government/Professional Associations/Academic Institution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699074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814812" createdVersion="8" refreshedVersion="8" minRefreshableVersion="3" recordCount="33" xr:uid="{6531C421-DFCF-4ADD-A59F-D7283A494ABE}">
  <cacheSource type="worksheet">
    <worksheetSource name="Yrs_of_Membership"/>
  </cacheSource>
  <cacheFields count="11">
    <cacheField name="Account Name" numFmtId="0">
      <sharedItems/>
    </cacheField>
    <cacheField name="Total" numFmtId="0">
      <sharedItems containsSemiMixedTypes="0" containsString="0" containsNumber="1" minValue="460.04" maxValue="38100"/>
    </cacheField>
    <cacheField name="Posted Date" numFmtId="14">
      <sharedItems containsSemiMixedTypes="0" containsNonDate="0" containsDate="1" containsString="0" minDate="2026-01-05T00:00:00" maxDate="2026-02-03T00:00:00"/>
    </cacheField>
    <cacheField name="Receipt Number" numFmtId="0">
      <sharedItems containsSemiMixedTypes="0" containsString="0" containsNumber="1" containsInteger="1" minValue="18359" maxValue="18845"/>
    </cacheField>
    <cacheField name="Receipt Line ID" numFmtId="0">
      <sharedItems containsSemiMixedTypes="0" containsString="0" containsNumber="1" containsInteger="1" minValue="44215" maxValue="44817"/>
    </cacheField>
    <cacheField name="Member Since" numFmtId="14">
      <sharedItems containsSemiMixedTypes="0" containsNonDate="0" containsDate="1" containsString="0" minDate="1998-01-01T00:00:00" maxDate="2026-01-02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/>
    </cacheField>
    <cacheField name="Paid_Month" numFmtId="0">
      <sharedItems containsSemiMixedTypes="0" containsString="0" containsNumber="1" containsInteger="1" minValue="1" maxValue="2"/>
    </cacheField>
    <cacheField name="Years Member" numFmtId="0">
      <sharedItems containsBlank="1" count="6">
        <s v="1 Year"/>
        <s v="2 to 5 Years"/>
        <s v="6 to 10 Years"/>
        <s v="11 to 15 Years"/>
        <s v="Over 15 Year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930558" createdVersion="8" refreshedVersion="8" minRefreshableVersion="3" recordCount="34" xr:uid="{FE16941C-3309-4ACA-9454-7344CD00A789}">
  <cacheSource type="worksheet">
    <worksheetSource name="Accounts_with_Mem_and_Receipts"/>
  </cacheSource>
  <cacheFields count="12">
    <cacheField name="Account Name" numFmtId="0">
      <sharedItems count="460">
        <s v="Apelon, Inc."/>
        <s v="Beata Piehl Household"/>
        <s v="Bellese Technologies"/>
        <s v="CSIRO"/>
        <s v="College of American Pathologists"/>
        <s v="Dennis Loucks Household"/>
        <s v="Donald Kurtz Household"/>
        <s v="Epic"/>
        <s v="Firely USA"/>
        <s v="First Databank"/>
        <s v="Flatiron Health"/>
        <s v="ICF"/>
        <s v="Indian Health Service"/>
        <s v="John Moehrke Household"/>
        <s v="KlearTrust"/>
        <s v="MedicaSoft"/>
        <s v="MyDirectives"/>
        <s v="National Association of Dental Plans"/>
        <s v="New Fields Technologies LLC"/>
        <s v="Onyx Technology LLC"/>
        <s v="Patient Centric Solutions"/>
        <s v="Professional Laboratory Management, Inc."/>
        <s v="Ryan Lee Household"/>
        <s v="SLI Compliance"/>
        <s v="Sam Schifman Household"/>
        <s v="SandwYch, Inc."/>
        <s v="Sandy Vance Household"/>
        <s v="Srinivasan Parthasarathy Household"/>
        <s v="Tennessee Department of Health"/>
        <s v="Tetra Fields LLC"/>
        <s v="Toshiaki Kato Household"/>
        <s v="Virginia Department of Health"/>
        <s v="West Virginia Departments of Human Services, Health and Health Facilities"/>
        <s v="1upHealth" u="1"/>
        <s v="AEGIS.net, Inc." u="1"/>
        <s v="AM Operating LLC" u="1"/>
        <s v="ARUP Laboratories, Inc." u="1"/>
        <s v="Abigail Watson Household" u="1"/>
        <s v="Academy of Nutrition &amp; Dietetics" u="1"/>
        <s v="Accenture" u="1"/>
        <s v="Acre Security" u="1"/>
        <s v="Adam Culbertson Household" u="1"/>
        <s v="Agence du Numérique en Santé (ANS)" u="1"/>
        <s v="Agence eSante Luxembourg" u="1"/>
        <s v="Alabama Department of Public Health" u="1"/>
        <s v="Alex Dzeda Household" u="1"/>
        <s v="Alliance Health" u="1"/>
        <s v="Alphora" u="1"/>
        <s v="Altarum" u="1"/>
        <s v="American Academy of Neurology" u="1"/>
        <s v="American College of Physicians" u="1"/>
        <s v="American College of Radiology" u="1"/>
        <s v="American Dental Association" u="1"/>
        <s v="American Heart Association" u="1"/>
        <s v="American Hospital Association" u="1"/>
        <s v="American Medical Association" u="1"/>
        <s v="Anand Raghavan Household" u="1"/>
        <s v="Andrea Fourquet Household" u="1"/>
        <s v="Andrew Zurn Household" u="1"/>
        <s v="Aneesh Chopra Household" u="1"/>
        <s v="Anna Taylor Household" u="1"/>
        <s v="Apple Inc." u="1"/>
        <s v="Applied PilotFish Healthcare Integration" u="1"/>
        <s v="Applied Research Works" u="1"/>
        <s v="ArcheSys Inc." u="1"/>
        <s v="Arkansas Children's Hospital" u="1"/>
        <s v="Availity LLC" u="1"/>
        <s v="Azuba Corporation" u="1"/>
        <s v="Ben Allegretti Consulting" u="1"/>
        <s v="Benedictine Health System" u="1"/>
        <s v="Best Option Healthcare PR" u="1"/>
        <s v="Bill G Lakenan Household" u="1"/>
        <s v="Black Duck Software Oy" u="1"/>
        <s v="Blessing Hospital" u="1"/>
        <s v="Blue Cross Blue Shield Association" u="1"/>
        <s v="Blue Cross Blue Shield of South Carolina" u="1"/>
        <s v="Blue Cross and Blue Shield of Kansas" u="1"/>
        <s v="BlueCross BlueShield of Alabama" u="1"/>
        <s v="BlueCross BlueShield of Tennessee" u="1"/>
        <s v="Boston Medical Center" u="1"/>
        <s v="Brad Genereaux Household" u="1"/>
        <s v="Brian Handspicker Household" u="1"/>
        <s v="Brian Pech Household" u="1"/>
        <s v="By Light Professional IT Services LLC" u="1"/>
        <s v="CA Department of Public Health" u="1"/>
        <s v="CAL2CAL Corporation" u="1"/>
        <s v="CDISC" u="1"/>
        <s v="CRISP Shared Services" u="1"/>
        <s v="CU Anschutz Medical Campus" u="1"/>
        <s v="CVS Health" u="1"/>
        <s v="CYSNET LLC" u="1"/>
        <s v="Cambia Health Solutions" u="1"/>
        <s v="Carasent AB" u="1"/>
        <s v="CareQuest Institute for Oral Health" u="1"/>
        <s v="Caristix" u="1"/>
        <s v="Carradora Health, Inc." u="1"/>
        <s v="Catherine Chronaki Household" u="1"/>
        <s v="Cedar Cares, Inc." u="1"/>
        <s v="Cedars-Sinai Medical Center" u="1"/>
        <s v="Centers for Medicare &amp; Medicaid Services" u="1"/>
        <s v="Centrum e-Zdrowia (e-Health Centre)" u="1"/>
        <s v="Chad Albert Household" u="1"/>
        <s v="Children's Hospital of Philadelphia" u="1"/>
        <s v="Children's Mercy Hospitals and Clinics" u="1"/>
        <s v="Chris Millet Household" u="1"/>
        <s v="Clinical Architecture LLC" u="1"/>
        <s v="Clinicomp, Intl" u="1"/>
        <s v="Cloud Software Group" u="1"/>
        <s v="Coditas Solutions LLP" u="1"/>
        <s v="Cognizant" u="1"/>
        <s v="Computable Publishing LLC" u="1"/>
        <s v="Computrition, Inc." u="1"/>
        <s v="Concentra" u="1"/>
        <s v="Connecticut Department of Public Health" u="1"/>
        <s v="Contexture" u="1"/>
        <s v="Cotiviti" u="1"/>
        <s v="Council of State and Territorial Epidemiologists" u="1"/>
        <s v="CyncHealth" u="1"/>
        <s v="Daniel Allen Household" u="1"/>
        <s v="Daniel Ries Household" u="1"/>
        <s v="Danielle Leighton Household" u="1"/>
        <s v="Dataware Sdn Bhd" u="1"/>
        <s v="Davera Gabriel Household" u="1"/>
        <s v="Deer Creek Pharmacy Services" u="1"/>
        <s v="Deloitte Consulting LLP" u="1"/>
        <s v="Digital HIE Inc" u="1"/>
        <s v="DirectTrust" u="1"/>
        <s v="Dmitry Maslennikov Household" u="1"/>
        <s v="Dogwood Health Consulting Inc." u="1"/>
        <s v="Doug DeShazo Household" u="1"/>
        <s v="Drummond Group" u="1"/>
        <s v="Dynamic Health IT, Inc." u="1"/>
        <s v="EMI Advisors LLC" u="1"/>
        <s v="EMR Direct" u="1"/>
        <s v="Ed Donaldson Household" u="1"/>
        <s v="Eden Muinamo Household" u="1"/>
        <s v="Elba Peralta-Cole Household" u="1"/>
        <s v="Elevance Health" u="1"/>
        <s v="Elimu Informatics Inc." u="1"/>
        <s v="EnableCare LLC" u="1"/>
        <s v="Envi" u="1"/>
        <s v="European Medicines Agency" u="1"/>
        <s v="Eva Keeling Household" u="1"/>
        <s v="Evernorth" u="1"/>
        <s v="Fabian Merges Household" u="1"/>
        <s v="Florida Department of Health" u="1"/>
        <s v="Floyd Eisenberg Household" u="1"/>
        <s v="Food and Drug Administration" u="1"/>
        <s v="Frank McKinney Group LLC" u="1"/>
        <s v="Frost Systems" u="1"/>
        <s v="GE Healthcare" u="1"/>
        <s v="GTRI at GT" u="1"/>
        <s v="Gail Winters Household" u="1"/>
        <s v="Gary Blatt Household" u="1"/>
        <s v="Gary Dickinson Household" u="1"/>
        <s v="Gaurav Pradhan Household" u="1"/>
        <s v="Gay Dolin Household" u="1"/>
        <s v="GigaTECH LLC" u="1"/>
        <s v="Goldbelt" u="1"/>
        <s v="GoodRx" u="1"/>
        <s v="Google" u="1"/>
        <s v="Gravity Project" u="1"/>
        <s v="Greenway Health" u="1"/>
        <s v="HF Management Services" u="1"/>
        <s v="HIMSS" u="1"/>
        <s v="HL7 Argentina" u="1"/>
        <s v="HL7 Australia" u="1"/>
        <s v="HL7 Austria" u="1"/>
        <s v="HL7 Belgium" u="1"/>
        <s v="HL7 Brazil" u="1"/>
        <s v="HL7 Canada" u="1"/>
        <s v="HL7 Chile" u="1"/>
        <s v="HL7 China" u="1"/>
        <s v="HL7 Colombia" u="1"/>
        <s v="HL7 Croatia" u="1"/>
        <s v="HL7 Czech Republic" u="1"/>
        <s v="HL7 Denmark" u="1"/>
        <s v="HL7 Finland" u="1"/>
        <s v="HL7 France" u="1"/>
        <s v="HL7 Germany" u="1"/>
        <s v="HL7 Greece" u="1"/>
        <s v="HL7 Hong Kong" u="1"/>
        <s v="HL7 India" u="1"/>
        <s v="HL7 Italy" u="1"/>
        <s v="HL7 Japan" u="1"/>
        <s v="HL7 Korea" u="1"/>
        <s v="HL7 Mexico" u="1"/>
        <s v="HL7 Netherlands" u="1"/>
        <s v="HL7 New Zealand" u="1"/>
        <s v="HL7 Norway" u="1"/>
        <s v="HL7 Philippines" u="1"/>
        <s v="HL7 Poland" u="1"/>
        <s v="HL7 Portugal" u="1"/>
        <s v="HL7 Romania" u="1"/>
        <s v="HL7 Russia" u="1"/>
        <s v="HL7 Saudi Arabia" u="1"/>
        <s v="HL7 Slovakia" u="1"/>
        <s v="HL7 Slovenia" u="1"/>
        <s v="HL7 Spain" u="1"/>
        <s v="HL7 Sweden" u="1"/>
        <s v="HL7 Switzerland" u="1"/>
        <s v="HL7 Taiwan" u="1"/>
        <s v="HL7 UAE" u="1"/>
        <s v="HL7 UK" u="1"/>
        <s v="HL7 Ukraine" u="1"/>
        <s v="HLN Consulting, LLC" u="1"/>
        <s v="Harkarandeep Singh Bhandal Household" u="1"/>
        <s v="Hausam Consulting LLC" u="1"/>
        <s v="Health Care Service Corporation" u="1"/>
        <s v="Health Chain" u="1"/>
        <s v="Health Gorilla" u="1"/>
        <s v="Health and Welfare Information Systems Centre" u="1"/>
        <s v="HealthLX" u="1"/>
        <s v="HealthTrio, LLC" u="1"/>
        <s v="Healthcare Logistics Ltd" u="1"/>
        <s v="Healthmap Solutions" u="1"/>
        <s v="Holistic Healthcare Solutions, LLC." u="1"/>
        <s v="Humana Inc." u="1"/>
        <s v="Humanized Health Consulting" u="1"/>
        <s v="ICH" u="1"/>
        <s v="ICHOM" u="1"/>
        <s v="INDRANEEL BODDU Household" u="1"/>
        <s v="IPRO" u="1"/>
        <s v="InductiveHealth Informatics" u="1"/>
        <s v="Infor(US), LLC" u="1"/>
        <s v="Intelligent Medical Objects (IMO)" u="1"/>
        <s v="InterSystems" u="1"/>
        <s v="Interbit Data, Inc." u="1"/>
        <s v="Intrepid Ascent" u="1"/>
        <s v="Iowa Department of Health and Human Services" u="1"/>
        <s v="Irina Angel Household" u="1"/>
        <s v="Isaac Eigner Household" u="1"/>
        <s v="Isak Computing" u="1"/>
        <s v="Ivan Posthumus Household" u="1"/>
        <s v="J Michael Consulting, LLC" u="1"/>
        <s v="J. Marc Overhage Household" u="1"/>
        <s v="Jalil Akhtar Household" u="1"/>
        <s v="James Rollins Household" u="1"/>
        <s v="Jeff Rochon Household" u="1"/>
        <s v="Jennifer Herrmann Household" u="1"/>
        <s v="Jennifer Marshall Household" u="1"/>
        <s v="Jingyuan Xu Household" u="1"/>
        <s v="Joanne Zhou Household" u="1"/>
        <s v="Johan Gangsås Hole Household" u="1"/>
        <s v="John DAmore Household" u="1"/>
        <s v="John Hatem Household" u="1"/>
        <s v="John Hinch Household" u="1"/>
        <s v="John Ritter Household" u="1"/>
        <s v="Johns Hopkins Hospital" u="1"/>
        <s v="Jonathan Whitby Household" u="1"/>
        <s v="Jonathan Zimmerling Household" u="1"/>
        <s v="Kaiser Permanente" u="1"/>
        <s v="Karen Ashton Household" u="1"/>
        <s v="Ken McCaslin Household" u="1"/>
        <s v="Kevin O'Donnell Household" u="1"/>
        <s v="KeyOn Inc." u="1"/>
        <s v="Kiser Healthcare Solutions, LLC" u="1"/>
        <s v="Korea Health Information Service" u="1"/>
        <s v="Laboratory Corporation of America" u="1"/>
        <s v="Labware, Inc." u="1"/>
        <s v="Lantana Consulting Group" u="1"/>
        <s v="Laura Ozak Household" u="1"/>
        <s v="Lauren Drobach Household" u="1"/>
        <s v="Laurie Raske Household" u="1"/>
        <s v="Lawrence Garber Household" u="1"/>
        <s v="Leidos, Inc." u="1"/>
        <s v="Lenel James Household" u="1"/>
        <s v="Li Hui-Lee Household" u="1"/>
        <s v="Lincoln Weed Household" u="1"/>
        <s v="Lindy Buhl Household" u="1"/>
        <s v="Lisa Nelson Household" u="1"/>
        <s v="Logibec" u="1"/>
        <s v="Lori Reed-Fourquet Household" u="1"/>
        <s v="MASAHARU NAKAYAMA Household" u="1"/>
        <s v="MD Partners, Inc." u="1"/>
        <s v="MEDENT" u="1"/>
        <s v="MEDITECH, Inc" u="1"/>
        <s v="MGear" u="1"/>
        <s v="Mamata Thakkar Household" u="1"/>
        <s v="Manijeh Berenji Household" u="1"/>
        <s v="Maria Michaels Household" u="1"/>
        <s v="Marina Ghisi Household" u="1"/>
        <s v="Mark Roberts Household" u="1"/>
        <s v="Maryaline Catillon Household" u="1"/>
        <s v="Mass General Brigham" u="1"/>
        <s v="Massachusetts Health Data Consortium" u="1"/>
        <s v="Mathematica Policy Research" u="1"/>
        <s v="Mayo Clinic" u="1"/>
        <s v="McKesson Corporation" u="1"/>
        <s v="MedCom" u="1"/>
        <s v="Medical Networks, LLC" u="1"/>
        <s v="Mediclinic Southern Africa" u="1"/>
        <s v="Medicomp Systems, Inc." u="1"/>
        <s v="Medtronic" u="1"/>
        <s v="Melva Peters Household" u="1"/>
        <s v="Mercer University" u="1"/>
        <s v="Merck &amp; Co. Inc." u="1"/>
        <s v="Michael Watkins Household" u="1"/>
        <s v="Michele Trofatter Household" u="1"/>
        <s v="Michelle Currie Household" u="1"/>
        <s v="Michigan Department of Health and Human Services" u="1"/>
        <s v="Microsoft Corporation" u="1"/>
        <s v="Minnesota Department of Health" u="1"/>
        <s v="Mladen Uzelac Household" u="1"/>
        <s v="ModMed" u="1"/>
        <s v="Mosaic Life Tech, LLC" u="1"/>
        <s v="NAACCR" u="1"/>
        <s v="NCQA" u="1"/>
        <s v="NICTIZ" u="1"/>
        <s v="NIH/Department of Clinical Research Informatics" u="1"/>
        <s v="NJDOH" u="1"/>
        <s v="NYCHHC - EITS" u="1"/>
        <s v="Nathan Davis Household" u="1"/>
        <s v="National Cancer Institute" u="1"/>
        <s v="National Council for Prescription Drug Programs" u="1"/>
        <s v="National Institute of Standards and Technology" u="1"/>
        <s v="National Library of Medicine" u="1"/>
        <s v="National Marrow Donor Program" u="1"/>
        <s v="Nava" u="1"/>
        <s v="Neantix Inc" u="1"/>
        <s v="New York State Department of Health" u="1"/>
        <s v="New York-Presbyterian Hospital" u="1"/>
        <s v="Next Level Health Innovations" u="1"/>
        <s v="NextGen Healthcare Information Systems, Inc." u="1"/>
        <s v="Nicole Miller Household" u="1"/>
        <s v="NoMoreClipboard.com" u="1"/>
        <s v="Northwestern Medicine" u="1"/>
        <s v="OR.NET" u="1"/>
        <s v="Oddball, Inc." u="1"/>
        <s v="Office of the National Coordinator for Health IT" u="1"/>
        <s v="Oklahoma State Department of Health" u="1"/>
        <s v="Optimum eHealth" u="1"/>
        <s v="Optum" u="1"/>
        <s v="Oracle" u="1"/>
        <s v="Oregon Public Health Division" u="1"/>
        <s v="Patient First" u="1"/>
        <s v="Patient Resource LLC" u="1"/>
        <s v="Peter Muir Household" u="1"/>
        <s v="Pfizer" u="1"/>
        <s v="Pharmaceuticals &amp; Medical Devices Agency" u="1"/>
        <s v="Philips Healthcare" u="1"/>
        <s v="PointClickCare" u="1"/>
        <s v="Prasanna Muthukrishnan Lakshmipathy Household" u="1"/>
        <s v="Premier Healthcare Alliance" u="1"/>
        <s v="Prometheus Computing LLC" u="1"/>
        <s v="Purplelab" u="1"/>
        <s v="Pyke Health IT, Inc." u="1"/>
        <s v="Quest Diagnostics, Incorporated" u="1"/>
        <s v="Qvera" u="1"/>
        <s v="RTI International" u="1"/>
        <s v="Rachel Foerster Household" u="1"/>
        <s v="Rachel Richesson Household" u="1"/>
        <s v="Rady Children's Hospital" u="1"/>
        <s v="Ready Computing LLC" u="1"/>
        <s v="Redington-Fairview Hospital" u="1"/>
        <s v="Reed Gelzer Household" u="1"/>
        <s v="Reed Technology and Information Services Inc." u="1"/>
        <s v="Regenstrief Institute, Inc." u="1"/>
        <s v="Registry Clearinghouse" u="1"/>
        <s v="Remo Health" u="1"/>
        <s v="RevDoc, LLC" u="1"/>
        <s v="Rhapsody" u="1"/>
        <s v="Richard Miles Household" u="1"/>
        <s v="Robert Jenders Household" u="1"/>
        <s v="Roche Diagnostics International Ltd." u="1"/>
        <s v="Rosch Visionary Systems" u="1"/>
        <s v="Runyu Wu Household" u="1"/>
        <s v="Ryan Hess Household" u="1"/>
        <s v="Ryan Howells Household" u="1"/>
        <s v="SMART Health IT" u="1"/>
        <s v="Safe Health Systems, Inc." u="1"/>
        <s v="Safe Software Inc." u="1"/>
        <s v="Samvit Solutions" u="1"/>
        <s v="Sarah Tonn Household" u="1"/>
        <s v="Scott Fradkin Household" u="1"/>
        <s v="Security Risk Solutions, Inc. (SRS)" u="1"/>
        <s v="Seqster" u="1"/>
        <s v="ServiceNow" u="1"/>
        <s v="Shay Downey-Forsythe Household" u="1"/>
        <s v="Skyward IT Solutions" u="1"/>
        <s v="SoftDev Incorporated" u="1"/>
        <s v="Solventum" u="1"/>
        <s v="Sonrisa Consulting" u="1"/>
        <s v="Stan Huff Household" u="1"/>
        <s v="Stanford Children's Health" u="1"/>
        <s v="StationMD, PC" u="1"/>
        <s v="Stedi" u="1"/>
        <s v="Stefania Paperini Household" u="1"/>
        <s v="Steven Krchniak Household" u="1"/>
        <s v="Stratevora" u="1"/>
        <s v="Surescripts" u="1"/>
        <s v="Susan Matney Household" u="1"/>
        <s v="Technology &amp; Transformation, HSE" u="1"/>
        <s v="Telligen" u="1"/>
        <s v="TerraFrame, Inc." u="1"/>
        <s v="Texas Department of State Health Services" u="1"/>
        <s v="The CBORD Group, Inc" u="1"/>
        <s v="The Joint Commission" u="1"/>
        <s v="The SIMI Group, Inc." u="1"/>
        <s v="The Sequoia Project" u="1"/>
        <s v="Therap Services LLC" u="1"/>
        <s v="Topology Health" u="1"/>
        <s v="Tracy Kovalchik Household" u="1"/>
        <s v="Trisotech" u="1"/>
        <s v="U.S. Department of Veterans Affairs" u="1"/>
        <s v="UC Davis Health" u="1"/>
        <s v="UC Irvine Health Sciences" u="1"/>
        <s v="UK HealthCare" u="1"/>
        <s v="UNC School of Medicine" u="1"/>
        <s v="USAging" u="1"/>
        <s v="USC/CHLA" u="1"/>
        <s v="UW Medicine Information Technology Services" u="1"/>
        <s v="United Physicians" u="1"/>
        <s v="UnitedHealthcare" u="1"/>
        <s v="Univ of TX Health Science Center San Antonio" u="1"/>
        <s v="University of AL at Birmingham" u="1"/>
        <s v="University of Illinois at Chicago Medical Center" u="1"/>
        <s v="University of Minnesota" u="1"/>
        <s v="University of Missouri" u="1"/>
        <s v="University of Nebraska Medical Center" u="1"/>
        <s v="University of Utah Health Care" u="1"/>
        <s v="VICO Open Modeling" u="1"/>
        <s v="Varian Medical Systems, Inc." u="1"/>
        <s v="Veeva Systems" u="1"/>
        <s v="Veradigm" u="1"/>
        <s v="Verily" u="1"/>
        <s v="Vermonster" u="1"/>
        <s v="Vernetzt, LLC" u="1"/>
        <s v="Virginia Lorenzi Household" u="1"/>
        <s v="WAYSTAR" u="1"/>
        <s v="WI Department of Health Services" u="1"/>
        <s v="WNY HEALTHeLINK" u="1"/>
        <s v="WPS Health Solutions" u="1"/>
        <s v="WSO2" u="1"/>
        <s v="Washington State Department of Health" u="1"/>
        <s v="WaveOne Associates Inc." u="1"/>
        <s v="West Coast Informatics" u="1"/>
        <s v="Westat" u="1"/>
        <s v="William Ted Klein Household" u="1"/>
        <s v="Wolters Kluwer Health" u="1"/>
        <s v="WorldVistA" u="1"/>
        <s v="XIFIN, Inc." u="1"/>
        <s v="XchangeWorx" u="1"/>
        <s v="Yanick Gaudet Household" u="1"/>
        <s v="Yardi Systems, Inc." u="1"/>
        <s v="Zocdoc" u="1"/>
        <s v="Zus Health" u="1"/>
        <s v="athenahealth" u="1"/>
        <s v="eClinicalWorks" u="1"/>
        <s v="ezEMRx" u="1"/>
        <s v="iNTERFACEWARE, Inc." u="1"/>
        <s v="tantustech" u="1"/>
        <s v="tuuthfairy, Inc." u="1"/>
        <s v="David Pyke Household" u="1"/>
        <s v="Duke Clinical &amp; Translational Science Institute" u="1"/>
        <s v="HL7 Central America &amp; Dominican Republic" u="1"/>
        <s v="HL7 Ecuador" u="1"/>
        <s v="HL7 Peru" u="1"/>
        <s v="HL7 Singapore" u="1"/>
        <s v="Aetna" u="1"/>
      </sharedItems>
    </cacheField>
    <cacheField name="Total" numFmtId="0">
      <sharedItems containsSemiMixedTypes="0" containsString="0" containsNumber="1" minValue="108.79" maxValue="38100"/>
    </cacheField>
    <cacheField name="Posted Date" numFmtId="14">
      <sharedItems containsSemiMixedTypes="0" containsNonDate="0" containsDate="1" containsString="0" minDate="2025-01-02T00:00:00" maxDate="2026-02-03T00:00:00" count="240">
        <d v="2026-01-13T00:00:00"/>
        <d v="2026-01-11T00:00:00"/>
        <d v="2026-01-05T00:00:00"/>
        <d v="2026-01-12T00:00:00"/>
        <d v="2026-01-20T00:00:00"/>
        <d v="2026-01-31T00:00:00"/>
        <d v="2026-01-30T00:00:00"/>
        <d v="2026-01-26T00:00:00"/>
        <d v="2026-01-08T00:00:00"/>
        <d v="2026-01-21T00:00:00"/>
        <d v="2026-01-15T00:00:00"/>
        <d v="2026-01-06T00:00:00"/>
        <d v="2026-01-29T00:00:00"/>
        <d v="2026-01-22T00:00:00"/>
        <d v="2026-01-23T00:00:00"/>
        <d v="2026-01-09T00:00:00"/>
        <d v="2026-01-07T00:00:00"/>
        <d v="2026-02-02T00:00:00"/>
        <d v="2026-01-16T00:00:00"/>
        <d v="2026-01-28T00:00:00"/>
        <d v="2025-07-11T00:00:00" u="1"/>
        <d v="2025-09-05T00:00:00" u="1"/>
        <d v="2025-08-15T00:00:00" u="1"/>
        <d v="2025-04-01T00:00:00" u="1"/>
        <d v="2025-08-22T00:00:00" u="1"/>
        <d v="2025-11-14T00:00:00" u="1"/>
        <d v="2025-02-14T00:00:00" u="1"/>
        <d v="2025-12-23T00:00:00" u="1"/>
        <d v="2025-09-17T00:00:00" u="1"/>
        <d v="2025-03-14T00:00:00" u="1"/>
        <d v="2025-04-22T00:00:00" u="1"/>
        <d v="2025-07-08T00:00:00" u="1"/>
        <d v="2025-08-21T00:00:00" u="1"/>
        <d v="2025-10-01T00:00:00" u="1"/>
        <d v="2025-07-28T00:00:00" u="1"/>
        <d v="2025-12-09T00:00:00" u="1"/>
        <d v="2025-04-11T00:00:00" u="1"/>
        <d v="2025-04-03T00:00:00" u="1"/>
        <d v="2025-03-06T00:00:00" u="1"/>
        <d v="2025-05-23T00:00:00" u="1"/>
        <d v="2025-09-02T00:00:00" u="1"/>
        <d v="2025-03-28T00:00:00" u="1"/>
        <d v="2025-11-03T00:00:00" u="1"/>
        <d v="2025-07-16T00:00:00" u="1"/>
        <d v="2025-03-29T00:00:00" u="1"/>
        <d v="2025-08-06T00:00:00" u="1"/>
        <d v="2025-03-12T00:00:00" u="1"/>
        <d v="2025-09-11T00:00:00" u="1"/>
        <d v="2025-10-08T00:00:00" u="1"/>
        <d v="2025-06-03T00:00:00" u="1"/>
        <d v="2025-10-10T00:00:00" u="1"/>
        <d v="2025-12-05T00:00:00" u="1"/>
        <d v="2025-08-20T00:00:00" u="1"/>
        <d v="2025-01-27T00:00:00" u="1"/>
        <d v="2025-01-07T00:00:00" u="1"/>
        <d v="2025-09-10T00:00:00" u="1"/>
        <d v="2025-03-18T00:00:00" u="1"/>
        <d v="2025-04-21T00:00:00" u="1"/>
        <d v="2025-07-31T00:00:00" u="1"/>
        <d v="2025-01-09T00:00:00" u="1"/>
        <d v="2025-03-24T00:00:00" u="1"/>
        <d v="2025-05-07T00:00:00" u="1"/>
        <d v="2025-10-24T00:00:00" u="1"/>
        <d v="2025-10-17T00:00:00" u="1"/>
        <d v="2025-12-15T00:00:00" u="1"/>
        <d v="2025-08-09T00:00:00" u="1"/>
        <d v="2025-06-19T00:00:00" u="1"/>
        <d v="2025-01-17T00:00:00" u="1"/>
        <d v="2025-01-24T00:00:00" u="1"/>
        <d v="2025-06-20T00:00:00" u="1"/>
        <d v="2025-02-19T00:00:00" u="1"/>
        <d v="2025-11-17T00:00:00" u="1"/>
        <d v="2025-07-25T00:00:00" u="1"/>
        <d v="2025-05-22T00:00:00" u="1"/>
        <d v="2025-12-17T00:00:00" u="1"/>
        <d v="2025-10-16T00:00:00" u="1"/>
        <d v="2025-10-31T00:00:00" u="1"/>
        <d v="2025-01-06T00:00:00" u="1"/>
        <d v="2025-05-27T00:00:00" u="1"/>
        <d v="2025-09-01T00:00:00" u="1"/>
        <d v="2025-05-05T00:00:00" u="1"/>
        <d v="2025-07-07T00:00:00" u="1"/>
        <d v="2025-07-29T00:00:00" u="1"/>
        <d v="2025-08-31T00:00:00" u="1"/>
        <d v="2025-06-05T00:00:00" u="1"/>
        <d v="2025-06-08T00:00:00" u="1"/>
        <d v="2025-01-14T00:00:00" u="1"/>
        <d v="2025-08-28T00:00:00" u="1"/>
        <d v="2025-02-27T00:00:00" u="1"/>
        <d v="2025-07-17T00:00:00" u="1"/>
        <d v="2025-11-24T00:00:00" u="1"/>
        <d v="2025-06-13T00:00:00" u="1"/>
        <d v="2025-01-13T00:00:00" u="1"/>
        <d v="2025-09-12T00:00:00" u="1"/>
        <d v="2025-02-16T00:00:00" u="1"/>
        <d v="2025-02-18T00:00:00" u="1"/>
        <d v="2025-01-29T00:00:00" u="1"/>
        <d v="2025-11-26T00:00:00" u="1"/>
        <d v="2025-03-26T00:00:00" u="1"/>
        <d v="2025-09-29T00:00:00" u="1"/>
        <d v="2025-10-07T00:00:00" u="1"/>
        <d v="2025-01-31T00:00:00" u="1"/>
        <d v="2025-12-31T00:00:00" u="1"/>
        <d v="2025-11-21T00:00:00" u="1"/>
        <d v="2025-06-09T00:00:00" u="1"/>
        <d v="2025-09-03T00:00:00" u="1"/>
        <d v="2025-01-20T00:00:00" u="1"/>
        <d v="2025-10-03T00:00:00" u="1"/>
        <d v="2025-11-19T00:00:00" u="1"/>
        <d v="2025-05-30T00:00:00" u="1"/>
        <d v="2025-07-23T00:00:00" u="1"/>
        <d v="2025-08-25T00:00:00" u="1"/>
        <d v="2025-01-12T00:00:00" u="1"/>
        <d v="2025-06-25T00:00:00" u="1"/>
        <d v="2025-04-14T00:00:00" u="1"/>
        <d v="2025-01-21T00:00:00" u="1"/>
        <d v="2025-01-30T00:00:00" u="1"/>
        <d v="2025-08-01T00:00:00" u="1"/>
        <d v="2025-09-21T00:00:00" u="1"/>
        <d v="2025-07-03T00:00:00" u="1"/>
        <d v="2025-08-12T00:00:00" u="1"/>
        <d v="2025-05-26T00:00:00" u="1"/>
        <d v="2025-03-20T00:00:00" u="1"/>
        <d v="2025-12-03T00:00:00" u="1"/>
        <d v="2025-02-04T00:00:00" u="1"/>
        <d v="2025-01-08T00:00:00" u="1"/>
        <d v="2025-05-20T00:00:00" u="1"/>
        <d v="2025-03-27T00:00:00" u="1"/>
        <d v="2025-10-02T00:00:00" u="1"/>
        <d v="2025-04-08T00:00:00" u="1"/>
        <d v="2025-03-21T00:00:00" u="1"/>
        <d v="2025-06-11T00:00:00" u="1"/>
        <d v="2025-03-25T00:00:00" u="1"/>
        <d v="2025-04-15T00:00:00" u="1"/>
        <d v="2025-03-31T00:00:00" u="1"/>
        <d v="2025-02-24T00:00:00" u="1"/>
        <d v="2025-05-28T00:00:00" u="1"/>
        <d v="2025-04-29T00:00:00" u="1"/>
        <d v="2025-04-04T00:00:00" u="1"/>
        <d v="2025-06-23T00:00:00" u="1"/>
        <d v="2025-08-04T00:00:00" u="1"/>
        <d v="2025-04-02T00:00:00" u="1"/>
        <d v="2025-02-07T00:00:00" u="1"/>
        <d v="2025-07-02T00:00:00" u="1"/>
        <d v="2025-05-16T00:00:00" u="1"/>
        <d v="2025-10-29T00:00:00" u="1"/>
        <d v="2025-05-12T00:00:00" u="1"/>
        <d v="2025-02-26T00:00:00" u="1"/>
        <d v="2025-11-11T00:00:00" u="1"/>
        <d v="2025-06-12T00:00:00" u="1"/>
        <d v="2025-06-26T00:00:00" u="1"/>
        <d v="2025-09-18T00:00:00" u="1"/>
        <d v="2025-04-30T00:00:00" u="1"/>
        <d v="2025-08-05T00:00:00" u="1"/>
        <d v="2025-03-07T00:00:00" u="1"/>
        <d v="2025-03-04T00:00:00" u="1"/>
        <d v="2025-05-08T00:00:00" u="1"/>
        <d v="2025-04-18T00:00:00" u="1"/>
        <d v="2025-10-20T00:00:00" u="1"/>
        <d v="2025-06-22T00:00:00" u="1"/>
        <d v="2025-03-19T00:00:00" u="1"/>
        <d v="2025-01-10T00:00:00" u="1"/>
        <d v="2025-02-25T00:00:00" u="1"/>
        <d v="2025-07-30T00:00:00" u="1"/>
        <d v="2025-08-29T00:00:00" u="1"/>
        <d v="2025-12-08T00:00:00" u="1"/>
        <d v="2025-02-06T00:00:00" u="1"/>
        <d v="2025-11-07T00:00:00" u="1"/>
        <d v="2025-07-24T00:00:00" u="1"/>
        <d v="2025-02-20T00:00:00" u="1"/>
        <d v="2025-01-28T00:00:00" u="1"/>
        <d v="2025-08-26T00:00:00" u="1"/>
        <d v="2025-12-10T00:00:00" u="1"/>
        <d v="2025-05-24T00:00:00" u="1"/>
        <d v="2025-12-18T00:00:00" u="1"/>
        <d v="2025-11-13T00:00:00" u="1"/>
        <d v="2025-09-16T00:00:00" u="1"/>
        <d v="2025-04-20T00:00:00" u="1"/>
        <d v="2025-11-02T00:00:00" u="1"/>
        <d v="2025-02-17T00:00:00" u="1"/>
        <d v="2025-05-09T00:00:00" u="1"/>
        <d v="2025-04-16T00:00:00" u="1"/>
        <d v="2025-06-10T00:00:00" u="1"/>
        <d v="2025-02-11T00:00:00" u="1"/>
        <d v="2025-12-02T00:00:00" u="1"/>
        <d v="2025-07-18T00:00:00" u="1"/>
        <d v="2025-10-06T00:00:00" u="1"/>
        <d v="2025-07-01T00:00:00" u="1"/>
        <d v="2025-02-21T00:00:00" u="1"/>
        <d v="2025-11-12T00:00:00" u="1"/>
        <d v="2025-05-29T00:00:00" u="1"/>
        <d v="2025-08-11T00:00:00" u="1"/>
        <d v="2025-05-14T00:00:00" u="1"/>
        <d v="2025-07-26T00:00:00" u="1"/>
        <d v="2025-02-12T00:00:00" u="1"/>
        <d v="2025-01-25T00:00:00" u="1"/>
        <d v="2025-06-06T00:00:00" u="1"/>
        <d v="2025-03-22T00:00:00" u="1"/>
        <d v="2025-07-14T00:00:00" u="1"/>
        <d v="2025-03-11T00:00:00" u="1"/>
        <d v="2025-11-18T00:00:00" u="1"/>
        <d v="2025-12-16T00:00:00" u="1"/>
        <d v="2025-04-09T00:00:00" u="1"/>
        <d v="2025-06-30T00:00:00" u="1"/>
        <d v="2025-11-05T00:00:00" u="1"/>
        <d v="2025-01-16T00:00:00" u="1"/>
        <d v="2025-12-01T00:00:00" u="1"/>
        <d v="2025-10-09T00:00:00" u="1"/>
        <d v="2025-11-20T00:00:00" u="1"/>
        <d v="2025-03-10T00:00:00" u="1"/>
        <d v="2025-05-01T00:00:00" u="1"/>
        <d v="2025-03-05T00:00:00" u="1"/>
        <d v="2025-07-22T00:00:00" u="1"/>
        <d v="2025-11-10T00:00:00" u="1"/>
        <d v="2025-09-23T00:00:00" u="1"/>
        <d v="2025-06-04T00:00:00" u="1"/>
        <d v="2025-08-19T00:00:00" u="1"/>
        <d v="2025-05-21T00:00:00" u="1"/>
        <d v="2025-09-08T00:00:00" u="1"/>
        <d v="2025-11-04T00:00:00" u="1"/>
        <d v="2025-03-17T00:00:00" u="1"/>
        <d v="2025-07-15T00:00:00" u="1"/>
        <d v="2025-10-14T00:00:00" u="1"/>
        <d v="2025-01-22T00:00:00" u="1"/>
        <d v="2025-10-21T00:00:00" u="1"/>
        <d v="2025-09-24T00:00:00" u="1"/>
        <d v="2025-06-27T00:00:00" u="1"/>
        <d v="2025-03-09T00:00:00" u="1"/>
        <d v="2025-01-03T00:00:00" u="1"/>
        <d v="2025-01-02T00:00:00" u="1"/>
        <d v="2025-06-17T00:00:00" u="1"/>
        <d v="2025-05-19T00:00:00" u="1"/>
        <d v="2025-04-07T00:00:00" u="1"/>
        <d v="2025-05-02T00:00:00" u="1"/>
        <d v="2025-11-06T00:00:00" u="1"/>
        <d v="2025-02-10T00:00:00" u="1"/>
        <d v="2025-10-28T00:00:00" u="1"/>
        <d v="2025-04-28T00:00:00" u="1"/>
        <d v="2025-12-29T00:00:00" u="1"/>
        <d v="2025-07-04T00:00:00" u="1"/>
      </sharedItems>
      <fieldGroup par="11"/>
    </cacheField>
    <cacheField name="Receipt Number" numFmtId="0">
      <sharedItems containsSemiMixedTypes="0" containsString="0" containsNumber="1" containsInteger="1" minValue="18359" maxValue="18845"/>
    </cacheField>
    <cacheField name="Receipt Line ID" numFmtId="0">
      <sharedItems containsSemiMixedTypes="0" containsString="0" containsNumber="1" containsInteger="1" minValue="44215" maxValue="44817"/>
    </cacheField>
    <cacheField name="Member Since" numFmtId="14">
      <sharedItems containsSemiMixedTypes="0" containsNonDate="0" containsDate="1" containsString="0" minDate="1998-05-10T00:00:00" maxDate="2026-02-03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7">
        <s v="Organizational Membership"/>
        <s v="Individual Membership"/>
        <s v="Benefactor Membership"/>
        <s v="Gold Membership"/>
        <s v="Retiree Membership" u="1"/>
        <s v="Student Membership" u="1"/>
        <s v="Affiliate Membership" u="1"/>
      </sharedItems>
    </cacheField>
    <cacheField name="Paid_Month" numFmtId="0">
      <sharedItems containsSemiMixedTypes="0" containsString="0" containsNumber="1" containsInteger="1" minValue="1" maxValue="2"/>
    </cacheField>
    <cacheField name="Days (Posted Date)" numFmtId="0" databaseField="0">
      <fieldGroup base="2">
        <rangePr groupBy="days" startDate="2026-01-05T00:00:00" endDate="2026-02-03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3/2026"/>
        </groupItems>
      </fieldGroup>
    </cacheField>
    <cacheField name="Months (Posted Date)" numFmtId="0" databaseField="0">
      <fieldGroup base="2">
        <rangePr groupBy="months" startDate="2026-01-05T00:00:00" endDate="2026-02-03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5162036" createdVersion="8" refreshedVersion="8" minRefreshableVersion="3" recordCount="12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775" maxValue="775"/>
    </cacheField>
    <cacheField name="Posted Date" numFmtId="14">
      <sharedItems containsSemiMixedTypes="0" containsNonDate="0" containsDate="1" containsString="0" minDate="2026-01-05T00:00:00" maxDate="2026-02-03T00:00:00"/>
    </cacheField>
    <cacheField name="Receipt Number" numFmtId="0">
      <sharedItems containsSemiMixedTypes="0" containsString="0" containsNumber="1" containsInteger="1" minValue="18371" maxValue="18845"/>
    </cacheField>
    <cacheField name="Receipt Line ID" numFmtId="0">
      <sharedItems containsSemiMixedTypes="0" containsString="0" containsNumber="1" containsInteger="1" minValue="44227" maxValue="44817"/>
    </cacheField>
    <cacheField name="Member Since" numFmtId="14">
      <sharedItems containsSemiMixedTypes="0" containsNonDate="0" containsDate="1" containsString="0" minDate="2015-02-03T00:00:00" maxDate="2026-02-03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 u="1"/>
        <s v="Student Membership" u="1"/>
      </sharedItems>
    </cacheField>
    <cacheField name="Paid_Month" numFmtId="0">
      <sharedItems containsSemiMixedTypes="0" containsString="0" containsNumber="1" containsInteger="1" minValue="1" maxValue="12" count="12">
        <n v="1"/>
        <n v="2"/>
        <n v="8" u="1"/>
        <n v="9" u="1"/>
        <n v="7" u="1"/>
        <n v="11" u="1"/>
        <n v="3" u="1"/>
        <n v="6" u="1"/>
        <n v="12" u="1"/>
        <n v="10" u="1"/>
        <n v="4" u="1"/>
        <n v="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5277774" createdVersion="8" refreshedVersion="8" minRefreshableVersion="3" recordCount="22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minValue="108.79" maxValue="38100"/>
    </cacheField>
    <cacheField name="Posted Date" numFmtId="14">
      <sharedItems containsSemiMixedTypes="0" containsNonDate="0" containsDate="1" containsString="0" minDate="2026-01-05T00:00:00" maxDate="2026-01-31T00:00:00"/>
    </cacheField>
    <cacheField name="Receipt Number" numFmtId="0">
      <sharedItems containsSemiMixedTypes="0" containsString="0" containsNumber="1" containsInteger="1" minValue="18359" maxValue="18826"/>
    </cacheField>
    <cacheField name="Receipt Line ID" numFmtId="0">
      <sharedItems containsSemiMixedTypes="0" containsString="0" containsNumber="1" containsInteger="1" minValue="44215" maxValue="44799"/>
    </cacheField>
    <cacheField name="Member Since" numFmtId="14">
      <sharedItems containsSemiMixedTypes="0" containsNonDate="0" containsDate="1" containsString="0" minDate="1998-05-10T00:00:00" maxDate="2026-01-08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Organizational Membership"/>
        <s v="Benefactor Membership"/>
        <s v="Gold Membership"/>
      </sharedItems>
    </cacheField>
    <cacheField name="Paid_Month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87384259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6 Dues Total" numFmtId="0">
      <sharedItems containsSemiMixedTypes="0" containsString="0" containsNumber="1" minValue="9300" maxValue="110573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Patient Centric Solutions"/>
    <n v="460.04"/>
    <d v="2026-01-09T00:00:00"/>
    <n v="18491"/>
    <n v="44373"/>
    <d v="2025-01-01T00:00:00"/>
    <s v="Supplier/Vendor"/>
    <s v="United States"/>
    <s v="Organizational Membership"/>
    <n v="1"/>
    <x v="0"/>
  </r>
  <r>
    <s v="Beata Piehl Household"/>
    <n v="775"/>
    <d v="2026-01-11T00:00:00"/>
    <n v="18551"/>
    <n v="44438"/>
    <d v="2024-01-01T00:00:00"/>
    <s v=""/>
    <s v=""/>
    <s v="Individual Membership"/>
    <n v="1"/>
    <x v="0"/>
  </r>
  <r>
    <s v="Bellese Technologies"/>
    <n v="775"/>
    <d v="2026-01-05T00:00:00"/>
    <n v="18371"/>
    <n v="44227"/>
    <d v="2021-01-01T00:00:00"/>
    <s v=""/>
    <s v="United States"/>
    <s v="Individual Membership"/>
    <n v="1"/>
    <x v="1"/>
  </r>
  <r>
    <s v="CSIRO"/>
    <n v="775"/>
    <d v="2026-01-12T00:00:00"/>
    <n v="18605"/>
    <n v="44503"/>
    <d v="2026-01-01T00:00:00"/>
    <s v=""/>
    <s v="Australia"/>
    <s v="Individual Membership"/>
    <n v="1"/>
    <x v="0"/>
  </r>
  <r>
    <s v="Dennis Loucks Household"/>
    <n v="775"/>
    <d v="2026-01-31T00:00:00"/>
    <n v="18840"/>
    <n v="44813"/>
    <d v="2021-01-01T00:00:00"/>
    <s v=""/>
    <s v=""/>
    <s v="Individual Membership"/>
    <n v="1"/>
    <x v="1"/>
  </r>
  <r>
    <s v="Donald Kurtz Household"/>
    <n v="775"/>
    <d v="2026-01-30T00:00:00"/>
    <n v="18833"/>
    <n v="44806"/>
    <d v="2026-01-01T00:00:00"/>
    <s v=""/>
    <s v="United States"/>
    <s v="Individual Membership"/>
    <n v="1"/>
    <x v="0"/>
  </r>
  <r>
    <s v="First Databank"/>
    <n v="775"/>
    <d v="2026-01-21T00:00:00"/>
    <n v="18708"/>
    <n v="44608"/>
    <d v="2015-01-01T00:00:00"/>
    <s v="Supplier/Vendor"/>
    <s v="United States"/>
    <s v="Individual Membership"/>
    <n v="1"/>
    <x v="2"/>
  </r>
  <r>
    <s v="John Moehrke Household"/>
    <n v="775"/>
    <d v="2026-01-06T00:00:00"/>
    <n v="18392"/>
    <n v="44254"/>
    <d v="2026-01-01T00:00:00"/>
    <s v=""/>
    <s v="United States"/>
    <s v="Individual Membership"/>
    <n v="1"/>
    <x v="0"/>
  </r>
  <r>
    <s v="Ryan Lee Household"/>
    <n v="775"/>
    <d v="2026-01-12T00:00:00"/>
    <n v="18585"/>
    <n v="44482"/>
    <d v="2026-01-01T00:00:00"/>
    <s v=""/>
    <s v="United States"/>
    <s v="Individual Membership"/>
    <n v="1"/>
    <x v="0"/>
  </r>
  <r>
    <s v="Sam Schifman Household"/>
    <n v="775"/>
    <d v="2026-01-21T00:00:00"/>
    <n v="18695"/>
    <n v="44595"/>
    <d v="2025-01-01T00:00:00"/>
    <s v=""/>
    <s v=""/>
    <s v="Individual Membership"/>
    <n v="1"/>
    <x v="0"/>
  </r>
  <r>
    <s v="Sandy Vance Household"/>
    <n v="775"/>
    <d v="2026-01-07T00:00:00"/>
    <n v="18418"/>
    <n v="44298"/>
    <d v="2023-01-01T00:00:00"/>
    <s v=""/>
    <s v="United States"/>
    <s v="Individual Membership"/>
    <n v="1"/>
    <x v="0"/>
  </r>
  <r>
    <s v="Srinivasan Parthasarathy Household"/>
    <n v="775"/>
    <d v="2026-02-02T00:00:00"/>
    <n v="18845"/>
    <n v="44817"/>
    <d v="2026-01-01T00:00:00"/>
    <s v=""/>
    <s v="United States"/>
    <s v="Individual Membership"/>
    <n v="2"/>
    <x v="0"/>
  </r>
  <r>
    <s v="Toshiaki Kato Household"/>
    <n v="775"/>
    <d v="2026-01-28T00:00:00"/>
    <n v="18774"/>
    <n v="44713"/>
    <d v="2026-01-01T00:00:00"/>
    <s v=""/>
    <s v="Japan"/>
    <s v="Individual Membership"/>
    <n v="1"/>
    <x v="0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s v="Organizational Membership"/>
    <n v="1"/>
    <x v="3"/>
  </r>
  <r>
    <s v="KlearTrust"/>
    <n v="1545"/>
    <d v="2026-01-29T00:00:00"/>
    <n v="18802"/>
    <n v="44761"/>
    <d v="2024-01-01T00:00:00"/>
    <s v="Supplier/Vendor"/>
    <s v="United States"/>
    <s v="Organizational Membership"/>
    <n v="1"/>
    <x v="0"/>
  </r>
  <r>
    <s v="National Association of Dental Plans"/>
    <n v="1545"/>
    <d v="2026-01-15T00:00:00"/>
    <n v="18652"/>
    <n v="44550"/>
    <d v="2006-01-01T00:00:00"/>
    <s v="Government/Professional Associations/Academic Institution"/>
    <s v="United States"/>
    <s v="Organizational Membership"/>
    <n v="1"/>
    <x v="4"/>
  </r>
  <r>
    <s v="Professional Laboratory Management, Inc."/>
    <n v="1545"/>
    <d v="2026-01-05T00:00:00"/>
    <n v="18359"/>
    <n v="44215"/>
    <d v="2010-01-01T00:00:00"/>
    <s v="Consultant"/>
    <s v="United States"/>
    <s v="Organizational Membership"/>
    <n v="1"/>
    <x v="3"/>
  </r>
  <r>
    <s v="SLI Compliance"/>
    <n v="1545"/>
    <d v="2026-01-13T00:00:00"/>
    <n v="18620"/>
    <n v="44519"/>
    <d v="2013-01-01T00:00:00"/>
    <s v="Government/Professional Associations/Academic Institution"/>
    <s v="United States"/>
    <s v="Organizational Membership"/>
    <n v="1"/>
    <x v="2"/>
  </r>
  <r>
    <s v="SandwYch, Inc."/>
    <n v="1545"/>
    <d v="2026-01-07T00:00:00"/>
    <n v="18421"/>
    <n v="44301"/>
    <d v="2026-01-01T00:00:00"/>
    <s v="Supplier/Vendor"/>
    <s v="United States"/>
    <s v="Organizational Membership"/>
    <n v="1"/>
    <x v="0"/>
  </r>
  <r>
    <s v="Tetra Fields LLC"/>
    <n v="1545"/>
    <d v="2026-01-20T00:00:00"/>
    <n v="18683"/>
    <n v="44583"/>
    <d v="2025-01-01T00:00:00"/>
    <s v="Supplier/Vendor"/>
    <s v="United States"/>
    <s v="Organizational Membership"/>
    <n v="1"/>
    <x v="0"/>
  </r>
  <r>
    <s v="Firely USA"/>
    <n v="1905"/>
    <d v="2026-01-08T00:00:00"/>
    <n v="18444"/>
    <n v="44327"/>
    <d v="2024-01-01T00:00:00"/>
    <s v="Supplier/Vendor"/>
    <s v="United States"/>
    <s v="Gold Membership"/>
    <n v="1"/>
    <x v="0"/>
  </r>
  <r>
    <s v="MyDirectives"/>
    <n v="1905"/>
    <d v="2026-01-22T00:00:00"/>
    <n v="18717"/>
    <n v="44617"/>
    <d v="2018-01-01T00:00:00"/>
    <s v="Supplier/Vendor"/>
    <s v="United States"/>
    <s v="Gold Membership"/>
    <n v="1"/>
    <x v="1"/>
  </r>
  <r>
    <s v="Apelon, Inc."/>
    <n v="2370"/>
    <d v="2026-01-13T00:00:00"/>
    <n v="18613"/>
    <n v="44511"/>
    <d v="2003-01-01T00:00:00"/>
    <s v="Supplier/Vendor"/>
    <s v="United States"/>
    <s v="Organizational Membership"/>
    <n v="1"/>
    <x v="4"/>
  </r>
  <r>
    <s v="MedicaSoft"/>
    <n v="2370"/>
    <d v="2026-01-20T00:00:00"/>
    <n v="18672"/>
    <n v="44570"/>
    <d v="2014-01-01T00:00:00"/>
    <s v="Supplier/Vendor"/>
    <s v="United States"/>
    <s v="Organizational Membership"/>
    <n v="1"/>
    <x v="2"/>
  </r>
  <r>
    <s v="Tennessee Department of Health"/>
    <n v="2680"/>
    <d v="2026-01-16T00:00:00"/>
    <n v="18656"/>
    <n v="44554"/>
    <d v="2001-01-01T00:00:00"/>
    <s v="Government/Professional Associations/Academic Institution"/>
    <s v="United States"/>
    <s v="Organizational Membership"/>
    <n v="1"/>
    <x v="4"/>
  </r>
  <r>
    <s v="Virginia Department of Health"/>
    <n v="2680"/>
    <d v="2026-01-16T00:00:00"/>
    <n v="18660"/>
    <n v="44559"/>
    <d v="2011-01-01T00:00:00"/>
    <s v="Government/Professional Associations/Academic Institution"/>
    <s v="United States"/>
    <s v="Organizational Membership"/>
    <n v="1"/>
    <x v="3"/>
  </r>
  <r>
    <s v="West Virginia Departments of Human Services, Health and Health Facilities"/>
    <n v="2680"/>
    <d v="2026-01-30T00:00:00"/>
    <n v="18826"/>
    <n v="44799"/>
    <d v="2017-01-01T00:00:00"/>
    <s v="Government/Professional Associations/Academic Institution"/>
    <s v="United States"/>
    <s v="Organizational Membership"/>
    <n v="1"/>
    <x v="2"/>
  </r>
  <r>
    <s v="New Fields Technologies LLC"/>
    <n v="2990"/>
    <d v="2026-01-23T00:00:00"/>
    <n v="18722"/>
    <n v="44622"/>
    <d v="2025-01-01T00:00:00"/>
    <s v="Supplier/Vendor"/>
    <s v="United States"/>
    <s v="Gold Membership"/>
    <n v="1"/>
    <x v="0"/>
  </r>
  <r>
    <s v="Onyx Technology LLC"/>
    <n v="2990"/>
    <d v="2026-01-09T00:00:00"/>
    <n v="18479"/>
    <n v="44361"/>
    <d v="2021-01-01T00:00:00"/>
    <s v="Supplier/Vendor"/>
    <s v="United States"/>
    <s v="Gold Membership"/>
    <n v="1"/>
    <x v="1"/>
  </r>
  <r>
    <s v="Indian Health Service"/>
    <n v="5460"/>
    <d v="2026-01-15T00:00:00"/>
    <n v="18650"/>
    <n v="44548"/>
    <d v="2009-01-01T00:00:00"/>
    <s v="Government/Professional Associations/Academic Institution"/>
    <s v="United States"/>
    <s v="Organizational Membership"/>
    <n v="1"/>
    <x v="3"/>
  </r>
  <r>
    <s v="Flatiron Health"/>
    <n v="9685"/>
    <d v="2026-01-30T00:00:00"/>
    <n v="18825"/>
    <n v="44798"/>
    <d v="2015-01-01T00:00:00"/>
    <s v="Supplier/Vendor"/>
    <s v="United States"/>
    <s v="Organizational Membership"/>
    <n v="1"/>
    <x v="2"/>
  </r>
  <r>
    <s v="ICF"/>
    <n v="23375"/>
    <d v="2026-01-26T00:00:00"/>
    <n v="18752"/>
    <n v="44676"/>
    <d v="2012-01-01T00:00:00"/>
    <s v="Consultant"/>
    <s v="United States"/>
    <s v="Organizational Membership"/>
    <n v="1"/>
    <x v="3"/>
  </r>
  <r>
    <s v="Epic"/>
    <n v="38100"/>
    <d v="2026-01-26T00:00:00"/>
    <n v="18755"/>
    <n v="44679"/>
    <d v="1998-01-01T00:00:00"/>
    <s v="Supplier/Vendor"/>
    <s v="United States"/>
    <s v="Benefactor Membership"/>
    <n v="1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2370"/>
    <x v="0"/>
    <n v="18613"/>
    <n v="44511"/>
    <d v="2003-08-06T00:00:00"/>
    <s v="Supplier/Vendor"/>
    <s v="United States"/>
    <x v="0"/>
    <n v="1"/>
  </r>
  <r>
    <x v="1"/>
    <n v="775"/>
    <x v="1"/>
    <n v="18551"/>
    <n v="44438"/>
    <d v="2024-04-03T00:00:00"/>
    <s v=""/>
    <s v=""/>
    <x v="1"/>
    <n v="1"/>
  </r>
  <r>
    <x v="2"/>
    <n v="775"/>
    <x v="2"/>
    <n v="18371"/>
    <n v="44227"/>
    <d v="2021-08-25T00:00:00"/>
    <s v=""/>
    <s v="United States"/>
    <x v="1"/>
    <n v="1"/>
  </r>
  <r>
    <x v="3"/>
    <n v="775"/>
    <x v="3"/>
    <n v="18605"/>
    <n v="44503"/>
    <d v="2026-01-12T00:00:00"/>
    <s v=""/>
    <s v="Australia"/>
    <x v="1"/>
    <n v="1"/>
  </r>
  <r>
    <x v="4"/>
    <n v="1545"/>
    <x v="4"/>
    <n v="18678"/>
    <n v="44578"/>
    <d v="2010-01-01T00:00:00"/>
    <s v="Government/Professional Associations/Academic Institution"/>
    <s v="United States"/>
    <x v="0"/>
    <n v="1"/>
  </r>
  <r>
    <x v="5"/>
    <n v="775"/>
    <x v="5"/>
    <n v="18840"/>
    <n v="44813"/>
    <d v="2021-12-16T00:00:00"/>
    <s v=""/>
    <s v=""/>
    <x v="1"/>
    <n v="1"/>
  </r>
  <r>
    <x v="6"/>
    <n v="775"/>
    <x v="6"/>
    <n v="18833"/>
    <n v="44806"/>
    <d v="2026-01-30T00:00:00"/>
    <s v=""/>
    <s v="United States"/>
    <x v="1"/>
    <n v="1"/>
  </r>
  <r>
    <x v="7"/>
    <n v="38100"/>
    <x v="7"/>
    <n v="18755"/>
    <n v="44679"/>
    <d v="1998-05-10T00:00:00"/>
    <s v="Supplier/Vendor"/>
    <s v="United States"/>
    <x v="2"/>
    <n v="1"/>
  </r>
  <r>
    <x v="8"/>
    <n v="1905"/>
    <x v="8"/>
    <n v="18444"/>
    <n v="44327"/>
    <d v="2024-02-19T00:00:00"/>
    <s v="Supplier/Vendor"/>
    <s v="United States"/>
    <x v="3"/>
    <n v="1"/>
  </r>
  <r>
    <x v="9"/>
    <n v="775"/>
    <x v="9"/>
    <n v="18708"/>
    <n v="44608"/>
    <d v="2015-02-03T00:00:00"/>
    <s v="Supplier/Vendor"/>
    <s v="United States"/>
    <x v="1"/>
    <n v="1"/>
  </r>
  <r>
    <x v="10"/>
    <n v="9685"/>
    <x v="6"/>
    <n v="18825"/>
    <n v="44798"/>
    <d v="2015-05-20T00:00:00"/>
    <s v="Supplier/Vendor"/>
    <s v="United States"/>
    <x v="0"/>
    <n v="1"/>
  </r>
  <r>
    <x v="11"/>
    <n v="23375"/>
    <x v="7"/>
    <n v="18752"/>
    <n v="44676"/>
    <d v="2012-12-13T00:00:00"/>
    <s v="Consultant"/>
    <s v="United States"/>
    <x v="0"/>
    <n v="1"/>
  </r>
  <r>
    <x v="12"/>
    <n v="5460"/>
    <x v="10"/>
    <n v="18650"/>
    <n v="44548"/>
    <d v="2009-06-25T00:00:00"/>
    <s v="Government/Professional Associations/Academic Institution"/>
    <s v="United States"/>
    <x v="0"/>
    <n v="1"/>
  </r>
  <r>
    <x v="13"/>
    <n v="775"/>
    <x v="11"/>
    <n v="18392"/>
    <n v="44254"/>
    <d v="2026-01-06T00:00:00"/>
    <s v=""/>
    <s v="United States"/>
    <x v="1"/>
    <n v="1"/>
  </r>
  <r>
    <x v="14"/>
    <n v="1545"/>
    <x v="12"/>
    <n v="18802"/>
    <n v="44761"/>
    <d v="2024-01-12T00:00:00"/>
    <s v="Supplier/Vendor"/>
    <s v="United States"/>
    <x v="0"/>
    <n v="1"/>
  </r>
  <r>
    <x v="15"/>
    <n v="2370"/>
    <x v="4"/>
    <n v="18672"/>
    <n v="44570"/>
    <d v="2014-12-15T00:00:00"/>
    <s v="Supplier/Vendor"/>
    <s v="United States"/>
    <x v="0"/>
    <n v="1"/>
  </r>
  <r>
    <x v="16"/>
    <n v="1905"/>
    <x v="13"/>
    <n v="18717"/>
    <n v="44617"/>
    <d v="2018-12-31T00:00:00"/>
    <s v="Supplier/Vendor"/>
    <s v="United States"/>
    <x v="3"/>
    <n v="1"/>
  </r>
  <r>
    <x v="17"/>
    <n v="1545"/>
    <x v="10"/>
    <n v="18652"/>
    <n v="44550"/>
    <d v="2006-01-03T00:00:00"/>
    <s v="Government/Professional Associations/Academic Institution"/>
    <s v="United States"/>
    <x v="0"/>
    <n v="1"/>
  </r>
  <r>
    <x v="18"/>
    <n v="2990"/>
    <x v="14"/>
    <n v="18722"/>
    <n v="44622"/>
    <d v="2025-01-25T00:00:00"/>
    <s v="Supplier/Vendor"/>
    <s v="United States"/>
    <x v="3"/>
    <n v="1"/>
  </r>
  <r>
    <x v="19"/>
    <n v="2990"/>
    <x v="15"/>
    <n v="18479"/>
    <n v="44361"/>
    <d v="2021-01-13T00:00:00"/>
    <s v="Supplier/Vendor"/>
    <s v="United States"/>
    <x v="3"/>
    <n v="1"/>
  </r>
  <r>
    <x v="20"/>
    <n v="460.04"/>
    <x v="15"/>
    <n v="18491"/>
    <n v="44373"/>
    <d v="2025-04-30T00:00:00"/>
    <s v="Supplier/Vendor"/>
    <s v="United States"/>
    <x v="0"/>
    <n v="1"/>
  </r>
  <r>
    <x v="20"/>
    <n v="108.79"/>
    <x v="15"/>
    <n v="18507"/>
    <n v="44390"/>
    <d v="2025-04-30T00:00:00"/>
    <s v="Supplier/Vendor"/>
    <s v="United States"/>
    <x v="3"/>
    <n v="1"/>
  </r>
  <r>
    <x v="21"/>
    <n v="1545"/>
    <x v="2"/>
    <n v="18359"/>
    <n v="44215"/>
    <d v="2010-02-16T00:00:00"/>
    <s v="Consultant"/>
    <s v="United States"/>
    <x v="0"/>
    <n v="1"/>
  </r>
  <r>
    <x v="22"/>
    <n v="775"/>
    <x v="3"/>
    <n v="18585"/>
    <n v="44482"/>
    <d v="2026-01-12T00:00:00"/>
    <s v=""/>
    <s v="United States"/>
    <x v="1"/>
    <n v="1"/>
  </r>
  <r>
    <x v="23"/>
    <n v="1545"/>
    <x v="0"/>
    <n v="18620"/>
    <n v="44519"/>
    <d v="2013-02-12T00:00:00"/>
    <s v="Government/Professional Associations/Academic Institution"/>
    <s v="United States"/>
    <x v="0"/>
    <n v="1"/>
  </r>
  <r>
    <x v="24"/>
    <n v="775"/>
    <x v="9"/>
    <n v="18695"/>
    <n v="44595"/>
    <d v="2025-01-24T00:00:00"/>
    <s v=""/>
    <s v=""/>
    <x v="1"/>
    <n v="1"/>
  </r>
  <r>
    <x v="25"/>
    <n v="1545"/>
    <x v="16"/>
    <n v="18421"/>
    <n v="44301"/>
    <d v="2026-01-07T00:00:00"/>
    <s v="Supplier/Vendor"/>
    <s v="United States"/>
    <x v="0"/>
    <n v="1"/>
  </r>
  <r>
    <x v="26"/>
    <n v="775"/>
    <x v="16"/>
    <n v="18418"/>
    <n v="44298"/>
    <d v="2023-05-04T00:00:00"/>
    <s v=""/>
    <s v="United States"/>
    <x v="1"/>
    <n v="1"/>
  </r>
  <r>
    <x v="27"/>
    <n v="775"/>
    <x v="17"/>
    <n v="18845"/>
    <n v="44817"/>
    <d v="2026-02-02T00:00:00"/>
    <s v=""/>
    <s v="United States"/>
    <x v="1"/>
    <n v="2"/>
  </r>
  <r>
    <x v="28"/>
    <n v="2680"/>
    <x v="18"/>
    <n v="18656"/>
    <n v="44554"/>
    <d v="2001-04-04T00:00:00"/>
    <s v="Government/Professional Associations/Academic Institution"/>
    <s v="United States"/>
    <x v="0"/>
    <n v="1"/>
  </r>
  <r>
    <x v="29"/>
    <n v="1545"/>
    <x v="4"/>
    <n v="18683"/>
    <n v="44583"/>
    <d v="2025-01-22T00:00:00"/>
    <s v="Supplier/Vendor"/>
    <s v="United States"/>
    <x v="0"/>
    <n v="1"/>
  </r>
  <r>
    <x v="30"/>
    <n v="775"/>
    <x v="19"/>
    <n v="18774"/>
    <n v="44713"/>
    <d v="2026-01-28T00:00:00"/>
    <s v=""/>
    <s v="Japan"/>
    <x v="1"/>
    <n v="1"/>
  </r>
  <r>
    <x v="31"/>
    <n v="2680"/>
    <x v="18"/>
    <n v="18660"/>
    <n v="44559"/>
    <d v="2011-12-20T00:00:00"/>
    <s v="Government/Professional Associations/Academic Institution"/>
    <s v="United States"/>
    <x v="0"/>
    <n v="1"/>
  </r>
  <r>
    <x v="32"/>
    <n v="2680"/>
    <x v="6"/>
    <n v="18826"/>
    <n v="44799"/>
    <d v="2017-07-26T00:00:00"/>
    <s v="Government/Professional Associations/Academic Institution"/>
    <s v="United States"/>
    <x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Beata Piehl Household"/>
    <n v="775"/>
    <d v="2026-01-11T00:00:00"/>
    <n v="18551"/>
    <n v="44438"/>
    <d v="2024-04-03T00:00:00"/>
    <s v=""/>
    <s v=""/>
    <x v="0"/>
    <x v="0"/>
  </r>
  <r>
    <s v="Bellese Technologies"/>
    <n v="775"/>
    <d v="2026-01-05T00:00:00"/>
    <n v="18371"/>
    <n v="44227"/>
    <d v="2021-08-25T00:00:00"/>
    <s v=""/>
    <s v="United States"/>
    <x v="0"/>
    <x v="0"/>
  </r>
  <r>
    <s v="CSIRO"/>
    <n v="775"/>
    <d v="2026-01-12T00:00:00"/>
    <n v="18605"/>
    <n v="44503"/>
    <d v="2026-01-12T00:00:00"/>
    <s v=""/>
    <s v="Australia"/>
    <x v="0"/>
    <x v="0"/>
  </r>
  <r>
    <s v="Dennis Loucks Household"/>
    <n v="775"/>
    <d v="2026-01-31T00:00:00"/>
    <n v="18840"/>
    <n v="44813"/>
    <d v="2021-12-16T00:00:00"/>
    <s v=""/>
    <s v=""/>
    <x v="0"/>
    <x v="0"/>
  </r>
  <r>
    <s v="Donald Kurtz Household"/>
    <n v="775"/>
    <d v="2026-01-30T00:00:00"/>
    <n v="18833"/>
    <n v="44806"/>
    <d v="2026-01-30T00:00:00"/>
    <s v=""/>
    <s v="United States"/>
    <x v="0"/>
    <x v="0"/>
  </r>
  <r>
    <s v="First Databank"/>
    <n v="775"/>
    <d v="2026-01-21T00:00:00"/>
    <n v="18708"/>
    <n v="44608"/>
    <d v="2015-02-03T00:00:00"/>
    <s v="Supplier/Vendor"/>
    <s v="United States"/>
    <x v="0"/>
    <x v="0"/>
  </r>
  <r>
    <s v="John Moehrke Household"/>
    <n v="775"/>
    <d v="2026-01-06T00:00:00"/>
    <n v="18392"/>
    <n v="44254"/>
    <d v="2026-01-06T00:00:00"/>
    <s v=""/>
    <s v="United States"/>
    <x v="0"/>
    <x v="0"/>
  </r>
  <r>
    <s v="Ryan Lee Household"/>
    <n v="775"/>
    <d v="2026-01-12T00:00:00"/>
    <n v="18585"/>
    <n v="44482"/>
    <d v="2026-01-12T00:00:00"/>
    <s v=""/>
    <s v="United States"/>
    <x v="0"/>
    <x v="0"/>
  </r>
  <r>
    <s v="Sam Schifman Household"/>
    <n v="775"/>
    <d v="2026-01-21T00:00:00"/>
    <n v="18695"/>
    <n v="44595"/>
    <d v="2025-01-24T00:00:00"/>
    <s v=""/>
    <s v=""/>
    <x v="0"/>
    <x v="0"/>
  </r>
  <r>
    <s v="Sandy Vance Household"/>
    <n v="775"/>
    <d v="2026-01-07T00:00:00"/>
    <n v="18418"/>
    <n v="44298"/>
    <d v="2023-05-04T00:00:00"/>
    <s v=""/>
    <s v="United States"/>
    <x v="0"/>
    <x v="0"/>
  </r>
  <r>
    <s v="Srinivasan Parthasarathy Household"/>
    <n v="775"/>
    <d v="2026-02-02T00:00:00"/>
    <n v="18845"/>
    <n v="44817"/>
    <d v="2026-02-02T00:00:00"/>
    <s v=""/>
    <s v="United States"/>
    <x v="0"/>
    <x v="1"/>
  </r>
  <r>
    <s v="Toshiaki Kato Household"/>
    <n v="775"/>
    <d v="2026-01-28T00:00:00"/>
    <n v="18774"/>
    <n v="44713"/>
    <d v="2026-01-28T00:00:00"/>
    <s v=""/>
    <s v="Japan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Apelon, Inc."/>
    <n v="2370"/>
    <d v="2026-01-13T00:00:00"/>
    <n v="18613"/>
    <n v="44511"/>
    <d v="2003-08-06T00:00:00"/>
    <s v="Supplier/Vendor"/>
    <s v="United States"/>
    <x v="0"/>
    <n v="1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x v="0"/>
    <n v="1"/>
  </r>
  <r>
    <s v="Epic"/>
    <n v="38100"/>
    <d v="2026-01-26T00:00:00"/>
    <n v="18755"/>
    <n v="44679"/>
    <d v="1998-05-10T00:00:00"/>
    <s v="Supplier/Vendor"/>
    <s v="United States"/>
    <x v="1"/>
    <n v="1"/>
  </r>
  <r>
    <s v="Firely USA"/>
    <n v="1905"/>
    <d v="2026-01-08T00:00:00"/>
    <n v="18444"/>
    <n v="44327"/>
    <d v="2024-02-19T00:00:00"/>
    <s v="Supplier/Vendor"/>
    <s v="United States"/>
    <x v="2"/>
    <n v="1"/>
  </r>
  <r>
    <s v="Flatiron Health"/>
    <n v="9685"/>
    <d v="2026-01-30T00:00:00"/>
    <n v="18825"/>
    <n v="44798"/>
    <d v="2015-05-20T00:00:00"/>
    <s v="Supplier/Vendor"/>
    <s v="United States"/>
    <x v="0"/>
    <n v="1"/>
  </r>
  <r>
    <s v="ICF"/>
    <n v="23375"/>
    <d v="2026-01-26T00:00:00"/>
    <n v="18752"/>
    <n v="44676"/>
    <d v="2012-12-13T00:00:00"/>
    <s v="Consultant"/>
    <s v="United States"/>
    <x v="0"/>
    <n v="1"/>
  </r>
  <r>
    <s v="Indian Health Service"/>
    <n v="5460"/>
    <d v="2026-01-15T00:00:00"/>
    <n v="18650"/>
    <n v="44548"/>
    <d v="2009-06-25T00:00:00"/>
    <s v="Government/Professional Associations/Academic Institution"/>
    <s v="United States"/>
    <x v="0"/>
    <n v="1"/>
  </r>
  <r>
    <s v="KlearTrust"/>
    <n v="1545"/>
    <d v="2026-01-29T00:00:00"/>
    <n v="18802"/>
    <n v="44761"/>
    <d v="2024-01-12T00:00:00"/>
    <s v="Supplier/Vendor"/>
    <s v="United States"/>
    <x v="0"/>
    <n v="1"/>
  </r>
  <r>
    <s v="MedicaSoft"/>
    <n v="2370"/>
    <d v="2026-01-20T00:00:00"/>
    <n v="18672"/>
    <n v="44570"/>
    <d v="2014-12-15T00:00:00"/>
    <s v="Supplier/Vendor"/>
    <s v="United States"/>
    <x v="0"/>
    <n v="1"/>
  </r>
  <r>
    <s v="MyDirectives"/>
    <n v="1905"/>
    <d v="2026-01-22T00:00:00"/>
    <n v="18717"/>
    <n v="44617"/>
    <d v="2018-12-31T00:00:00"/>
    <s v="Supplier/Vendor"/>
    <s v="United States"/>
    <x v="2"/>
    <n v="1"/>
  </r>
  <r>
    <s v="National Association of Dental Plans"/>
    <n v="1545"/>
    <d v="2026-01-15T00:00:00"/>
    <n v="18652"/>
    <n v="44550"/>
    <d v="2006-01-03T00:00:00"/>
    <s v="Government/Professional Associations/Academic Institution"/>
    <s v="United States"/>
    <x v="0"/>
    <n v="1"/>
  </r>
  <r>
    <s v="New Fields Technologies LLC"/>
    <n v="2990"/>
    <d v="2026-01-23T00:00:00"/>
    <n v="18722"/>
    <n v="44622"/>
    <d v="2025-01-25T00:00:00"/>
    <s v="Supplier/Vendor"/>
    <s v="United States"/>
    <x v="2"/>
    <n v="1"/>
  </r>
  <r>
    <s v="Onyx Technology LLC"/>
    <n v="2990"/>
    <d v="2026-01-09T00:00:00"/>
    <n v="18479"/>
    <n v="44361"/>
    <d v="2021-01-13T00:00:00"/>
    <s v="Supplier/Vendor"/>
    <s v="United States"/>
    <x v="2"/>
    <n v="1"/>
  </r>
  <r>
    <s v="Patient Centric Solutions"/>
    <n v="460.04"/>
    <d v="2026-01-09T00:00:00"/>
    <n v="18491"/>
    <n v="44373"/>
    <d v="2025-04-30T00:00:00"/>
    <s v="Supplier/Vendor"/>
    <s v="United States"/>
    <x v="0"/>
    <n v="1"/>
  </r>
  <r>
    <s v="Patient Centric Solutions"/>
    <n v="108.79"/>
    <d v="2026-01-09T00:00:00"/>
    <n v="18507"/>
    <n v="44390"/>
    <d v="2025-04-30T00:00:00"/>
    <s v="Supplier/Vendor"/>
    <s v="United States"/>
    <x v="2"/>
    <n v="1"/>
  </r>
  <r>
    <s v="Professional Laboratory Management, Inc."/>
    <n v="1545"/>
    <d v="2026-01-05T00:00:00"/>
    <n v="18359"/>
    <n v="44215"/>
    <d v="2010-02-16T00:00:00"/>
    <s v="Consultant"/>
    <s v="United States"/>
    <x v="0"/>
    <n v="1"/>
  </r>
  <r>
    <s v="SLI Compliance"/>
    <n v="1545"/>
    <d v="2026-01-13T00:00:00"/>
    <n v="18620"/>
    <n v="44519"/>
    <d v="2013-02-12T00:00:00"/>
    <s v="Government/Professional Associations/Academic Institution"/>
    <s v="United States"/>
    <x v="0"/>
    <n v="1"/>
  </r>
  <r>
    <s v="SandwYch, Inc."/>
    <n v="1545"/>
    <d v="2026-01-07T00:00:00"/>
    <n v="18421"/>
    <n v="44301"/>
    <d v="2026-01-07T00:00:00"/>
    <s v="Supplier/Vendor"/>
    <s v="United States"/>
    <x v="0"/>
    <n v="1"/>
  </r>
  <r>
    <s v="Tennessee Department of Health"/>
    <n v="2680"/>
    <d v="2026-01-16T00:00:00"/>
    <n v="18656"/>
    <n v="44554"/>
    <d v="2001-04-04T00:00:00"/>
    <s v="Government/Professional Associations/Academic Institution"/>
    <s v="United States"/>
    <x v="0"/>
    <n v="1"/>
  </r>
  <r>
    <s v="Tetra Fields LLC"/>
    <n v="1545"/>
    <d v="2026-01-20T00:00:00"/>
    <n v="18683"/>
    <n v="44583"/>
    <d v="2025-01-22T00:00:00"/>
    <s v="Supplier/Vendor"/>
    <s v="United States"/>
    <x v="0"/>
    <n v="1"/>
  </r>
  <r>
    <s v="Virginia Department of Health"/>
    <n v="2680"/>
    <d v="2026-01-16T00:00:00"/>
    <n v="18660"/>
    <n v="44559"/>
    <d v="2011-12-20T00:00:00"/>
    <s v="Government/Professional Associations/Academic Institution"/>
    <s v="United States"/>
    <x v="0"/>
    <n v="1"/>
  </r>
  <r>
    <s v="West Virginia Departments of Human Services, Health and Health Facilities"/>
    <n v="2680"/>
    <d v="2026-01-30T00:00:00"/>
    <n v="18826"/>
    <n v="44799"/>
    <d v="2017-07-26T00:00:00"/>
    <s v="Government/Professional Associations/Academic Institution"/>
    <s v="United States"/>
    <x v="0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300"/>
  </r>
  <r>
    <x v="1"/>
    <n v="9300"/>
  </r>
  <r>
    <x v="2"/>
    <n v="110573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4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J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4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4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25" firstHeaderRow="1" firstDataRow="1" firstDataCol="1"/>
  <pivotFields count="2">
    <pivotField axis="axisRow" allDrilled="1" subtotalTop="0" showAll="0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" fld="1" baseField="0" baseItem="0" numFmtId="44"/>
  </dataFields>
  <formats count="2">
    <format dxfId="28">
      <pivotArea outline="0" collapsedLevelsAreSubtotals="1" fieldPosition="0"/>
    </format>
    <format dxfId="27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4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4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4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m="1" x="1"/>
        <item m="1" x="2"/>
        <item t="default"/>
      </items>
    </pivotField>
    <pivotField showAll="0"/>
  </pivotFields>
  <rowFields count="1">
    <field x="8"/>
  </rowFields>
  <rowItems count="2">
    <i>
      <x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m="1" x="6"/>
        <item m="1" x="10"/>
        <item m="1" x="11"/>
        <item m="1" x="7"/>
        <item m="1" x="4"/>
        <item m="1" x="2"/>
        <item m="1" x="3"/>
        <item m="1" x="9"/>
        <item m="1" x="5"/>
        <item m="1" x="8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Total" fld="1" baseField="0" baseItem="0" numFmtId="44"/>
  </dataFields>
  <formats count="1">
    <format dxfId="22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63C63-33F5-4955-8E4E-25425D32131E}" name="PivotTable2" cacheId="4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4:E19" firstHeaderRow="1" firstDataRow="3" firstDataCol="1" rowPageCount="1" colPageCount="1"/>
  <pivotFields count="12">
    <pivotField axis="axisRow" showAll="0">
      <items count="461">
        <item m="1" x="39"/>
        <item m="1" x="40"/>
        <item m="1" x="42"/>
        <item m="1" x="52"/>
        <item m="1" x="55"/>
        <item m="1" x="59"/>
        <item x="0"/>
        <item x="1"/>
        <item x="2"/>
        <item m="1" x="69"/>
        <item m="1" x="72"/>
        <item m="1" x="73"/>
        <item m="1" x="82"/>
        <item m="1" x="83"/>
        <item m="1" x="85"/>
        <item m="1" x="94"/>
        <item m="1" x="102"/>
        <item m="1" x="106"/>
        <item m="1" x="108"/>
        <item m="1" x="110"/>
        <item m="1" x="113"/>
        <item m="1" x="88"/>
        <item m="1" x="117"/>
        <item m="1" x="119"/>
        <item m="1" x="120"/>
        <item m="1" x="121"/>
        <item m="1" x="122"/>
        <item m="1" x="453"/>
        <item m="1" x="124"/>
        <item m="1" x="127"/>
        <item m="1" x="448"/>
        <item m="1" x="135"/>
        <item m="1" x="142"/>
        <item x="8"/>
        <item x="10"/>
        <item m="1" x="153"/>
        <item m="1" x="157"/>
        <item m="1" x="158"/>
        <item m="1" x="159"/>
        <item m="1" x="206"/>
        <item m="1" x="212"/>
        <item m="1" x="215"/>
        <item m="1" x="164"/>
        <item m="1" x="168"/>
        <item m="1" x="170"/>
        <item m="1" x="172"/>
        <item m="1" x="174"/>
        <item m="1" x="175"/>
        <item m="1" x="176"/>
        <item m="1" x="179"/>
        <item m="1" x="181"/>
        <item m="1" x="185"/>
        <item m="1" x="186"/>
        <item m="1" x="197"/>
        <item m="1" x="199"/>
        <item m="1" x="200"/>
        <item m="1" x="201"/>
        <item m="1" x="203"/>
        <item m="1" x="216"/>
        <item x="12"/>
        <item m="1" x="223"/>
        <item m="1" x="224"/>
        <item m="1" x="225"/>
        <item m="1" x="230"/>
        <item m="1" x="232"/>
        <item m="1" x="233"/>
        <item m="1" x="236"/>
        <item m="1" x="237"/>
        <item m="1" x="240"/>
        <item m="1" x="243"/>
        <item m="1" x="244"/>
        <item m="1" x="249"/>
        <item m="1" x="250"/>
        <item m="1" x="251"/>
        <item m="1" x="253"/>
        <item m="1" x="256"/>
        <item x="14"/>
        <item m="1" x="261"/>
        <item m="1" x="262"/>
        <item m="1" x="270"/>
        <item m="1" x="279"/>
        <item m="1" x="287"/>
        <item m="1" x="288"/>
        <item m="1" x="275"/>
        <item m="1" x="290"/>
        <item x="15"/>
        <item m="1" x="292"/>
        <item m="1" x="276"/>
        <item m="1" x="294"/>
        <item m="1" x="300"/>
        <item x="17"/>
        <item m="1" x="318"/>
        <item m="1" x="307"/>
        <item x="18"/>
        <item m="1" x="324"/>
        <item m="1" x="308"/>
        <item m="1" x="326"/>
        <item m="1" x="329"/>
        <item m="1" x="331"/>
        <item m="1" x="343"/>
        <item x="21"/>
        <item m="1" x="345"/>
        <item m="1" x="347"/>
        <item m="1" x="353"/>
        <item m="1" x="355"/>
        <item m="1" x="356"/>
        <item m="1" x="358"/>
        <item m="1" x="359"/>
        <item m="1" x="364"/>
        <item m="1" x="370"/>
        <item m="1" x="371"/>
        <item x="24"/>
        <item m="1" x="378"/>
        <item x="23"/>
        <item m="1" x="386"/>
        <item m="1" x="388"/>
        <item m="1" x="390"/>
        <item m="1" x="391"/>
        <item m="1" x="393"/>
        <item x="28"/>
        <item x="29"/>
        <item m="1" x="395"/>
        <item m="1" x="398"/>
        <item m="1" x="414"/>
        <item m="1" x="416"/>
        <item m="1" x="417"/>
        <item m="1" x="419"/>
        <item m="1" x="409"/>
        <item m="1" x="410"/>
        <item m="1" x="423"/>
        <item m="1" x="437"/>
        <item m="1" x="431"/>
        <item m="1" x="433"/>
        <item m="1" x="441"/>
        <item m="1" x="444"/>
        <item m="1" x="446"/>
        <item m="1" x="36"/>
        <item m="1" x="43"/>
        <item m="1" x="50"/>
        <item m="1" x="51"/>
        <item m="1" x="53"/>
        <item m="1" x="70"/>
        <item m="1" x="74"/>
        <item m="1" x="90"/>
        <item m="1" x="91"/>
        <item m="1" x="95"/>
        <item m="1" x="97"/>
        <item m="1" x="107"/>
        <item m="1" x="138"/>
        <item m="1" x="144"/>
        <item m="1" x="152"/>
        <item m="1" x="162"/>
        <item m="1" x="163"/>
        <item m="1" x="165"/>
        <item m="1" x="167"/>
        <item m="1" x="171"/>
        <item m="1" x="173"/>
        <item m="1" x="177"/>
        <item m="1" x="178"/>
        <item m="1" x="180"/>
        <item m="1" x="183"/>
        <item m="1" x="187"/>
        <item m="1" x="189"/>
        <item m="1" x="190"/>
        <item m="1" x="194"/>
        <item m="1" x="196"/>
        <item m="1" x="202"/>
        <item m="1" x="204"/>
        <item m="1" x="211"/>
        <item m="1" x="213"/>
        <item m="1" x="214"/>
        <item m="1" x="217"/>
        <item m="1" x="222"/>
        <item m="1" x="226"/>
        <item m="1" x="228"/>
        <item m="1" x="239"/>
        <item m="1" x="245"/>
        <item m="1" x="246"/>
        <item m="1" x="248"/>
        <item m="1" x="265"/>
        <item m="1" x="266"/>
        <item m="1" x="267"/>
        <item m="1" x="273"/>
        <item m="1" x="278"/>
        <item m="1" x="284"/>
        <item m="1" x="285"/>
        <item m="1" x="286"/>
        <item m="1" x="289"/>
        <item m="1" x="291"/>
        <item m="1" x="298"/>
        <item m="1" x="303"/>
        <item m="1" x="311"/>
        <item m="1" x="316"/>
        <item m="1" x="327"/>
        <item x="20"/>
        <item m="1" x="336"/>
        <item m="1" x="337"/>
        <item m="1" x="357"/>
        <item m="1" x="361"/>
        <item m="1" x="368"/>
        <item m="1" x="377"/>
        <item m="1" x="380"/>
        <item m="1" x="384"/>
        <item m="1" x="389"/>
        <item m="1" x="396"/>
        <item m="1" x="400"/>
        <item m="1" x="408"/>
        <item m="1" x="420"/>
        <item m="1" x="424"/>
        <item m="1" x="425"/>
        <item m="1" x="426"/>
        <item m="1" x="428"/>
        <item m="1" x="429"/>
        <item m="1" x="430"/>
        <item m="1" x="432"/>
        <item m="1" x="435"/>
        <item m="1" x="443"/>
        <item m="1" x="449"/>
        <item m="1" x="452"/>
        <item m="1" x="63"/>
        <item m="1" x="81"/>
        <item m="1" x="84"/>
        <item m="1" x="103"/>
        <item m="1" x="105"/>
        <item m="1" x="114"/>
        <item m="1" x="129"/>
        <item m="1" x="133"/>
        <item m="1" x="143"/>
        <item m="1" x="169"/>
        <item m="1" x="184"/>
        <item m="1" x="188"/>
        <item m="1" x="191"/>
        <item m="1" x="192"/>
        <item m="1" x="207"/>
        <item m="1" x="219"/>
        <item m="1" x="220"/>
        <item m="1" x="231"/>
        <item m="1" x="234"/>
        <item m="1" x="263"/>
        <item m="1" x="269"/>
        <item m="1" x="293"/>
        <item m="1" x="296"/>
        <item m="1" x="297"/>
        <item m="1" x="315"/>
        <item m="1" x="321"/>
        <item m="1" x="322"/>
        <item m="1" x="338"/>
        <item m="1" x="339"/>
        <item m="1" x="340"/>
        <item m="1" x="351"/>
        <item m="1" x="366"/>
        <item m="1" x="369"/>
        <item m="1" x="404"/>
        <item m="1" x="405"/>
        <item m="1" x="447"/>
        <item m="1" x="33"/>
        <item m="1" x="459"/>
        <item m="1" x="45"/>
        <item m="1" x="48"/>
        <item m="1" x="57"/>
        <item m="1" x="58"/>
        <item m="1" x="71"/>
        <item m="1" x="87"/>
        <item m="1" x="98"/>
        <item m="1" x="99"/>
        <item m="1" x="100"/>
        <item m="1" x="111"/>
        <item m="1" x="139"/>
        <item m="1" x="140"/>
        <item m="1" x="146"/>
        <item m="1" x="150"/>
        <item m="1" x="160"/>
        <item m="1" x="166"/>
        <item m="1" x="455"/>
        <item m="1" x="456"/>
        <item m="1" x="182"/>
        <item m="1" x="457"/>
        <item m="1" x="193"/>
        <item m="1" x="195"/>
        <item m="1" x="458"/>
        <item m="1" x="198"/>
        <item m="1" x="235"/>
        <item m="1" x="238"/>
        <item m="1" x="254"/>
        <item m="1" x="255"/>
        <item m="1" x="258"/>
        <item m="1" x="260"/>
        <item m="1" x="302"/>
        <item m="1" x="305"/>
        <item m="1" x="306"/>
        <item m="1" x="317"/>
        <item m="1" x="320"/>
        <item m="1" x="323"/>
        <item m="1" x="330"/>
        <item m="1" x="333"/>
        <item m="1" x="350"/>
        <item m="1" x="360"/>
        <item m="1" x="376"/>
        <item m="1" x="385"/>
        <item m="1" x="387"/>
        <item m="1" x="399"/>
        <item m="1" x="418"/>
        <item m="1" x="421"/>
        <item m="1" x="434"/>
        <item m="1" x="439"/>
        <item m="1" x="35"/>
        <item m="1" x="37"/>
        <item m="1" x="44"/>
        <item m="1" x="46"/>
        <item m="1" x="54"/>
        <item m="1" x="60"/>
        <item m="1" x="67"/>
        <item m="1" x="75"/>
        <item m="1" x="79"/>
        <item m="1" x="80"/>
        <item m="1" x="89"/>
        <item m="1" x="96"/>
        <item m="1" x="101"/>
        <item m="1" x="104"/>
        <item m="1" x="109"/>
        <item m="1" x="454"/>
        <item m="1" x="131"/>
        <item m="1" x="132"/>
        <item m="1" x="134"/>
        <item m="1" x="141"/>
        <item m="1" x="151"/>
        <item m="1" x="241"/>
        <item m="1" x="252"/>
        <item m="1" x="257"/>
        <item m="1" x="280"/>
        <item m="1" x="281"/>
        <item m="1" x="282"/>
        <item m="1" x="299"/>
        <item m="1" x="313"/>
        <item m="1" x="325"/>
        <item m="1" x="332"/>
        <item m="1" x="342"/>
        <item m="1" x="352"/>
        <item m="1" x="374"/>
        <item m="1" x="394"/>
        <item m="1" x="440"/>
        <item m="1" x="451"/>
        <item m="1" x="34"/>
        <item m="1" x="41"/>
        <item m="1" x="61"/>
        <item m="1" x="65"/>
        <item m="1" x="68"/>
        <item m="1" x="118"/>
        <item m="1" x="125"/>
        <item m="1" x="149"/>
        <item m="1" x="155"/>
        <item m="1" x="161"/>
        <item m="1" x="221"/>
        <item m="1" x="272"/>
        <item m="1" x="277"/>
        <item m="1" x="363"/>
        <item m="1" x="367"/>
        <item m="1" x="372"/>
        <item m="1" x="382"/>
        <item m="1" x="403"/>
        <item m="1" x="47"/>
        <item m="1" x="62"/>
        <item m="1" x="64"/>
        <item m="1" x="76"/>
        <item m="1" x="77"/>
        <item m="1" x="93"/>
        <item m="1" x="115"/>
        <item m="1" x="126"/>
        <item m="1" x="130"/>
        <item m="1" x="136"/>
        <item m="1" x="145"/>
        <item m="1" x="147"/>
        <item m="1" x="148"/>
        <item m="1" x="209"/>
        <item m="1" x="210"/>
        <item m="1" x="227"/>
        <item m="1" x="229"/>
        <item m="1" x="274"/>
        <item m="1" x="304"/>
        <item m="1" x="319"/>
        <item m="1" x="349"/>
        <item m="1" x="362"/>
        <item m="1" x="379"/>
        <item m="1" x="381"/>
        <item m="1" x="392"/>
        <item m="1" x="397"/>
        <item m="1" x="401"/>
        <item m="1" x="407"/>
        <item m="1" x="411"/>
        <item m="1" x="412"/>
        <item m="1" x="422"/>
        <item m="1" x="442"/>
        <item m="1" x="38"/>
        <item m="1" x="56"/>
        <item m="1" x="86"/>
        <item m="1" x="112"/>
        <item m="1" x="116"/>
        <item m="1" x="123"/>
        <item m="1" x="128"/>
        <item m="1" x="137"/>
        <item m="1" x="154"/>
        <item m="1" x="208"/>
        <item m="1" x="218"/>
        <item m="1" x="247"/>
        <item m="1" x="259"/>
        <item m="1" x="271"/>
        <item m="1" x="283"/>
        <item m="1" x="309"/>
        <item m="1" x="310"/>
        <item m="1" x="312"/>
        <item m="1" x="328"/>
        <item m="1" x="334"/>
        <item m="1" x="341"/>
        <item m="1" x="344"/>
        <item m="1" x="354"/>
        <item m="1" x="365"/>
        <item m="1" x="383"/>
        <item m="1" x="402"/>
        <item m="1" x="415"/>
        <item m="1" x="427"/>
        <item m="1" x="436"/>
        <item m="1" x="445"/>
        <item m="1" x="49"/>
        <item m="1" x="66"/>
        <item m="1" x="78"/>
        <item m="1" x="92"/>
        <item m="1" x="156"/>
        <item m="1" x="205"/>
        <item m="1" x="242"/>
        <item m="1" x="264"/>
        <item m="1" x="268"/>
        <item m="1" x="295"/>
        <item m="1" x="301"/>
        <item m="1" x="314"/>
        <item m="1" x="335"/>
        <item m="1" x="346"/>
        <item m="1" x="348"/>
        <item m="1" x="373"/>
        <item m="1" x="375"/>
        <item m="1" x="406"/>
        <item m="1" x="413"/>
        <item m="1" x="438"/>
        <item m="1" x="450"/>
        <item x="3"/>
        <item x="4"/>
        <item x="5"/>
        <item x="6"/>
        <item x="7"/>
        <item x="9"/>
        <item x="11"/>
        <item x="13"/>
        <item x="16"/>
        <item x="19"/>
        <item x="22"/>
        <item x="25"/>
        <item x="26"/>
        <item x="27"/>
        <item x="30"/>
        <item x="31"/>
        <item x="32"/>
        <item t="default"/>
      </items>
    </pivotField>
    <pivotField dataField="1" showAll="0"/>
    <pivotField axis="axisCol" numFmtId="14" showAll="0">
      <items count="241">
        <item m="1" x="229"/>
        <item m="1" x="228"/>
        <item m="1" x="77"/>
        <item m="1" x="54"/>
        <item m="1" x="125"/>
        <item m="1" x="59"/>
        <item m="1" x="161"/>
        <item m="1" x="112"/>
        <item m="1" x="92"/>
        <item m="1" x="86"/>
        <item m="1" x="205"/>
        <item m="1" x="67"/>
        <item m="1" x="106"/>
        <item m="1" x="115"/>
        <item m="1" x="223"/>
        <item m="1" x="68"/>
        <item m="1" x="195"/>
        <item m="1" x="53"/>
        <item m="1" x="170"/>
        <item m="1" x="96"/>
        <item m="1" x="116"/>
        <item m="1" x="101"/>
        <item m="1" x="124"/>
        <item m="1" x="166"/>
        <item m="1" x="142"/>
        <item m="1" x="235"/>
        <item m="1" x="183"/>
        <item m="1" x="194"/>
        <item m="1" x="26"/>
        <item m="1" x="94"/>
        <item m="1" x="179"/>
        <item m="1" x="95"/>
        <item m="1" x="70"/>
        <item m="1" x="169"/>
        <item m="1" x="188"/>
        <item m="1" x="135"/>
        <item m="1" x="162"/>
        <item m="1" x="147"/>
        <item m="1" x="88"/>
        <item m="1" x="155"/>
        <item m="1" x="211"/>
        <item m="1" x="38"/>
        <item m="1" x="154"/>
        <item m="1" x="227"/>
        <item m="1" x="209"/>
        <item m="1" x="199"/>
        <item m="1" x="46"/>
        <item m="1" x="29"/>
        <item m="1" x="220"/>
        <item m="1" x="56"/>
        <item m="1" x="160"/>
        <item m="1" x="122"/>
        <item m="1" x="130"/>
        <item m="1" x="197"/>
        <item m="1" x="60"/>
        <item m="1" x="132"/>
        <item m="1" x="98"/>
        <item m="1" x="127"/>
        <item m="1" x="41"/>
        <item m="1" x="44"/>
        <item m="1" x="134"/>
        <item m="1" x="23"/>
        <item m="1" x="30"/>
        <item m="1" x="36"/>
        <item m="1" x="37"/>
        <item m="1" x="39"/>
        <item m="1" x="57"/>
        <item m="1" x="61"/>
        <item m="1" x="73"/>
        <item m="1" x="78"/>
        <item m="1" x="80"/>
        <item m="1" x="109"/>
        <item m="1" x="114"/>
        <item m="1" x="121"/>
        <item m="1" x="126"/>
        <item m="1" x="129"/>
        <item m="1" x="133"/>
        <item m="1" x="136"/>
        <item m="1" x="137"/>
        <item m="1" x="138"/>
        <item m="1" x="141"/>
        <item m="1" x="144"/>
        <item m="1" x="146"/>
        <item m="1" x="152"/>
        <item m="1" x="156"/>
        <item m="1" x="157"/>
        <item m="1" x="173"/>
        <item m="1" x="177"/>
        <item m="1" x="180"/>
        <item m="1" x="181"/>
        <item m="1" x="190"/>
        <item m="1" x="192"/>
        <item m="1" x="202"/>
        <item m="1" x="210"/>
        <item m="1" x="217"/>
        <item m="1" x="231"/>
        <item m="1" x="232"/>
        <item m="1" x="233"/>
        <item m="1" x="237"/>
        <item m="1" x="49"/>
        <item m="1" x="66"/>
        <item m="1" x="69"/>
        <item m="1" x="84"/>
        <item m="1" x="85"/>
        <item m="1" x="91"/>
        <item m="1" x="104"/>
        <item m="1" x="113"/>
        <item m="1" x="131"/>
        <item m="1" x="139"/>
        <item m="1" x="149"/>
        <item m="1" x="150"/>
        <item m="1" x="159"/>
        <item m="1" x="182"/>
        <item m="1" x="196"/>
        <item m="1" x="203"/>
        <item m="1" x="215"/>
        <item m="1" x="226"/>
        <item m="1" x="230"/>
        <item m="1" x="20"/>
        <item m="1" x="58"/>
        <item m="1" x="31"/>
        <item m="1" x="34"/>
        <item m="1" x="43"/>
        <item m="1" x="72"/>
        <item m="1" x="81"/>
        <item m="1" x="82"/>
        <item m="1" x="89"/>
        <item m="1" x="110"/>
        <item m="1" x="117"/>
        <item m="1" x="119"/>
        <item m="1" x="239"/>
        <item m="1" x="143"/>
        <item m="1" x="163"/>
        <item m="1" x="168"/>
        <item m="1" x="185"/>
        <item m="1" x="187"/>
        <item m="1" x="193"/>
        <item m="1" x="198"/>
        <item m="1" x="212"/>
        <item m="1" x="221"/>
        <item m="1" x="22"/>
        <item m="1" x="24"/>
        <item m="1" x="32"/>
        <item m="1" x="40"/>
        <item m="1" x="45"/>
        <item m="1" x="52"/>
        <item m="1" x="65"/>
        <item m="1" x="79"/>
        <item m="1" x="83"/>
        <item m="1" x="87"/>
        <item m="1" x="216"/>
        <item m="1" x="105"/>
        <item m="1" x="111"/>
        <item m="1" x="120"/>
        <item m="1" x="140"/>
        <item m="1" x="153"/>
        <item m="1" x="164"/>
        <item m="1" x="171"/>
        <item m="1" x="191"/>
        <item m="1" x="21"/>
        <item m="1" x="28"/>
        <item m="1" x="47"/>
        <item m="1" x="55"/>
        <item m="1" x="93"/>
        <item m="1" x="99"/>
        <item m="1" x="118"/>
        <item m="1" x="151"/>
        <item m="1" x="176"/>
        <item m="1" x="214"/>
        <item m="1" x="218"/>
        <item m="1" x="225"/>
        <item m="1" x="33"/>
        <item m="1" x="48"/>
        <item m="1" x="50"/>
        <item m="1" x="62"/>
        <item m="1" x="63"/>
        <item m="1" x="75"/>
        <item m="1" x="76"/>
        <item m="1" x="100"/>
        <item m="1" x="107"/>
        <item m="1" x="128"/>
        <item m="1" x="145"/>
        <item m="1" x="158"/>
        <item m="1" x="178"/>
        <item m="1" x="186"/>
        <item m="1" x="207"/>
        <item m="1" x="222"/>
        <item m="1" x="224"/>
        <item m="1" x="236"/>
        <item m="1" x="25"/>
        <item m="1" x="42"/>
        <item m="1" x="71"/>
        <item m="1" x="90"/>
        <item m="1" x="97"/>
        <item m="1" x="103"/>
        <item m="1" x="108"/>
        <item m="1" x="148"/>
        <item m="1" x="167"/>
        <item m="1" x="175"/>
        <item m="1" x="189"/>
        <item m="1" x="200"/>
        <item m="1" x="204"/>
        <item m="1" x="208"/>
        <item m="1" x="213"/>
        <item m="1" x="219"/>
        <item m="1" x="234"/>
        <item m="1" x="27"/>
        <item m="1" x="35"/>
        <item m="1" x="51"/>
        <item m="1" x="64"/>
        <item m="1" x="74"/>
        <item m="1" x="102"/>
        <item m="1" x="123"/>
        <item m="1" x="165"/>
        <item m="1" x="172"/>
        <item m="1" x="174"/>
        <item m="1" x="184"/>
        <item m="1" x="201"/>
        <item m="1" x="206"/>
        <item m="1" x="2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14" showAll="0"/>
    <pivotField showAll="0"/>
    <pivotField showAll="0"/>
    <pivotField axis="axisPage" showAll="0">
      <items count="8">
        <item m="1" x="6"/>
        <item x="2"/>
        <item x="3"/>
        <item x="1"/>
        <item x="0"/>
        <item m="1" x="4"/>
        <item m="1" x="5"/>
        <item t="default"/>
      </items>
    </pivotField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3">
    <i>
      <x v="7"/>
    </i>
    <i>
      <x v="8"/>
    </i>
    <i>
      <x v="111"/>
    </i>
    <i>
      <x v="443"/>
    </i>
    <i>
      <x v="445"/>
    </i>
    <i>
      <x v="446"/>
    </i>
    <i>
      <x v="448"/>
    </i>
    <i>
      <x v="450"/>
    </i>
    <i>
      <x v="453"/>
    </i>
    <i>
      <x v="455"/>
    </i>
    <i>
      <x v="456"/>
    </i>
    <i>
      <x v="457"/>
    </i>
    <i t="grand">
      <x/>
    </i>
  </rowItems>
  <colFields count="2">
    <field x="11"/>
    <field x="2"/>
  </colFields>
  <colItems count="3">
    <i>
      <x v="1"/>
    </i>
    <i>
      <x v="2"/>
    </i>
    <i t="grand">
      <x/>
    </i>
  </colItems>
  <pageFields count="1">
    <pageField fld="8" item="3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2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3"/>
        <item x="1"/>
        <item x="2"/>
        <item x="4"/>
        <item m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4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31" totalsRowDxfId="9"/>
    <tableColumn id="2" xr3:uid="{4B9EBADE-A69E-47F4-A148-E91327D51523}" name="2026 Dues Total" totalsRowFunction="sum" dataDxfId="30" totalsRowDxfId="8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23" tableType="queryTable" totalsRowShown="0">
  <autoFilter ref="A1:J23" xr:uid="{773CAA2A-3019-4CC4-8AA3-D44C337802CF}"/>
  <tableColumns count="10">
    <tableColumn id="1" xr3:uid="{E76B5370-4112-4033-B309-979487D5D651}" uniqueName="1" name="Account Name" queryTableFieldId="1" dataDxfId="26"/>
    <tableColumn id="2" xr3:uid="{1D6F9AE6-5DC1-49F7-8782-34127926E9F0}" uniqueName="2" name="Total" queryTableFieldId="2"/>
    <tableColumn id="3" xr3:uid="{A191BF75-CA82-4ED7-BFE4-409FE5356D9C}" uniqueName="3" name="Posted Date" queryTableFieldId="3" dataDxfId="7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6"/>
    <tableColumn id="7" xr3:uid="{F5080EF2-13D6-4CF1-827D-B66B46B17BA6}" uniqueName="7" name="Account Category" queryTableFieldId="7" dataDxfId="25"/>
    <tableColumn id="8" xr3:uid="{8916CA15-871D-4A88-815C-AC351C43C54F}" uniqueName="8" name="Billing Country" queryTableFieldId="8" dataDxfId="24"/>
    <tableColumn id="9" xr3:uid="{D1E6271C-71EE-4185-B3CA-750E086D4BC6}" uniqueName="9" name="Item Name" queryTableFieldId="9" dataDxfId="23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13" tableType="queryTable" totalsRowShown="0">
  <autoFilter ref="A1:J13" xr:uid="{822C88D8-0AB0-4869-83BD-80D3CA0AD69E}"/>
  <tableColumns count="10">
    <tableColumn id="1" xr3:uid="{0A652639-F825-4C53-9F52-54EA8FC3A182}" uniqueName="1" name="Account Name" queryTableFieldId="1" dataDxfId="21"/>
    <tableColumn id="2" xr3:uid="{725D92B3-6CD2-4C2A-A995-97D9C1928297}" uniqueName="2" name="Total" queryTableFieldId="2"/>
    <tableColumn id="3" xr3:uid="{81AB5C1B-B72F-42FD-96C0-58225280C517}" uniqueName="3" name="Posted Date" queryTableFieldId="3" dataDxfId="1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0"/>
    <tableColumn id="7" xr3:uid="{ACD237DA-FE0E-42F8-BB56-9534A3ADA619}" uniqueName="7" name="Account Category" queryTableFieldId="7" dataDxfId="20"/>
    <tableColumn id="8" xr3:uid="{191EAEF7-5E8A-41EA-95D1-B72B1D3A54E4}" uniqueName="8" name="Billing Country" queryTableFieldId="8" dataDxfId="19"/>
    <tableColumn id="9" xr3:uid="{ED098656-FE58-4097-83FE-EF15347A26E0}" uniqueName="9" name="Item Name" queryTableFieldId="9" dataDxfId="18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34" tableType="queryTable" totalsRowShown="0">
  <autoFilter ref="A1:K34" xr:uid="{40FBE7B8-77BE-44BB-9872-DD5A4D2E4E5A}"/>
  <tableColumns count="11">
    <tableColumn id="1" xr3:uid="{A549FE1F-7DC6-4CAF-90B5-76688494F756}" uniqueName="1" name="Account Name" queryTableFieldId="1" dataDxfId="17"/>
    <tableColumn id="2" xr3:uid="{C64CD669-1D75-4D76-9379-A84CA4D633B7}" uniqueName="2" name="Total" queryTableFieldId="2"/>
    <tableColumn id="3" xr3:uid="{A32854CB-3828-4DD5-A903-94970370A90D}" uniqueName="3" name="Posted Date" queryTableFieldId="3" dataDxfId="5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4"/>
    <tableColumn id="7" xr3:uid="{12B6136F-CBD4-47E3-974A-E3B2B5072EF1}" uniqueName="7" name="Account Category" queryTableFieldId="7" dataDxfId="16"/>
    <tableColumn id="8" xr3:uid="{BFC06638-8592-4622-AE3C-D6883A16C797}" uniqueName="8" name="Billing Country" queryTableFieldId="8" dataDxfId="15"/>
    <tableColumn id="9" xr3:uid="{44370CA2-1A63-4695-BF21-F48C5D096090}" uniqueName="9" name="Item Name" queryTableFieldId="9" dataDxfId="14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35" tableType="queryTable" totalsRowShown="0">
  <autoFilter ref="A1:J35" xr:uid="{77F35BBB-6D46-4CB5-BB2B-53CE1293C4E3}"/>
  <tableColumns count="10">
    <tableColumn id="1" xr3:uid="{DA042C2E-F709-4840-873D-B19848EB4F96}" uniqueName="1" name="Account Name" queryTableFieldId="1" dataDxfId="13"/>
    <tableColumn id="2" xr3:uid="{69A741DC-F257-40C2-B91D-56A9AD0708E4}" uniqueName="2" name="Total" queryTableFieldId="2"/>
    <tableColumn id="3" xr3:uid="{B9AD17EF-4D79-46D2-922C-E66C05DDF247}" uniqueName="3" name="Posted Date" queryTableFieldId="3" dataDxfId="3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2"/>
    <tableColumn id="7" xr3:uid="{3A413C51-D921-4E0B-B08B-25E40C57731B}" uniqueName="7" name="Account Category" queryTableFieldId="7" dataDxfId="12"/>
    <tableColumn id="8" xr3:uid="{4CD917E1-EF27-4C98-9F0B-23CB8418A848}" uniqueName="8" name="Billing Country" queryTableFieldId="8" dataDxfId="11"/>
    <tableColumn id="9" xr3:uid="{9F824C32-5E81-411D-A170-144E6B4BB618}" uniqueName="9" name="Item Name" queryTableFieldId="9" dataDxfId="10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topLeftCell="E1" zoomScale="90" zoomScaleNormal="90" workbookViewId="0">
      <selection activeCell="X15" sqref="X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topLeftCell="A4" zoomScale="90" zoomScaleNormal="90" workbookViewId="0">
      <selection activeCell="A52" sqref="A52:A55"/>
    </sheetView>
  </sheetViews>
  <sheetFormatPr defaultRowHeight="14.5" x14ac:dyDescent="0.35"/>
  <cols>
    <col min="1" max="1" width="50.6328125" bestFit="1" customWidth="1"/>
    <col min="2" max="2" width="12.4531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1" width="24.08984375" bestFit="1" customWidth="1"/>
    <col min="12" max="12" width="20.6328125" bestFit="1" customWidth="1"/>
  </cols>
  <sheetData>
    <row r="1" spans="1:12" x14ac:dyDescent="0.35">
      <c r="F1" t="s">
        <v>45</v>
      </c>
      <c r="J1" t="s">
        <v>46</v>
      </c>
    </row>
    <row r="2" spans="1:12" x14ac:dyDescent="0.35">
      <c r="A2" t="s">
        <v>44</v>
      </c>
    </row>
    <row r="3" spans="1:12" x14ac:dyDescent="0.35">
      <c r="A3" s="2" t="s">
        <v>29</v>
      </c>
      <c r="B3" s="4" t="s">
        <v>31</v>
      </c>
      <c r="F3" s="3" t="s">
        <v>40</v>
      </c>
      <c r="G3" t="s">
        <v>87</v>
      </c>
      <c r="J3" s="2" t="s">
        <v>29</v>
      </c>
    </row>
    <row r="4" spans="1:12" x14ac:dyDescent="0.35">
      <c r="A4" s="3" t="s">
        <v>0</v>
      </c>
      <c r="B4" s="4">
        <v>24920</v>
      </c>
      <c r="F4" s="3" t="s">
        <v>41</v>
      </c>
      <c r="G4" s="7">
        <f>GETPIVOTDATA("Total",Affiliate!$B$4)</f>
        <v>9300</v>
      </c>
      <c r="J4" s="3" t="s">
        <v>41</v>
      </c>
    </row>
    <row r="5" spans="1:12" x14ac:dyDescent="0.35">
      <c r="A5" s="3" t="s">
        <v>11</v>
      </c>
      <c r="B5" s="4">
        <v>18135</v>
      </c>
      <c r="F5" s="3" t="s">
        <v>42</v>
      </c>
      <c r="G5" s="8">
        <f>GETPIVOTDATA("Total",'Ind Revenues'!$A$3)</f>
        <v>9300</v>
      </c>
      <c r="J5" s="3" t="s">
        <v>42</v>
      </c>
    </row>
    <row r="6" spans="1:12" x14ac:dyDescent="0.35">
      <c r="A6" s="3" t="s">
        <v>17</v>
      </c>
      <c r="B6" s="4">
        <v>68293.83</v>
      </c>
      <c r="F6" s="3" t="s">
        <v>43</v>
      </c>
      <c r="G6" s="8">
        <f>GETPIVOTDATA("[Measures].[Sum of Total]",'Org Revenues'!$A$3)</f>
        <v>110573.83</v>
      </c>
      <c r="J6" s="3" t="s">
        <v>43</v>
      </c>
    </row>
    <row r="7" spans="1:12" x14ac:dyDescent="0.35">
      <c r="A7" s="3" t="s">
        <v>30</v>
      </c>
      <c r="B7" s="4">
        <v>111348.83</v>
      </c>
      <c r="F7" s="3" t="s">
        <v>30</v>
      </c>
      <c r="G7" s="8">
        <f>SUBTOTAL(109,Table10[2026 Dues Total])</f>
        <v>129173.83</v>
      </c>
      <c r="J7" s="3" t="s">
        <v>30</v>
      </c>
      <c r="L7" t="str">
        <f>"Grand Total "&amp;TEXT(Table10[[#Totals],[2026 Dues Total]],"$#,###")</f>
        <v>Grand Total $129,174</v>
      </c>
    </row>
    <row r="10" spans="1:12" x14ac:dyDescent="0.35">
      <c r="C10" t="str">
        <f>"Grand Total "&amp;TEXT(GETPIVOTDATA("[Measures].[Sum of Total 2]",$A$3),"$#,###")</f>
        <v>Grand Total $111,349</v>
      </c>
      <c r="K10" s="2" t="s">
        <v>29</v>
      </c>
    </row>
    <row r="11" spans="1:12" x14ac:dyDescent="0.35">
      <c r="K11" s="3" t="s">
        <v>41</v>
      </c>
    </row>
    <row r="12" spans="1:12" x14ac:dyDescent="0.35">
      <c r="A12" s="3" t="s">
        <v>53</v>
      </c>
      <c r="B12" s="10">
        <v>2847751</v>
      </c>
      <c r="C12" s="6" t="str">
        <f>CONCATENATE(A12," ",TEXT(B12,"$#,###,###"))</f>
        <v>Goal:  $2,847,751</v>
      </c>
      <c r="E12" s="12">
        <f>C40/B12</f>
        <v>2.267997272233422E-2</v>
      </c>
      <c r="K12" s="3" t="s">
        <v>42</v>
      </c>
    </row>
    <row r="13" spans="1:12" x14ac:dyDescent="0.35">
      <c r="B13" s="11">
        <f>B12/10</f>
        <v>284775.09999999998</v>
      </c>
      <c r="C13" s="11">
        <f>B13/10</f>
        <v>28477.51</v>
      </c>
      <c r="K13" s="3" t="s">
        <v>43</v>
      </c>
    </row>
    <row r="14" spans="1:12" x14ac:dyDescent="0.35">
      <c r="K14" s="3" t="s">
        <v>30</v>
      </c>
    </row>
    <row r="15" spans="1:12" x14ac:dyDescent="0.35">
      <c r="B15" t="s">
        <v>47</v>
      </c>
      <c r="C15" t="s">
        <v>48</v>
      </c>
      <c r="D15" t="s">
        <v>62</v>
      </c>
    </row>
    <row r="16" spans="1:12" x14ac:dyDescent="0.35">
      <c r="B16" s="9">
        <v>0.1</v>
      </c>
      <c r="C16" s="11">
        <v>284775.09999999998</v>
      </c>
      <c r="D16">
        <v>10</v>
      </c>
    </row>
    <row r="17" spans="2:4" x14ac:dyDescent="0.35">
      <c r="B17" s="9">
        <v>0.2</v>
      </c>
      <c r="C17" s="11">
        <v>284775.09999999998</v>
      </c>
      <c r="D17">
        <v>10</v>
      </c>
    </row>
    <row r="18" spans="2:4" x14ac:dyDescent="0.35">
      <c r="B18" s="9">
        <v>0.3</v>
      </c>
      <c r="C18" s="11">
        <v>284775.09999999998</v>
      </c>
      <c r="D18">
        <v>10</v>
      </c>
    </row>
    <row r="19" spans="2:4" x14ac:dyDescent="0.35">
      <c r="B19" s="9">
        <v>0.4</v>
      </c>
      <c r="C19" s="11">
        <v>284775.09999999998</v>
      </c>
      <c r="D19">
        <v>10</v>
      </c>
    </row>
    <row r="20" spans="2:4" x14ac:dyDescent="0.35">
      <c r="B20" s="9">
        <v>0.5</v>
      </c>
      <c r="C20" s="11">
        <v>284775.09999999998</v>
      </c>
      <c r="D20">
        <v>10</v>
      </c>
    </row>
    <row r="21" spans="2:4" x14ac:dyDescent="0.35">
      <c r="B21" s="9">
        <v>0.6</v>
      </c>
      <c r="C21" s="11">
        <v>284775.09999999998</v>
      </c>
      <c r="D21">
        <v>10</v>
      </c>
    </row>
    <row r="22" spans="2:4" x14ac:dyDescent="0.35">
      <c r="B22" s="9">
        <v>0.7</v>
      </c>
      <c r="C22" s="11">
        <v>284775.09999999998</v>
      </c>
      <c r="D22">
        <v>10</v>
      </c>
    </row>
    <row r="23" spans="2:4" x14ac:dyDescent="0.35">
      <c r="B23" s="9">
        <v>0.8</v>
      </c>
      <c r="C23" s="11">
        <v>284775.09999999998</v>
      </c>
      <c r="D23">
        <v>10</v>
      </c>
    </row>
    <row r="24" spans="2:4" x14ac:dyDescent="0.35">
      <c r="B24" s="9">
        <v>0.9</v>
      </c>
      <c r="C24" s="11">
        <v>284775.09999999998</v>
      </c>
      <c r="D24">
        <v>10</v>
      </c>
    </row>
    <row r="25" spans="2:4" x14ac:dyDescent="0.35">
      <c r="B25" s="9">
        <v>1</v>
      </c>
      <c r="C25" s="11">
        <v>284775.09999999998</v>
      </c>
      <c r="D25">
        <v>10</v>
      </c>
    </row>
    <row r="26" spans="2:4" x14ac:dyDescent="0.35">
      <c r="B26" s="9">
        <v>1.1000000000000001</v>
      </c>
      <c r="C26" s="11">
        <v>284775.09999999998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47</v>
      </c>
      <c r="C39" t="s">
        <v>49</v>
      </c>
    </row>
    <row r="40" spans="2:4" x14ac:dyDescent="0.35">
      <c r="B40" t="s">
        <v>50</v>
      </c>
      <c r="C40" s="5">
        <f>G7/2</f>
        <v>64586.915000000001</v>
      </c>
    </row>
    <row r="41" spans="2:4" x14ac:dyDescent="0.35">
      <c r="B41" t="s">
        <v>51</v>
      </c>
      <c r="C41">
        <v>30000</v>
      </c>
    </row>
    <row r="42" spans="2:4" x14ac:dyDescent="0.35">
      <c r="B42" t="s">
        <v>52</v>
      </c>
      <c r="C42" s="10">
        <f>C26-B12</f>
        <v>-2562975.9</v>
      </c>
    </row>
    <row r="44" spans="2:4" x14ac:dyDescent="0.35">
      <c r="B44" t="str">
        <f>CONCATENATE("Current: ",TEXT(2*C40,"$#,###"),", ",TEXT(2*E12,"0%"))</f>
        <v>Current: $129,174, 5%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25"/>
  <sheetViews>
    <sheetView workbookViewId="0">
      <selection activeCell="K5" sqref="K5"/>
    </sheetView>
  </sheetViews>
  <sheetFormatPr defaultRowHeight="14.5" x14ac:dyDescent="0.35"/>
  <cols>
    <col min="1" max="1" width="23.1796875" bestFit="1" customWidth="1"/>
    <col min="2" max="2" width="11.08984375" bestFit="1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29</v>
      </c>
      <c r="B3" t="s">
        <v>31</v>
      </c>
      <c r="K3" s="2" t="s">
        <v>29</v>
      </c>
      <c r="L3" t="s">
        <v>54</v>
      </c>
    </row>
    <row r="4" spans="1:13" x14ac:dyDescent="0.35">
      <c r="A4" s="3" t="s">
        <v>21</v>
      </c>
      <c r="B4" s="5">
        <v>38100</v>
      </c>
      <c r="K4" s="3" t="s">
        <v>21</v>
      </c>
      <c r="L4" s="21">
        <v>1</v>
      </c>
      <c r="M4" t="str">
        <f>"Benefactor: "&amp;GETPIVOTDATA("Item Name",$K$3,"Item Name","Benefactor Membership")</f>
        <v>Benefactor: 1</v>
      </c>
    </row>
    <row r="5" spans="1:13" x14ac:dyDescent="0.35">
      <c r="A5" s="3" t="s">
        <v>13</v>
      </c>
      <c r="B5" s="5">
        <v>9898.7900000000009</v>
      </c>
      <c r="K5" s="3" t="s">
        <v>13</v>
      </c>
      <c r="L5" s="21">
        <v>5</v>
      </c>
      <c r="M5" t="str">
        <f>"Gold: "&amp;GETPIVOTDATA("Item Name",$K$4,"Item Name","Gold Membership")</f>
        <v>Gold: 5</v>
      </c>
    </row>
    <row r="6" spans="1:13" x14ac:dyDescent="0.35">
      <c r="A6" s="3" t="s">
        <v>18</v>
      </c>
      <c r="B6" s="5">
        <v>62575.040000000001</v>
      </c>
      <c r="K6" s="3" t="s">
        <v>18</v>
      </c>
      <c r="L6" s="21">
        <v>16</v>
      </c>
      <c r="M6" t="str">
        <f>"Organization: "&amp;GETPIVOTDATA("Item Name",$K$3,"Item Name","Organizational Membership")</f>
        <v>Organization: 16</v>
      </c>
    </row>
    <row r="7" spans="1:13" x14ac:dyDescent="0.35">
      <c r="A7" s="3" t="s">
        <v>30</v>
      </c>
      <c r="B7" s="21">
        <v>110573.83</v>
      </c>
      <c r="K7" s="3" t="s">
        <v>30</v>
      </c>
      <c r="L7" s="21">
        <v>22</v>
      </c>
    </row>
    <row r="21" spans="1:2" x14ac:dyDescent="0.35">
      <c r="A21" t="s">
        <v>39</v>
      </c>
    </row>
    <row r="23" spans="1:2" x14ac:dyDescent="0.35">
      <c r="A23" s="2" t="s">
        <v>29</v>
      </c>
      <c r="B23" s="4" t="s">
        <v>31</v>
      </c>
    </row>
    <row r="24" spans="1:2" x14ac:dyDescent="0.35">
      <c r="A24" s="3">
        <v>1</v>
      </c>
      <c r="B24" s="4">
        <v>110573.83</v>
      </c>
    </row>
    <row r="25" spans="1:2" x14ac:dyDescent="0.35">
      <c r="A25" s="3" t="s">
        <v>30</v>
      </c>
      <c r="B25" s="4">
        <v>110573.83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23"/>
  <sheetViews>
    <sheetView workbookViewId="0">
      <selection activeCell="A6" sqref="A6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64</v>
      </c>
      <c r="B2">
        <v>2370</v>
      </c>
      <c r="C2" s="1">
        <v>46035</v>
      </c>
      <c r="D2">
        <v>18613</v>
      </c>
      <c r="E2">
        <v>44511</v>
      </c>
      <c r="F2" s="1">
        <v>37839</v>
      </c>
      <c r="G2" t="s">
        <v>17</v>
      </c>
      <c r="H2" t="s">
        <v>12</v>
      </c>
      <c r="I2" t="s">
        <v>18</v>
      </c>
      <c r="J2">
        <v>1</v>
      </c>
    </row>
    <row r="3" spans="1:10" x14ac:dyDescent="0.35">
      <c r="A3" t="s">
        <v>70</v>
      </c>
      <c r="B3">
        <v>1545</v>
      </c>
      <c r="C3" s="1">
        <v>46042</v>
      </c>
      <c r="D3">
        <v>18678</v>
      </c>
      <c r="E3">
        <v>44578</v>
      </c>
      <c r="F3" s="1">
        <v>40179</v>
      </c>
      <c r="G3" t="s">
        <v>11</v>
      </c>
      <c r="H3" t="s">
        <v>12</v>
      </c>
      <c r="I3" t="s">
        <v>18</v>
      </c>
      <c r="J3">
        <v>1</v>
      </c>
    </row>
    <row r="4" spans="1:10" x14ac:dyDescent="0.35">
      <c r="A4" t="s">
        <v>73</v>
      </c>
      <c r="B4">
        <v>38100</v>
      </c>
      <c r="C4" s="1">
        <v>46048</v>
      </c>
      <c r="D4">
        <v>18755</v>
      </c>
      <c r="E4">
        <v>44679</v>
      </c>
      <c r="F4" s="1">
        <v>35925</v>
      </c>
      <c r="G4" t="s">
        <v>17</v>
      </c>
      <c r="H4" t="s">
        <v>12</v>
      </c>
      <c r="I4" t="s">
        <v>21</v>
      </c>
      <c r="J4">
        <v>1</v>
      </c>
    </row>
    <row r="5" spans="1:10" x14ac:dyDescent="0.35">
      <c r="A5" t="s">
        <v>24</v>
      </c>
      <c r="B5">
        <v>1905</v>
      </c>
      <c r="C5" s="1">
        <v>46030</v>
      </c>
      <c r="D5">
        <v>18444</v>
      </c>
      <c r="E5">
        <v>44327</v>
      </c>
      <c r="F5" s="1">
        <v>45341</v>
      </c>
      <c r="G5" t="s">
        <v>17</v>
      </c>
      <c r="H5" t="s">
        <v>12</v>
      </c>
      <c r="I5" t="s">
        <v>13</v>
      </c>
      <c r="J5">
        <v>1</v>
      </c>
    </row>
    <row r="6" spans="1:10" x14ac:dyDescent="0.35">
      <c r="A6" t="s">
        <v>26</v>
      </c>
      <c r="B6">
        <v>9685</v>
      </c>
      <c r="C6" s="1">
        <v>46052</v>
      </c>
      <c r="D6">
        <v>18825</v>
      </c>
      <c r="E6">
        <v>44798</v>
      </c>
      <c r="F6" s="1">
        <v>42144</v>
      </c>
      <c r="G6" t="s">
        <v>17</v>
      </c>
      <c r="H6" t="s">
        <v>12</v>
      </c>
      <c r="I6" t="s">
        <v>18</v>
      </c>
      <c r="J6">
        <v>1</v>
      </c>
    </row>
    <row r="7" spans="1:10" x14ac:dyDescent="0.35">
      <c r="A7" t="s">
        <v>75</v>
      </c>
      <c r="B7">
        <v>23375</v>
      </c>
      <c r="C7" s="1">
        <v>46048</v>
      </c>
      <c r="D7">
        <v>18752</v>
      </c>
      <c r="E7">
        <v>44676</v>
      </c>
      <c r="F7" s="1">
        <v>41256</v>
      </c>
      <c r="G7" t="s">
        <v>0</v>
      </c>
      <c r="H7" t="s">
        <v>12</v>
      </c>
      <c r="I7" t="s">
        <v>18</v>
      </c>
      <c r="J7">
        <v>1</v>
      </c>
    </row>
    <row r="8" spans="1:10" x14ac:dyDescent="0.35">
      <c r="A8" t="s">
        <v>27</v>
      </c>
      <c r="B8">
        <v>5460</v>
      </c>
      <c r="C8" s="1">
        <v>46037</v>
      </c>
      <c r="D8">
        <v>18650</v>
      </c>
      <c r="E8">
        <v>44548</v>
      </c>
      <c r="F8" s="1">
        <v>39989</v>
      </c>
      <c r="G8" t="s">
        <v>11</v>
      </c>
      <c r="H8" t="s">
        <v>12</v>
      </c>
      <c r="I8" t="s">
        <v>18</v>
      </c>
      <c r="J8">
        <v>1</v>
      </c>
    </row>
    <row r="9" spans="1:10" x14ac:dyDescent="0.35">
      <c r="A9" t="s">
        <v>22</v>
      </c>
      <c r="B9">
        <v>1545</v>
      </c>
      <c r="C9" s="1">
        <v>46051</v>
      </c>
      <c r="D9">
        <v>18802</v>
      </c>
      <c r="E9">
        <v>44761</v>
      </c>
      <c r="F9" s="1">
        <v>45303</v>
      </c>
      <c r="G9" t="s">
        <v>17</v>
      </c>
      <c r="H9" t="s">
        <v>12</v>
      </c>
      <c r="I9" t="s">
        <v>18</v>
      </c>
      <c r="J9">
        <v>1</v>
      </c>
    </row>
    <row r="10" spans="1:10" x14ac:dyDescent="0.35">
      <c r="A10" t="s">
        <v>63</v>
      </c>
      <c r="B10">
        <v>2370</v>
      </c>
      <c r="C10" s="1">
        <v>46042</v>
      </c>
      <c r="D10">
        <v>18672</v>
      </c>
      <c r="E10">
        <v>44570</v>
      </c>
      <c r="F10" s="1">
        <v>41988</v>
      </c>
      <c r="G10" t="s">
        <v>17</v>
      </c>
      <c r="H10" t="s">
        <v>12</v>
      </c>
      <c r="I10" t="s">
        <v>18</v>
      </c>
      <c r="J10">
        <v>1</v>
      </c>
    </row>
    <row r="11" spans="1:10" x14ac:dyDescent="0.35">
      <c r="A11" t="s">
        <v>77</v>
      </c>
      <c r="B11">
        <v>1905</v>
      </c>
      <c r="C11" s="1">
        <v>46044</v>
      </c>
      <c r="D11">
        <v>18717</v>
      </c>
      <c r="E11">
        <v>44617</v>
      </c>
      <c r="F11" s="1">
        <v>43465</v>
      </c>
      <c r="G11" t="s">
        <v>17</v>
      </c>
      <c r="H11" t="s">
        <v>12</v>
      </c>
      <c r="I11" t="s">
        <v>13</v>
      </c>
      <c r="J11">
        <v>1</v>
      </c>
    </row>
    <row r="12" spans="1:10" x14ac:dyDescent="0.35">
      <c r="A12" t="s">
        <v>14</v>
      </c>
      <c r="B12">
        <v>1545</v>
      </c>
      <c r="C12" s="1">
        <v>46037</v>
      </c>
      <c r="D12">
        <v>18652</v>
      </c>
      <c r="E12">
        <v>44550</v>
      </c>
      <c r="F12" s="1">
        <v>38720</v>
      </c>
      <c r="G12" t="s">
        <v>11</v>
      </c>
      <c r="H12" t="s">
        <v>12</v>
      </c>
      <c r="I12" t="s">
        <v>18</v>
      </c>
      <c r="J12">
        <v>1</v>
      </c>
    </row>
    <row r="13" spans="1:10" x14ac:dyDescent="0.35">
      <c r="A13" t="s">
        <v>56</v>
      </c>
      <c r="B13">
        <v>2990</v>
      </c>
      <c r="C13" s="1">
        <v>46045</v>
      </c>
      <c r="D13">
        <v>18722</v>
      </c>
      <c r="E13">
        <v>44622</v>
      </c>
      <c r="F13" s="1">
        <v>45682</v>
      </c>
      <c r="G13" t="s">
        <v>17</v>
      </c>
      <c r="H13" t="s">
        <v>12</v>
      </c>
      <c r="I13" t="s">
        <v>13</v>
      </c>
      <c r="J13">
        <v>1</v>
      </c>
    </row>
    <row r="14" spans="1:10" x14ac:dyDescent="0.35">
      <c r="A14" t="s">
        <v>78</v>
      </c>
      <c r="B14">
        <v>2990</v>
      </c>
      <c r="C14" s="1">
        <v>46031</v>
      </c>
      <c r="D14">
        <v>18479</v>
      </c>
      <c r="E14">
        <v>44361</v>
      </c>
      <c r="F14" s="1">
        <v>44209</v>
      </c>
      <c r="G14" t="s">
        <v>17</v>
      </c>
      <c r="H14" t="s">
        <v>12</v>
      </c>
      <c r="I14" t="s">
        <v>13</v>
      </c>
      <c r="J14">
        <v>1</v>
      </c>
    </row>
    <row r="15" spans="1:10" x14ac:dyDescent="0.35">
      <c r="A15" t="s">
        <v>67</v>
      </c>
      <c r="B15">
        <v>460.04</v>
      </c>
      <c r="C15" s="1">
        <v>46031</v>
      </c>
      <c r="D15">
        <v>18491</v>
      </c>
      <c r="E15">
        <v>44373</v>
      </c>
      <c r="F15" s="1">
        <v>45777</v>
      </c>
      <c r="G15" t="s">
        <v>17</v>
      </c>
      <c r="H15" t="s">
        <v>12</v>
      </c>
      <c r="I15" t="s">
        <v>18</v>
      </c>
      <c r="J15">
        <v>1</v>
      </c>
    </row>
    <row r="16" spans="1:10" x14ac:dyDescent="0.35">
      <c r="A16" t="s">
        <v>67</v>
      </c>
      <c r="B16">
        <v>108.79</v>
      </c>
      <c r="C16" s="1">
        <v>46031</v>
      </c>
      <c r="D16">
        <v>18507</v>
      </c>
      <c r="E16">
        <v>44390</v>
      </c>
      <c r="F16" s="1">
        <v>45777</v>
      </c>
      <c r="G16" t="s">
        <v>17</v>
      </c>
      <c r="H16" t="s">
        <v>12</v>
      </c>
      <c r="I16" t="s">
        <v>13</v>
      </c>
      <c r="J16">
        <v>1</v>
      </c>
    </row>
    <row r="17" spans="1:10" x14ac:dyDescent="0.35">
      <c r="A17" t="s">
        <v>19</v>
      </c>
      <c r="B17">
        <v>1545</v>
      </c>
      <c r="C17" s="1">
        <v>46027</v>
      </c>
      <c r="D17">
        <v>18359</v>
      </c>
      <c r="E17">
        <v>44215</v>
      </c>
      <c r="F17" s="1">
        <v>40225</v>
      </c>
      <c r="G17" t="s">
        <v>0</v>
      </c>
      <c r="H17" t="s">
        <v>12</v>
      </c>
      <c r="I17" t="s">
        <v>18</v>
      </c>
      <c r="J17">
        <v>1</v>
      </c>
    </row>
    <row r="18" spans="1:10" x14ac:dyDescent="0.35">
      <c r="A18" t="s">
        <v>23</v>
      </c>
      <c r="B18">
        <v>1545</v>
      </c>
      <c r="C18" s="1">
        <v>46035</v>
      </c>
      <c r="D18">
        <v>18620</v>
      </c>
      <c r="E18">
        <v>44519</v>
      </c>
      <c r="F18" s="1">
        <v>41317</v>
      </c>
      <c r="G18" t="s">
        <v>11</v>
      </c>
      <c r="H18" t="s">
        <v>12</v>
      </c>
      <c r="I18" t="s">
        <v>18</v>
      </c>
      <c r="J18">
        <v>1</v>
      </c>
    </row>
    <row r="19" spans="1:10" x14ac:dyDescent="0.35">
      <c r="A19" t="s">
        <v>80</v>
      </c>
      <c r="B19">
        <v>1545</v>
      </c>
      <c r="C19" s="1">
        <v>46029</v>
      </c>
      <c r="D19">
        <v>18421</v>
      </c>
      <c r="E19">
        <v>44301</v>
      </c>
      <c r="F19" s="1">
        <v>46029</v>
      </c>
      <c r="G19" t="s">
        <v>17</v>
      </c>
      <c r="H19" t="s">
        <v>12</v>
      </c>
      <c r="I19" t="s">
        <v>18</v>
      </c>
      <c r="J19">
        <v>1</v>
      </c>
    </row>
    <row r="20" spans="1:10" x14ac:dyDescent="0.35">
      <c r="A20" t="s">
        <v>25</v>
      </c>
      <c r="B20">
        <v>2680</v>
      </c>
      <c r="C20" s="1">
        <v>46038</v>
      </c>
      <c r="D20">
        <v>18656</v>
      </c>
      <c r="E20">
        <v>44554</v>
      </c>
      <c r="F20" s="1">
        <v>36985</v>
      </c>
      <c r="G20" t="s">
        <v>11</v>
      </c>
      <c r="H20" t="s">
        <v>12</v>
      </c>
      <c r="I20" t="s">
        <v>18</v>
      </c>
      <c r="J20">
        <v>1</v>
      </c>
    </row>
    <row r="21" spans="1:10" x14ac:dyDescent="0.35">
      <c r="A21" t="s">
        <v>58</v>
      </c>
      <c r="B21">
        <v>1545</v>
      </c>
      <c r="C21" s="1">
        <v>46042</v>
      </c>
      <c r="D21">
        <v>18683</v>
      </c>
      <c r="E21">
        <v>44583</v>
      </c>
      <c r="F21" s="1">
        <v>45679</v>
      </c>
      <c r="G21" t="s">
        <v>17</v>
      </c>
      <c r="H21" t="s">
        <v>12</v>
      </c>
      <c r="I21" t="s">
        <v>18</v>
      </c>
      <c r="J21">
        <v>1</v>
      </c>
    </row>
    <row r="22" spans="1:10" x14ac:dyDescent="0.35">
      <c r="A22" t="s">
        <v>84</v>
      </c>
      <c r="B22">
        <v>2680</v>
      </c>
      <c r="C22" s="1">
        <v>46038</v>
      </c>
      <c r="D22">
        <v>18660</v>
      </c>
      <c r="E22">
        <v>44559</v>
      </c>
      <c r="F22" s="1">
        <v>40897</v>
      </c>
      <c r="G22" t="s">
        <v>11</v>
      </c>
      <c r="H22" t="s">
        <v>12</v>
      </c>
      <c r="I22" t="s">
        <v>18</v>
      </c>
      <c r="J22">
        <v>1</v>
      </c>
    </row>
    <row r="23" spans="1:10" x14ac:dyDescent="0.35">
      <c r="A23" t="s">
        <v>85</v>
      </c>
      <c r="B23">
        <v>2680</v>
      </c>
      <c r="C23" s="1">
        <v>46052</v>
      </c>
      <c r="D23">
        <v>18826</v>
      </c>
      <c r="E23">
        <v>44799</v>
      </c>
      <c r="F23" s="1">
        <v>42942</v>
      </c>
      <c r="G23" t="s">
        <v>11</v>
      </c>
      <c r="H23" t="s">
        <v>12</v>
      </c>
      <c r="I23" t="s">
        <v>18</v>
      </c>
      <c r="J2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E14" sqref="E14"/>
    </sheetView>
  </sheetViews>
  <sheetFormatPr defaultRowHeight="14.5" x14ac:dyDescent="0.35"/>
  <cols>
    <col min="1" max="1" width="12.453125" bestFit="1" customWidth="1"/>
    <col min="2" max="2" width="11.08984375" bestFit="1" customWidth="1"/>
  </cols>
  <sheetData>
    <row r="3" spans="1:3" x14ac:dyDescent="0.35">
      <c r="A3" s="2" t="s">
        <v>29</v>
      </c>
      <c r="B3" t="s">
        <v>31</v>
      </c>
    </row>
    <row r="4" spans="1:3" x14ac:dyDescent="0.35">
      <c r="A4" s="3">
        <v>1</v>
      </c>
      <c r="B4" s="4">
        <v>8525</v>
      </c>
    </row>
    <row r="5" spans="1:3" x14ac:dyDescent="0.35">
      <c r="A5" s="3">
        <v>2</v>
      </c>
      <c r="B5" s="4">
        <v>775</v>
      </c>
    </row>
    <row r="6" spans="1:3" x14ac:dyDescent="0.35">
      <c r="A6" s="3" t="s">
        <v>30</v>
      </c>
      <c r="B6" s="4">
        <v>9300</v>
      </c>
    </row>
    <row r="16" spans="1:3" x14ac:dyDescent="0.35">
      <c r="C16">
        <f>GETPIVOTDATA("Total",$A$3)</f>
        <v>9300</v>
      </c>
    </row>
    <row r="17" spans="1:3" x14ac:dyDescent="0.35">
      <c r="C17" t="str">
        <f>"Grand Total: $"&amp;TEXT(GETPIVOTDATA("Total",$A$3),"#,###")</f>
        <v>Grand Total: $9,300</v>
      </c>
    </row>
    <row r="22" spans="1:3" x14ac:dyDescent="0.35">
      <c r="A22" s="2" t="s">
        <v>29</v>
      </c>
      <c r="B22" t="s">
        <v>54</v>
      </c>
    </row>
    <row r="23" spans="1:3" x14ac:dyDescent="0.35">
      <c r="A23" s="3" t="s">
        <v>16</v>
      </c>
      <c r="B23" s="21">
        <v>12</v>
      </c>
    </row>
    <row r="24" spans="1:3" x14ac:dyDescent="0.35">
      <c r="A24" s="3" t="s">
        <v>30</v>
      </c>
      <c r="B24" s="21">
        <v>12</v>
      </c>
    </row>
    <row r="27" spans="1:3" x14ac:dyDescent="0.35">
      <c r="C27" t="str">
        <f>CONCATENATE("Individual: ",GETPIVOTDATA("Item Name",$A$22))</f>
        <v>Individual: 12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13"/>
  <sheetViews>
    <sheetView workbookViewId="0">
      <selection activeCell="C17" sqref="C17"/>
    </sheetView>
  </sheetViews>
  <sheetFormatPr defaultRowHeight="14.5" x14ac:dyDescent="0.35"/>
  <cols>
    <col min="1" max="1" width="30.269531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5.453125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28</v>
      </c>
      <c r="B2">
        <v>775</v>
      </c>
      <c r="C2" s="1">
        <v>46033</v>
      </c>
      <c r="D2">
        <v>18551</v>
      </c>
      <c r="E2">
        <v>44438</v>
      </c>
      <c r="F2" s="1">
        <v>45385</v>
      </c>
      <c r="G2" t="s">
        <v>15</v>
      </c>
      <c r="H2" t="s">
        <v>15</v>
      </c>
      <c r="I2" t="s">
        <v>16</v>
      </c>
      <c r="J2">
        <v>1</v>
      </c>
    </row>
    <row r="3" spans="1:10" x14ac:dyDescent="0.35">
      <c r="A3" t="s">
        <v>55</v>
      </c>
      <c r="B3">
        <v>775</v>
      </c>
      <c r="C3" s="1">
        <v>46027</v>
      </c>
      <c r="D3">
        <v>18371</v>
      </c>
      <c r="E3">
        <v>44227</v>
      </c>
      <c r="F3" s="1">
        <v>44433</v>
      </c>
      <c r="G3" t="s">
        <v>15</v>
      </c>
      <c r="H3" t="s">
        <v>12</v>
      </c>
      <c r="I3" t="s">
        <v>16</v>
      </c>
      <c r="J3">
        <v>1</v>
      </c>
    </row>
    <row r="4" spans="1:10" x14ac:dyDescent="0.35">
      <c r="A4" t="s">
        <v>69</v>
      </c>
      <c r="B4">
        <v>775</v>
      </c>
      <c r="C4" s="1">
        <v>46034</v>
      </c>
      <c r="D4">
        <v>18605</v>
      </c>
      <c r="E4">
        <v>44503</v>
      </c>
      <c r="F4" s="1">
        <v>46034</v>
      </c>
      <c r="G4" t="s">
        <v>15</v>
      </c>
      <c r="H4" t="s">
        <v>20</v>
      </c>
      <c r="I4" t="s">
        <v>16</v>
      </c>
      <c r="J4">
        <v>1</v>
      </c>
    </row>
    <row r="5" spans="1:10" x14ac:dyDescent="0.35">
      <c r="A5" t="s">
        <v>71</v>
      </c>
      <c r="B5">
        <v>775</v>
      </c>
      <c r="C5" s="1">
        <v>46053</v>
      </c>
      <c r="D5">
        <v>18840</v>
      </c>
      <c r="E5">
        <v>44813</v>
      </c>
      <c r="F5" s="1">
        <v>44546</v>
      </c>
      <c r="G5" t="s">
        <v>15</v>
      </c>
      <c r="H5" t="s">
        <v>15</v>
      </c>
      <c r="I5" t="s">
        <v>16</v>
      </c>
      <c r="J5">
        <v>1</v>
      </c>
    </row>
    <row r="6" spans="1:10" x14ac:dyDescent="0.35">
      <c r="A6" t="s">
        <v>72</v>
      </c>
      <c r="B6">
        <v>775</v>
      </c>
      <c r="C6" s="1">
        <v>46052</v>
      </c>
      <c r="D6">
        <v>18833</v>
      </c>
      <c r="E6">
        <v>44806</v>
      </c>
      <c r="F6" s="1">
        <v>46052</v>
      </c>
      <c r="G6" t="s">
        <v>15</v>
      </c>
      <c r="H6" t="s">
        <v>12</v>
      </c>
      <c r="I6" t="s">
        <v>16</v>
      </c>
      <c r="J6">
        <v>1</v>
      </c>
    </row>
    <row r="7" spans="1:10" x14ac:dyDescent="0.35">
      <c r="A7" t="s">
        <v>74</v>
      </c>
      <c r="B7">
        <v>775</v>
      </c>
      <c r="C7" s="1">
        <v>46043</v>
      </c>
      <c r="D7">
        <v>18708</v>
      </c>
      <c r="E7">
        <v>44608</v>
      </c>
      <c r="F7" s="1">
        <v>42038</v>
      </c>
      <c r="G7" t="s">
        <v>17</v>
      </c>
      <c r="H7" t="s">
        <v>12</v>
      </c>
      <c r="I7" t="s">
        <v>16</v>
      </c>
      <c r="J7">
        <v>1</v>
      </c>
    </row>
    <row r="8" spans="1:10" x14ac:dyDescent="0.35">
      <c r="A8" t="s">
        <v>76</v>
      </c>
      <c r="B8">
        <v>775</v>
      </c>
      <c r="C8" s="1">
        <v>46028</v>
      </c>
      <c r="D8">
        <v>18392</v>
      </c>
      <c r="E8">
        <v>44254</v>
      </c>
      <c r="F8" s="1">
        <v>46028</v>
      </c>
      <c r="G8" t="s">
        <v>15</v>
      </c>
      <c r="H8" t="s">
        <v>12</v>
      </c>
      <c r="I8" t="s">
        <v>16</v>
      </c>
      <c r="J8">
        <v>1</v>
      </c>
    </row>
    <row r="9" spans="1:10" x14ac:dyDescent="0.35">
      <c r="A9" t="s">
        <v>79</v>
      </c>
      <c r="B9">
        <v>775</v>
      </c>
      <c r="C9" s="1">
        <v>46034</v>
      </c>
      <c r="D9">
        <v>18585</v>
      </c>
      <c r="E9">
        <v>44482</v>
      </c>
      <c r="F9" s="1">
        <v>46034</v>
      </c>
      <c r="G9" t="s">
        <v>15</v>
      </c>
      <c r="H9" t="s">
        <v>12</v>
      </c>
      <c r="I9" t="s">
        <v>16</v>
      </c>
      <c r="J9">
        <v>1</v>
      </c>
    </row>
    <row r="10" spans="1:10" x14ac:dyDescent="0.35">
      <c r="A10" t="s">
        <v>57</v>
      </c>
      <c r="B10">
        <v>775</v>
      </c>
      <c r="C10" s="1">
        <v>46043</v>
      </c>
      <c r="D10">
        <v>18695</v>
      </c>
      <c r="E10">
        <v>44595</v>
      </c>
      <c r="F10" s="1">
        <v>45681</v>
      </c>
      <c r="G10" t="s">
        <v>15</v>
      </c>
      <c r="H10" t="s">
        <v>15</v>
      </c>
      <c r="I10" t="s">
        <v>16</v>
      </c>
      <c r="J10">
        <v>1</v>
      </c>
    </row>
    <row r="11" spans="1:10" x14ac:dyDescent="0.35">
      <c r="A11" t="s">
        <v>81</v>
      </c>
      <c r="B11">
        <v>775</v>
      </c>
      <c r="C11" s="1">
        <v>46029</v>
      </c>
      <c r="D11">
        <v>18418</v>
      </c>
      <c r="E11">
        <v>44298</v>
      </c>
      <c r="F11" s="1">
        <v>45050</v>
      </c>
      <c r="G11" t="s">
        <v>15</v>
      </c>
      <c r="H11" t="s">
        <v>12</v>
      </c>
      <c r="I11" t="s">
        <v>16</v>
      </c>
      <c r="J11">
        <v>1</v>
      </c>
    </row>
    <row r="12" spans="1:10" x14ac:dyDescent="0.35">
      <c r="A12" t="s">
        <v>82</v>
      </c>
      <c r="B12">
        <v>775</v>
      </c>
      <c r="C12" s="1">
        <v>46055</v>
      </c>
      <c r="D12">
        <v>18845</v>
      </c>
      <c r="E12">
        <v>44817</v>
      </c>
      <c r="F12" s="1">
        <v>46055</v>
      </c>
      <c r="G12" t="s">
        <v>15</v>
      </c>
      <c r="H12" t="s">
        <v>12</v>
      </c>
      <c r="I12" t="s">
        <v>16</v>
      </c>
      <c r="J12">
        <v>2</v>
      </c>
    </row>
    <row r="13" spans="1:10" x14ac:dyDescent="0.35">
      <c r="A13" t="s">
        <v>83</v>
      </c>
      <c r="B13">
        <v>775</v>
      </c>
      <c r="C13" s="1">
        <v>46050</v>
      </c>
      <c r="D13">
        <v>18774</v>
      </c>
      <c r="E13">
        <v>44713</v>
      </c>
      <c r="F13" s="1">
        <v>46050</v>
      </c>
      <c r="G13" t="s">
        <v>15</v>
      </c>
      <c r="H13" t="s">
        <v>68</v>
      </c>
      <c r="I13" t="s">
        <v>16</v>
      </c>
      <c r="J13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2:I19"/>
  <sheetViews>
    <sheetView workbookViewId="0">
      <selection activeCell="B7" sqref="B7"/>
    </sheetView>
  </sheetViews>
  <sheetFormatPr defaultRowHeight="14.5" x14ac:dyDescent="0.35"/>
  <cols>
    <col min="1" max="1" width="15.453125" bestFit="1" customWidth="1"/>
    <col min="2" max="2" width="30.26953125" bestFit="1" customWidth="1"/>
    <col min="3" max="3" width="21.26953125" bestFit="1" customWidth="1"/>
    <col min="4" max="4" width="5.6328125" bestFit="1" customWidth="1"/>
    <col min="5" max="5" width="10.36328125" bestFit="1" customWidth="1"/>
    <col min="6" max="6" width="8.816406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2" spans="2:9" x14ac:dyDescent="0.35">
      <c r="B2" s="2" t="s">
        <v>9</v>
      </c>
      <c r="C2" t="s">
        <v>16</v>
      </c>
    </row>
    <row r="3" spans="2:9" x14ac:dyDescent="0.35">
      <c r="G3" t="str">
        <f>"Affiliate Dues Total: "&amp;TEXT(GETPIVOTDATA("Total",$B$4),"$#,###")</f>
        <v>Affiliate Dues Total: $9,300</v>
      </c>
      <c r="H3" s="6">
        <f>GETPIVOTDATA("Total",$B$4)</f>
        <v>9300</v>
      </c>
      <c r="I3" t="str">
        <f>CONCATENATE("Affiliate: ",COUNTIF(B:B,"HL7*"))</f>
        <v>Affiliate: 0</v>
      </c>
    </row>
    <row r="4" spans="2:9" x14ac:dyDescent="0.35">
      <c r="B4" s="2" t="s">
        <v>31</v>
      </c>
      <c r="C4" s="2" t="s">
        <v>66</v>
      </c>
    </row>
    <row r="5" spans="2:9" x14ac:dyDescent="0.35">
      <c r="C5" t="s">
        <v>86</v>
      </c>
      <c r="D5" t="s">
        <v>65</v>
      </c>
      <c r="E5" t="s">
        <v>30</v>
      </c>
    </row>
    <row r="6" spans="2:9" x14ac:dyDescent="0.35">
      <c r="B6" s="2" t="s">
        <v>29</v>
      </c>
    </row>
    <row r="7" spans="2:9" x14ac:dyDescent="0.35">
      <c r="B7" s="3" t="s">
        <v>28</v>
      </c>
      <c r="C7" s="21">
        <v>775</v>
      </c>
      <c r="D7" s="21"/>
      <c r="E7" s="21">
        <v>775</v>
      </c>
    </row>
    <row r="8" spans="2:9" x14ac:dyDescent="0.35">
      <c r="B8" s="3" t="s">
        <v>55</v>
      </c>
      <c r="C8" s="21">
        <v>775</v>
      </c>
      <c r="D8" s="21"/>
      <c r="E8" s="21">
        <v>775</v>
      </c>
    </row>
    <row r="9" spans="2:9" x14ac:dyDescent="0.35">
      <c r="B9" s="3" t="s">
        <v>57</v>
      </c>
      <c r="C9" s="21">
        <v>775</v>
      </c>
      <c r="D9" s="21"/>
      <c r="E9" s="21">
        <v>775</v>
      </c>
    </row>
    <row r="10" spans="2:9" x14ac:dyDescent="0.35">
      <c r="B10" s="3" t="s">
        <v>69</v>
      </c>
      <c r="C10" s="21">
        <v>775</v>
      </c>
      <c r="D10" s="21"/>
      <c r="E10" s="21">
        <v>775</v>
      </c>
    </row>
    <row r="11" spans="2:9" x14ac:dyDescent="0.35">
      <c r="B11" s="3" t="s">
        <v>71</v>
      </c>
      <c r="C11" s="21">
        <v>775</v>
      </c>
      <c r="D11" s="21"/>
      <c r="E11" s="21">
        <v>775</v>
      </c>
    </row>
    <row r="12" spans="2:9" x14ac:dyDescent="0.35">
      <c r="B12" s="3" t="s">
        <v>72</v>
      </c>
      <c r="C12" s="21">
        <v>775</v>
      </c>
      <c r="D12" s="21"/>
      <c r="E12" s="21">
        <v>775</v>
      </c>
    </row>
    <row r="13" spans="2:9" x14ac:dyDescent="0.35">
      <c r="B13" s="3" t="s">
        <v>74</v>
      </c>
      <c r="C13" s="21">
        <v>775</v>
      </c>
      <c r="D13" s="21"/>
      <c r="E13" s="21">
        <v>775</v>
      </c>
    </row>
    <row r="14" spans="2:9" x14ac:dyDescent="0.35">
      <c r="B14" s="3" t="s">
        <v>76</v>
      </c>
      <c r="C14" s="21">
        <v>775</v>
      </c>
      <c r="D14" s="21"/>
      <c r="E14" s="21">
        <v>775</v>
      </c>
    </row>
    <row r="15" spans="2:9" x14ac:dyDescent="0.35">
      <c r="B15" s="3" t="s">
        <v>79</v>
      </c>
      <c r="C15" s="21">
        <v>775</v>
      </c>
      <c r="D15" s="21"/>
      <c r="E15" s="21">
        <v>775</v>
      </c>
    </row>
    <row r="16" spans="2:9" x14ac:dyDescent="0.35">
      <c r="B16" s="3" t="s">
        <v>81</v>
      </c>
      <c r="C16" s="21">
        <v>775</v>
      </c>
      <c r="D16" s="21"/>
      <c r="E16" s="21">
        <v>775</v>
      </c>
    </row>
    <row r="17" spans="2:5" x14ac:dyDescent="0.35">
      <c r="B17" s="3" t="s">
        <v>82</v>
      </c>
      <c r="C17" s="21"/>
      <c r="D17" s="21">
        <v>775</v>
      </c>
      <c r="E17" s="21">
        <v>775</v>
      </c>
    </row>
    <row r="18" spans="2:5" x14ac:dyDescent="0.35">
      <c r="B18" s="3" t="s">
        <v>83</v>
      </c>
      <c r="C18" s="21">
        <v>775</v>
      </c>
      <c r="D18" s="21"/>
      <c r="E18" s="21">
        <v>775</v>
      </c>
    </row>
    <row r="19" spans="2:5" x14ac:dyDescent="0.35">
      <c r="B19" s="3" t="s">
        <v>30</v>
      </c>
      <c r="C19" s="21">
        <v>8525</v>
      </c>
      <c r="D19" s="21">
        <v>775</v>
      </c>
      <c r="E19" s="21">
        <v>9300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34"/>
  <sheetViews>
    <sheetView topLeftCell="G1" workbookViewId="0">
      <selection activeCell="H37" sqref="H37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32</v>
      </c>
    </row>
    <row r="2" spans="1:14" x14ac:dyDescent="0.35">
      <c r="A2" t="s">
        <v>67</v>
      </c>
      <c r="B2">
        <v>460.04</v>
      </c>
      <c r="C2" s="1">
        <v>46031</v>
      </c>
      <c r="D2">
        <v>18491</v>
      </c>
      <c r="E2">
        <v>44373</v>
      </c>
      <c r="F2" s="1">
        <v>45658</v>
      </c>
      <c r="G2" t="s">
        <v>17</v>
      </c>
      <c r="H2" t="s">
        <v>12</v>
      </c>
      <c r="I2" t="s">
        <v>18</v>
      </c>
      <c r="J2">
        <v>1</v>
      </c>
      <c r="K2" t="s">
        <v>33</v>
      </c>
    </row>
    <row r="3" spans="1:14" x14ac:dyDescent="0.35">
      <c r="A3" t="s">
        <v>28</v>
      </c>
      <c r="B3">
        <v>775</v>
      </c>
      <c r="C3" s="1">
        <v>46033</v>
      </c>
      <c r="D3">
        <v>18551</v>
      </c>
      <c r="E3">
        <v>44438</v>
      </c>
      <c r="F3" s="1">
        <v>45292</v>
      </c>
      <c r="G3" t="s">
        <v>15</v>
      </c>
      <c r="H3" t="s">
        <v>15</v>
      </c>
      <c r="I3" t="s">
        <v>16</v>
      </c>
      <c r="J3">
        <v>1</v>
      </c>
      <c r="K3" t="s">
        <v>33</v>
      </c>
    </row>
    <row r="4" spans="1:14" x14ac:dyDescent="0.35">
      <c r="A4" t="s">
        <v>55</v>
      </c>
      <c r="B4">
        <v>775</v>
      </c>
      <c r="C4" s="1">
        <v>46027</v>
      </c>
      <c r="D4">
        <v>18371</v>
      </c>
      <c r="E4">
        <v>44227</v>
      </c>
      <c r="F4" s="1">
        <v>44197</v>
      </c>
      <c r="G4" t="s">
        <v>15</v>
      </c>
      <c r="H4" t="s">
        <v>12</v>
      </c>
      <c r="I4" t="s">
        <v>16</v>
      </c>
      <c r="J4">
        <v>1</v>
      </c>
      <c r="K4" t="s">
        <v>37</v>
      </c>
    </row>
    <row r="5" spans="1:14" x14ac:dyDescent="0.35">
      <c r="A5" t="s">
        <v>69</v>
      </c>
      <c r="B5">
        <v>775</v>
      </c>
      <c r="C5" s="1">
        <v>46034</v>
      </c>
      <c r="D5">
        <v>18605</v>
      </c>
      <c r="E5">
        <v>44503</v>
      </c>
      <c r="F5" s="1">
        <v>46023</v>
      </c>
      <c r="G5" t="s">
        <v>15</v>
      </c>
      <c r="H5" t="s">
        <v>20</v>
      </c>
      <c r="I5" t="s">
        <v>16</v>
      </c>
      <c r="J5">
        <v>1</v>
      </c>
      <c r="K5" t="s">
        <v>33</v>
      </c>
    </row>
    <row r="6" spans="1:14" x14ac:dyDescent="0.35">
      <c r="A6" t="s">
        <v>71</v>
      </c>
      <c r="B6">
        <v>775</v>
      </c>
      <c r="C6" s="1">
        <v>46053</v>
      </c>
      <c r="D6">
        <v>18840</v>
      </c>
      <c r="E6">
        <v>44813</v>
      </c>
      <c r="F6" s="1">
        <v>44197</v>
      </c>
      <c r="G6" t="s">
        <v>15</v>
      </c>
      <c r="H6" t="s">
        <v>15</v>
      </c>
      <c r="I6" t="s">
        <v>16</v>
      </c>
      <c r="J6">
        <v>1</v>
      </c>
      <c r="K6" t="s">
        <v>37</v>
      </c>
      <c r="M6" s="2" t="s">
        <v>29</v>
      </c>
      <c r="N6" t="s">
        <v>38</v>
      </c>
    </row>
    <row r="7" spans="1:14" x14ac:dyDescent="0.35">
      <c r="A7" t="s">
        <v>72</v>
      </c>
      <c r="B7">
        <v>775</v>
      </c>
      <c r="C7" s="1">
        <v>46052</v>
      </c>
      <c r="D7">
        <v>18833</v>
      </c>
      <c r="E7">
        <v>44806</v>
      </c>
      <c r="F7" s="1">
        <v>46023</v>
      </c>
      <c r="G7" t="s">
        <v>15</v>
      </c>
      <c r="H7" t="s">
        <v>12</v>
      </c>
      <c r="I7" t="s">
        <v>16</v>
      </c>
      <c r="J7">
        <v>1</v>
      </c>
      <c r="K7" t="s">
        <v>33</v>
      </c>
      <c r="M7" s="3" t="s">
        <v>33</v>
      </c>
      <c r="N7" s="21">
        <v>15</v>
      </c>
    </row>
    <row r="8" spans="1:14" x14ac:dyDescent="0.35">
      <c r="A8" t="s">
        <v>74</v>
      </c>
      <c r="B8">
        <v>775</v>
      </c>
      <c r="C8" s="1">
        <v>46043</v>
      </c>
      <c r="D8">
        <v>18708</v>
      </c>
      <c r="E8">
        <v>44608</v>
      </c>
      <c r="F8" s="1">
        <v>42005</v>
      </c>
      <c r="G8" t="s">
        <v>17</v>
      </c>
      <c r="H8" t="s">
        <v>12</v>
      </c>
      <c r="I8" t="s">
        <v>16</v>
      </c>
      <c r="J8">
        <v>1</v>
      </c>
      <c r="K8" t="s">
        <v>35</v>
      </c>
      <c r="M8" s="3" t="s">
        <v>36</v>
      </c>
      <c r="N8" s="21">
        <v>5</v>
      </c>
    </row>
    <row r="9" spans="1:14" x14ac:dyDescent="0.35">
      <c r="A9" t="s">
        <v>76</v>
      </c>
      <c r="B9">
        <v>775</v>
      </c>
      <c r="C9" s="1">
        <v>46028</v>
      </c>
      <c r="D9">
        <v>18392</v>
      </c>
      <c r="E9">
        <v>44254</v>
      </c>
      <c r="F9" s="1">
        <v>46023</v>
      </c>
      <c r="G9" t="s">
        <v>15</v>
      </c>
      <c r="H9" t="s">
        <v>12</v>
      </c>
      <c r="I9" t="s">
        <v>16</v>
      </c>
      <c r="J9">
        <v>1</v>
      </c>
      <c r="K9" t="s">
        <v>33</v>
      </c>
      <c r="M9" s="3" t="s">
        <v>37</v>
      </c>
      <c r="N9" s="21">
        <v>4</v>
      </c>
    </row>
    <row r="10" spans="1:14" x14ac:dyDescent="0.35">
      <c r="A10" t="s">
        <v>79</v>
      </c>
      <c r="B10">
        <v>775</v>
      </c>
      <c r="C10" s="1">
        <v>46034</v>
      </c>
      <c r="D10">
        <v>18585</v>
      </c>
      <c r="E10">
        <v>44482</v>
      </c>
      <c r="F10" s="1">
        <v>46023</v>
      </c>
      <c r="G10" t="s">
        <v>15</v>
      </c>
      <c r="H10" t="s">
        <v>12</v>
      </c>
      <c r="I10" t="s">
        <v>16</v>
      </c>
      <c r="J10">
        <v>1</v>
      </c>
      <c r="K10" t="s">
        <v>33</v>
      </c>
      <c r="M10" s="3" t="s">
        <v>35</v>
      </c>
      <c r="N10" s="21">
        <v>5</v>
      </c>
    </row>
    <row r="11" spans="1:14" x14ac:dyDescent="0.35">
      <c r="A11" t="s">
        <v>57</v>
      </c>
      <c r="B11">
        <v>775</v>
      </c>
      <c r="C11" s="1">
        <v>46043</v>
      </c>
      <c r="D11">
        <v>18695</v>
      </c>
      <c r="E11">
        <v>44595</v>
      </c>
      <c r="F11" s="1">
        <v>45658</v>
      </c>
      <c r="G11" t="s">
        <v>15</v>
      </c>
      <c r="H11" t="s">
        <v>15</v>
      </c>
      <c r="I11" t="s">
        <v>16</v>
      </c>
      <c r="J11">
        <v>1</v>
      </c>
      <c r="K11" t="s">
        <v>33</v>
      </c>
      <c r="M11" s="3" t="s">
        <v>34</v>
      </c>
      <c r="N11" s="21">
        <v>4</v>
      </c>
    </row>
    <row r="12" spans="1:14" x14ac:dyDescent="0.35">
      <c r="A12" t="s">
        <v>81</v>
      </c>
      <c r="B12">
        <v>775</v>
      </c>
      <c r="C12" s="1">
        <v>46029</v>
      </c>
      <c r="D12">
        <v>18418</v>
      </c>
      <c r="E12">
        <v>44298</v>
      </c>
      <c r="F12" s="1">
        <v>44927</v>
      </c>
      <c r="G12" t="s">
        <v>15</v>
      </c>
      <c r="H12" t="s">
        <v>12</v>
      </c>
      <c r="I12" t="s">
        <v>16</v>
      </c>
      <c r="J12">
        <v>1</v>
      </c>
      <c r="K12" t="s">
        <v>33</v>
      </c>
      <c r="M12" s="3" t="s">
        <v>30</v>
      </c>
      <c r="N12" s="21">
        <v>33</v>
      </c>
    </row>
    <row r="13" spans="1:14" x14ac:dyDescent="0.35">
      <c r="A13" t="s">
        <v>82</v>
      </c>
      <c r="B13">
        <v>775</v>
      </c>
      <c r="C13" s="1">
        <v>46055</v>
      </c>
      <c r="D13">
        <v>18845</v>
      </c>
      <c r="E13">
        <v>44817</v>
      </c>
      <c r="F13" s="1">
        <v>46023</v>
      </c>
      <c r="G13" t="s">
        <v>15</v>
      </c>
      <c r="H13" t="s">
        <v>12</v>
      </c>
      <c r="I13" t="s">
        <v>16</v>
      </c>
      <c r="J13">
        <v>2</v>
      </c>
      <c r="K13" t="s">
        <v>33</v>
      </c>
    </row>
    <row r="14" spans="1:14" x14ac:dyDescent="0.35">
      <c r="A14" t="s">
        <v>83</v>
      </c>
      <c r="B14">
        <v>775</v>
      </c>
      <c r="C14" s="1">
        <v>46050</v>
      </c>
      <c r="D14">
        <v>18774</v>
      </c>
      <c r="E14">
        <v>44713</v>
      </c>
      <c r="F14" s="1">
        <v>46023</v>
      </c>
      <c r="G14" t="s">
        <v>15</v>
      </c>
      <c r="H14" t="s">
        <v>68</v>
      </c>
      <c r="I14" t="s">
        <v>16</v>
      </c>
      <c r="J14">
        <v>1</v>
      </c>
      <c r="K14" t="s">
        <v>33</v>
      </c>
    </row>
    <row r="15" spans="1:14" x14ac:dyDescent="0.35">
      <c r="A15" t="s">
        <v>70</v>
      </c>
      <c r="B15">
        <v>1545</v>
      </c>
      <c r="C15" s="1">
        <v>46042</v>
      </c>
      <c r="D15">
        <v>18678</v>
      </c>
      <c r="E15">
        <v>44578</v>
      </c>
      <c r="F15" s="1">
        <v>40179</v>
      </c>
      <c r="G15" t="s">
        <v>11</v>
      </c>
      <c r="H15" t="s">
        <v>12</v>
      </c>
      <c r="I15" t="s">
        <v>18</v>
      </c>
      <c r="J15">
        <v>1</v>
      </c>
      <c r="K15" t="s">
        <v>36</v>
      </c>
    </row>
    <row r="16" spans="1:14" x14ac:dyDescent="0.35">
      <c r="A16" t="s">
        <v>22</v>
      </c>
      <c r="B16">
        <v>1545</v>
      </c>
      <c r="C16" s="1">
        <v>46051</v>
      </c>
      <c r="D16">
        <v>18802</v>
      </c>
      <c r="E16">
        <v>44761</v>
      </c>
      <c r="F16" s="1">
        <v>45292</v>
      </c>
      <c r="G16" t="s">
        <v>17</v>
      </c>
      <c r="H16" t="s">
        <v>12</v>
      </c>
      <c r="I16" t="s">
        <v>18</v>
      </c>
      <c r="J16">
        <v>1</v>
      </c>
      <c r="K16" t="s">
        <v>33</v>
      </c>
    </row>
    <row r="17" spans="1:11" x14ac:dyDescent="0.35">
      <c r="A17" t="s">
        <v>14</v>
      </c>
      <c r="B17">
        <v>1545</v>
      </c>
      <c r="C17" s="1">
        <v>46037</v>
      </c>
      <c r="D17">
        <v>18652</v>
      </c>
      <c r="E17">
        <v>44550</v>
      </c>
      <c r="F17" s="1">
        <v>38718</v>
      </c>
      <c r="G17" t="s">
        <v>11</v>
      </c>
      <c r="H17" t="s">
        <v>12</v>
      </c>
      <c r="I17" t="s">
        <v>18</v>
      </c>
      <c r="J17">
        <v>1</v>
      </c>
      <c r="K17" t="s">
        <v>34</v>
      </c>
    </row>
    <row r="18" spans="1:11" x14ac:dyDescent="0.35">
      <c r="A18" t="s">
        <v>19</v>
      </c>
      <c r="B18">
        <v>1545</v>
      </c>
      <c r="C18" s="1">
        <v>46027</v>
      </c>
      <c r="D18">
        <v>18359</v>
      </c>
      <c r="E18">
        <v>44215</v>
      </c>
      <c r="F18" s="1">
        <v>40179</v>
      </c>
      <c r="G18" t="s">
        <v>0</v>
      </c>
      <c r="H18" t="s">
        <v>12</v>
      </c>
      <c r="I18" t="s">
        <v>18</v>
      </c>
      <c r="J18">
        <v>1</v>
      </c>
      <c r="K18" t="s">
        <v>36</v>
      </c>
    </row>
    <row r="19" spans="1:11" x14ac:dyDescent="0.35">
      <c r="A19" t="s">
        <v>23</v>
      </c>
      <c r="B19">
        <v>1545</v>
      </c>
      <c r="C19" s="1">
        <v>46035</v>
      </c>
      <c r="D19">
        <v>18620</v>
      </c>
      <c r="E19">
        <v>44519</v>
      </c>
      <c r="F19" s="1">
        <v>41275</v>
      </c>
      <c r="G19" t="s">
        <v>11</v>
      </c>
      <c r="H19" t="s">
        <v>12</v>
      </c>
      <c r="I19" t="s">
        <v>18</v>
      </c>
      <c r="J19">
        <v>1</v>
      </c>
      <c r="K19" t="s">
        <v>35</v>
      </c>
    </row>
    <row r="20" spans="1:11" x14ac:dyDescent="0.35">
      <c r="A20" t="s">
        <v>80</v>
      </c>
      <c r="B20">
        <v>1545</v>
      </c>
      <c r="C20" s="1">
        <v>46029</v>
      </c>
      <c r="D20">
        <v>18421</v>
      </c>
      <c r="E20">
        <v>44301</v>
      </c>
      <c r="F20" s="1">
        <v>46023</v>
      </c>
      <c r="G20" t="s">
        <v>17</v>
      </c>
      <c r="H20" t="s">
        <v>12</v>
      </c>
      <c r="I20" t="s">
        <v>18</v>
      </c>
      <c r="J20">
        <v>1</v>
      </c>
      <c r="K20" t="s">
        <v>33</v>
      </c>
    </row>
    <row r="21" spans="1:11" x14ac:dyDescent="0.35">
      <c r="A21" t="s">
        <v>58</v>
      </c>
      <c r="B21">
        <v>1545</v>
      </c>
      <c r="C21" s="1">
        <v>46042</v>
      </c>
      <c r="D21">
        <v>18683</v>
      </c>
      <c r="E21">
        <v>44583</v>
      </c>
      <c r="F21" s="1">
        <v>45658</v>
      </c>
      <c r="G21" t="s">
        <v>17</v>
      </c>
      <c r="H21" t="s">
        <v>12</v>
      </c>
      <c r="I21" t="s">
        <v>18</v>
      </c>
      <c r="J21">
        <v>1</v>
      </c>
      <c r="K21" t="s">
        <v>33</v>
      </c>
    </row>
    <row r="22" spans="1:11" x14ac:dyDescent="0.35">
      <c r="A22" t="s">
        <v>24</v>
      </c>
      <c r="B22">
        <v>1905</v>
      </c>
      <c r="C22" s="1">
        <v>46030</v>
      </c>
      <c r="D22">
        <v>18444</v>
      </c>
      <c r="E22">
        <v>44327</v>
      </c>
      <c r="F22" s="1">
        <v>45292</v>
      </c>
      <c r="G22" t="s">
        <v>17</v>
      </c>
      <c r="H22" t="s">
        <v>12</v>
      </c>
      <c r="I22" t="s">
        <v>13</v>
      </c>
      <c r="J22">
        <v>1</v>
      </c>
      <c r="K22" t="s">
        <v>33</v>
      </c>
    </row>
    <row r="23" spans="1:11" x14ac:dyDescent="0.35">
      <c r="A23" t="s">
        <v>77</v>
      </c>
      <c r="B23">
        <v>1905</v>
      </c>
      <c r="C23" s="1">
        <v>46044</v>
      </c>
      <c r="D23">
        <v>18717</v>
      </c>
      <c r="E23">
        <v>44617</v>
      </c>
      <c r="F23" s="1">
        <v>43101</v>
      </c>
      <c r="G23" t="s">
        <v>17</v>
      </c>
      <c r="H23" t="s">
        <v>12</v>
      </c>
      <c r="I23" t="s">
        <v>13</v>
      </c>
      <c r="J23">
        <v>1</v>
      </c>
      <c r="K23" t="s">
        <v>37</v>
      </c>
    </row>
    <row r="24" spans="1:11" x14ac:dyDescent="0.35">
      <c r="A24" t="s">
        <v>64</v>
      </c>
      <c r="B24">
        <v>2370</v>
      </c>
      <c r="C24" s="1">
        <v>46035</v>
      </c>
      <c r="D24">
        <v>18613</v>
      </c>
      <c r="E24">
        <v>44511</v>
      </c>
      <c r="F24" s="1">
        <v>37622</v>
      </c>
      <c r="G24" t="s">
        <v>17</v>
      </c>
      <c r="H24" t="s">
        <v>12</v>
      </c>
      <c r="I24" t="s">
        <v>18</v>
      </c>
      <c r="J24">
        <v>1</v>
      </c>
      <c r="K24" t="s">
        <v>34</v>
      </c>
    </row>
    <row r="25" spans="1:11" x14ac:dyDescent="0.35">
      <c r="A25" t="s">
        <v>63</v>
      </c>
      <c r="B25">
        <v>2370</v>
      </c>
      <c r="C25" s="1">
        <v>46042</v>
      </c>
      <c r="D25">
        <v>18672</v>
      </c>
      <c r="E25">
        <v>44570</v>
      </c>
      <c r="F25" s="1">
        <v>41640</v>
      </c>
      <c r="G25" t="s">
        <v>17</v>
      </c>
      <c r="H25" t="s">
        <v>12</v>
      </c>
      <c r="I25" t="s">
        <v>18</v>
      </c>
      <c r="J25">
        <v>1</v>
      </c>
      <c r="K25" t="s">
        <v>35</v>
      </c>
    </row>
    <row r="26" spans="1:11" x14ac:dyDescent="0.35">
      <c r="A26" t="s">
        <v>25</v>
      </c>
      <c r="B26">
        <v>2680</v>
      </c>
      <c r="C26" s="1">
        <v>46038</v>
      </c>
      <c r="D26">
        <v>18656</v>
      </c>
      <c r="E26">
        <v>44554</v>
      </c>
      <c r="F26" s="1">
        <v>36892</v>
      </c>
      <c r="G26" t="s">
        <v>11</v>
      </c>
      <c r="H26" t="s">
        <v>12</v>
      </c>
      <c r="I26" t="s">
        <v>18</v>
      </c>
      <c r="J26">
        <v>1</v>
      </c>
      <c r="K26" t="s">
        <v>34</v>
      </c>
    </row>
    <row r="27" spans="1:11" x14ac:dyDescent="0.35">
      <c r="A27" t="s">
        <v>84</v>
      </c>
      <c r="B27">
        <v>2680</v>
      </c>
      <c r="C27" s="1">
        <v>46038</v>
      </c>
      <c r="D27">
        <v>18660</v>
      </c>
      <c r="E27">
        <v>44559</v>
      </c>
      <c r="F27" s="1">
        <v>40544</v>
      </c>
      <c r="G27" t="s">
        <v>11</v>
      </c>
      <c r="H27" t="s">
        <v>12</v>
      </c>
      <c r="I27" t="s">
        <v>18</v>
      </c>
      <c r="J27">
        <v>1</v>
      </c>
      <c r="K27" t="s">
        <v>36</v>
      </c>
    </row>
    <row r="28" spans="1:11" x14ac:dyDescent="0.35">
      <c r="A28" t="s">
        <v>85</v>
      </c>
      <c r="B28">
        <v>2680</v>
      </c>
      <c r="C28" s="1">
        <v>46052</v>
      </c>
      <c r="D28">
        <v>18826</v>
      </c>
      <c r="E28">
        <v>44799</v>
      </c>
      <c r="F28" s="1">
        <v>42736</v>
      </c>
      <c r="G28" t="s">
        <v>11</v>
      </c>
      <c r="H28" t="s">
        <v>12</v>
      </c>
      <c r="I28" t="s">
        <v>18</v>
      </c>
      <c r="J28">
        <v>1</v>
      </c>
      <c r="K28" t="s">
        <v>35</v>
      </c>
    </row>
    <row r="29" spans="1:11" x14ac:dyDescent="0.35">
      <c r="A29" t="s">
        <v>56</v>
      </c>
      <c r="B29">
        <v>2990</v>
      </c>
      <c r="C29" s="1">
        <v>46045</v>
      </c>
      <c r="D29">
        <v>18722</v>
      </c>
      <c r="E29">
        <v>44622</v>
      </c>
      <c r="F29" s="1">
        <v>45658</v>
      </c>
      <c r="G29" t="s">
        <v>17</v>
      </c>
      <c r="H29" t="s">
        <v>12</v>
      </c>
      <c r="I29" t="s">
        <v>13</v>
      </c>
      <c r="J29">
        <v>1</v>
      </c>
      <c r="K29" t="s">
        <v>33</v>
      </c>
    </row>
    <row r="30" spans="1:11" x14ac:dyDescent="0.35">
      <c r="A30" t="s">
        <v>78</v>
      </c>
      <c r="B30">
        <v>2990</v>
      </c>
      <c r="C30" s="1">
        <v>46031</v>
      </c>
      <c r="D30">
        <v>18479</v>
      </c>
      <c r="E30">
        <v>44361</v>
      </c>
      <c r="F30" s="1">
        <v>44197</v>
      </c>
      <c r="G30" t="s">
        <v>17</v>
      </c>
      <c r="H30" t="s">
        <v>12</v>
      </c>
      <c r="I30" t="s">
        <v>13</v>
      </c>
      <c r="J30">
        <v>1</v>
      </c>
      <c r="K30" t="s">
        <v>37</v>
      </c>
    </row>
    <row r="31" spans="1:11" x14ac:dyDescent="0.35">
      <c r="A31" t="s">
        <v>27</v>
      </c>
      <c r="B31">
        <v>5460</v>
      </c>
      <c r="C31" s="1">
        <v>46037</v>
      </c>
      <c r="D31">
        <v>18650</v>
      </c>
      <c r="E31">
        <v>44548</v>
      </c>
      <c r="F31" s="1">
        <v>39814</v>
      </c>
      <c r="G31" t="s">
        <v>11</v>
      </c>
      <c r="H31" t="s">
        <v>12</v>
      </c>
      <c r="I31" t="s">
        <v>18</v>
      </c>
      <c r="J31">
        <v>1</v>
      </c>
      <c r="K31" t="s">
        <v>36</v>
      </c>
    </row>
    <row r="32" spans="1:11" x14ac:dyDescent="0.35">
      <c r="A32" t="s">
        <v>26</v>
      </c>
      <c r="B32">
        <v>9685</v>
      </c>
      <c r="C32" s="1">
        <v>46052</v>
      </c>
      <c r="D32">
        <v>18825</v>
      </c>
      <c r="E32">
        <v>44798</v>
      </c>
      <c r="F32" s="1">
        <v>42005</v>
      </c>
      <c r="G32" t="s">
        <v>17</v>
      </c>
      <c r="H32" t="s">
        <v>12</v>
      </c>
      <c r="I32" t="s">
        <v>18</v>
      </c>
      <c r="J32">
        <v>1</v>
      </c>
      <c r="K32" t="s">
        <v>35</v>
      </c>
    </row>
    <row r="33" spans="1:11" x14ac:dyDescent="0.35">
      <c r="A33" t="s">
        <v>75</v>
      </c>
      <c r="B33">
        <v>23375</v>
      </c>
      <c r="C33" s="1">
        <v>46048</v>
      </c>
      <c r="D33">
        <v>18752</v>
      </c>
      <c r="E33">
        <v>44676</v>
      </c>
      <c r="F33" s="1">
        <v>40909</v>
      </c>
      <c r="G33" t="s">
        <v>0</v>
      </c>
      <c r="H33" t="s">
        <v>12</v>
      </c>
      <c r="I33" t="s">
        <v>18</v>
      </c>
      <c r="J33">
        <v>1</v>
      </c>
      <c r="K33" t="s">
        <v>36</v>
      </c>
    </row>
    <row r="34" spans="1:11" x14ac:dyDescent="0.35">
      <c r="A34" t="s">
        <v>73</v>
      </c>
      <c r="B34">
        <v>38100</v>
      </c>
      <c r="C34" s="1">
        <v>46048</v>
      </c>
      <c r="D34">
        <v>18755</v>
      </c>
      <c r="E34">
        <v>44679</v>
      </c>
      <c r="F34" s="1">
        <v>35796</v>
      </c>
      <c r="G34" t="s">
        <v>17</v>
      </c>
      <c r="H34" t="s">
        <v>12</v>
      </c>
      <c r="I34" t="s">
        <v>21</v>
      </c>
      <c r="J34">
        <v>1</v>
      </c>
      <c r="K34" t="s">
        <v>34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35"/>
  <sheetViews>
    <sheetView topLeftCell="C1" workbookViewId="0">
      <selection activeCell="C5" sqref="C5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64</v>
      </c>
      <c r="B2">
        <v>2370</v>
      </c>
      <c r="C2" s="1">
        <v>46035</v>
      </c>
      <c r="D2">
        <v>18613</v>
      </c>
      <c r="E2">
        <v>44511</v>
      </c>
      <c r="F2" s="1">
        <v>37839</v>
      </c>
      <c r="G2" t="s">
        <v>17</v>
      </c>
      <c r="H2" t="s">
        <v>12</v>
      </c>
      <c r="I2" t="s">
        <v>18</v>
      </c>
      <c r="J2">
        <v>1</v>
      </c>
    </row>
    <row r="3" spans="1:10" x14ac:dyDescent="0.35">
      <c r="A3" t="s">
        <v>28</v>
      </c>
      <c r="B3">
        <v>775</v>
      </c>
      <c r="C3" s="1">
        <v>46033</v>
      </c>
      <c r="D3">
        <v>18551</v>
      </c>
      <c r="E3">
        <v>44438</v>
      </c>
      <c r="F3" s="1">
        <v>45385</v>
      </c>
      <c r="G3" t="s">
        <v>15</v>
      </c>
      <c r="H3" t="s">
        <v>15</v>
      </c>
      <c r="I3" t="s">
        <v>16</v>
      </c>
      <c r="J3">
        <v>1</v>
      </c>
    </row>
    <row r="4" spans="1:10" x14ac:dyDescent="0.35">
      <c r="A4" t="s">
        <v>55</v>
      </c>
      <c r="B4">
        <v>775</v>
      </c>
      <c r="C4" s="1">
        <v>46027</v>
      </c>
      <c r="D4">
        <v>18371</v>
      </c>
      <c r="E4">
        <v>44227</v>
      </c>
      <c r="F4" s="1">
        <v>44433</v>
      </c>
      <c r="G4" t="s">
        <v>15</v>
      </c>
      <c r="H4" t="s">
        <v>12</v>
      </c>
      <c r="I4" t="s">
        <v>16</v>
      </c>
      <c r="J4">
        <v>1</v>
      </c>
    </row>
    <row r="5" spans="1:10" x14ac:dyDescent="0.35">
      <c r="A5" t="s">
        <v>69</v>
      </c>
      <c r="B5">
        <v>775</v>
      </c>
      <c r="C5" s="1">
        <v>46034</v>
      </c>
      <c r="D5">
        <v>18605</v>
      </c>
      <c r="E5">
        <v>44503</v>
      </c>
      <c r="F5" s="1">
        <v>46034</v>
      </c>
      <c r="G5" t="s">
        <v>15</v>
      </c>
      <c r="H5" t="s">
        <v>20</v>
      </c>
      <c r="I5" t="s">
        <v>16</v>
      </c>
      <c r="J5">
        <v>1</v>
      </c>
    </row>
    <row r="6" spans="1:10" x14ac:dyDescent="0.35">
      <c r="A6" t="s">
        <v>70</v>
      </c>
      <c r="B6">
        <v>1545</v>
      </c>
      <c r="C6" s="1">
        <v>46042</v>
      </c>
      <c r="D6">
        <v>18678</v>
      </c>
      <c r="E6">
        <v>44578</v>
      </c>
      <c r="F6" s="1">
        <v>40179</v>
      </c>
      <c r="G6" t="s">
        <v>11</v>
      </c>
      <c r="H6" t="s">
        <v>12</v>
      </c>
      <c r="I6" t="s">
        <v>18</v>
      </c>
      <c r="J6">
        <v>1</v>
      </c>
    </row>
    <row r="7" spans="1:10" x14ac:dyDescent="0.35">
      <c r="A7" t="s">
        <v>71</v>
      </c>
      <c r="B7">
        <v>775</v>
      </c>
      <c r="C7" s="1">
        <v>46053</v>
      </c>
      <c r="D7">
        <v>18840</v>
      </c>
      <c r="E7">
        <v>44813</v>
      </c>
      <c r="F7" s="1">
        <v>44546</v>
      </c>
      <c r="G7" t="s">
        <v>15</v>
      </c>
      <c r="H7" t="s">
        <v>15</v>
      </c>
      <c r="I7" t="s">
        <v>16</v>
      </c>
      <c r="J7">
        <v>1</v>
      </c>
    </row>
    <row r="8" spans="1:10" x14ac:dyDescent="0.35">
      <c r="A8" t="s">
        <v>72</v>
      </c>
      <c r="B8">
        <v>775</v>
      </c>
      <c r="C8" s="1">
        <v>46052</v>
      </c>
      <c r="D8">
        <v>18833</v>
      </c>
      <c r="E8">
        <v>44806</v>
      </c>
      <c r="F8" s="1">
        <v>46052</v>
      </c>
      <c r="G8" t="s">
        <v>15</v>
      </c>
      <c r="H8" t="s">
        <v>12</v>
      </c>
      <c r="I8" t="s">
        <v>16</v>
      </c>
      <c r="J8">
        <v>1</v>
      </c>
    </row>
    <row r="9" spans="1:10" x14ac:dyDescent="0.35">
      <c r="A9" t="s">
        <v>73</v>
      </c>
      <c r="B9">
        <v>38100</v>
      </c>
      <c r="C9" s="1">
        <v>46048</v>
      </c>
      <c r="D9">
        <v>18755</v>
      </c>
      <c r="E9">
        <v>44679</v>
      </c>
      <c r="F9" s="1">
        <v>35925</v>
      </c>
      <c r="G9" t="s">
        <v>17</v>
      </c>
      <c r="H9" t="s">
        <v>12</v>
      </c>
      <c r="I9" t="s">
        <v>21</v>
      </c>
      <c r="J9">
        <v>1</v>
      </c>
    </row>
    <row r="10" spans="1:10" x14ac:dyDescent="0.35">
      <c r="A10" t="s">
        <v>24</v>
      </c>
      <c r="B10">
        <v>1905</v>
      </c>
      <c r="C10" s="1">
        <v>46030</v>
      </c>
      <c r="D10">
        <v>18444</v>
      </c>
      <c r="E10">
        <v>44327</v>
      </c>
      <c r="F10" s="1">
        <v>45341</v>
      </c>
      <c r="G10" t="s">
        <v>17</v>
      </c>
      <c r="H10" t="s">
        <v>12</v>
      </c>
      <c r="I10" t="s">
        <v>13</v>
      </c>
      <c r="J10">
        <v>1</v>
      </c>
    </row>
    <row r="11" spans="1:10" x14ac:dyDescent="0.35">
      <c r="A11" t="s">
        <v>74</v>
      </c>
      <c r="B11">
        <v>775</v>
      </c>
      <c r="C11" s="1">
        <v>46043</v>
      </c>
      <c r="D11">
        <v>18708</v>
      </c>
      <c r="E11">
        <v>44608</v>
      </c>
      <c r="F11" s="1">
        <v>42038</v>
      </c>
      <c r="G11" t="s">
        <v>17</v>
      </c>
      <c r="H11" t="s">
        <v>12</v>
      </c>
      <c r="I11" t="s">
        <v>16</v>
      </c>
      <c r="J11">
        <v>1</v>
      </c>
    </row>
    <row r="12" spans="1:10" x14ac:dyDescent="0.35">
      <c r="A12" t="s">
        <v>26</v>
      </c>
      <c r="B12">
        <v>9685</v>
      </c>
      <c r="C12" s="1">
        <v>46052</v>
      </c>
      <c r="D12">
        <v>18825</v>
      </c>
      <c r="E12">
        <v>44798</v>
      </c>
      <c r="F12" s="1">
        <v>42144</v>
      </c>
      <c r="G12" t="s">
        <v>17</v>
      </c>
      <c r="H12" t="s">
        <v>12</v>
      </c>
      <c r="I12" t="s">
        <v>18</v>
      </c>
      <c r="J12">
        <v>1</v>
      </c>
    </row>
    <row r="13" spans="1:10" x14ac:dyDescent="0.35">
      <c r="A13" t="s">
        <v>75</v>
      </c>
      <c r="B13">
        <v>23375</v>
      </c>
      <c r="C13" s="1">
        <v>46048</v>
      </c>
      <c r="D13">
        <v>18752</v>
      </c>
      <c r="E13">
        <v>44676</v>
      </c>
      <c r="F13" s="1">
        <v>41256</v>
      </c>
      <c r="G13" t="s">
        <v>0</v>
      </c>
      <c r="H13" t="s">
        <v>12</v>
      </c>
      <c r="I13" t="s">
        <v>18</v>
      </c>
      <c r="J13">
        <v>1</v>
      </c>
    </row>
    <row r="14" spans="1:10" x14ac:dyDescent="0.35">
      <c r="A14" t="s">
        <v>27</v>
      </c>
      <c r="B14">
        <v>5460</v>
      </c>
      <c r="C14" s="1">
        <v>46037</v>
      </c>
      <c r="D14">
        <v>18650</v>
      </c>
      <c r="E14">
        <v>44548</v>
      </c>
      <c r="F14" s="1">
        <v>39989</v>
      </c>
      <c r="G14" t="s">
        <v>11</v>
      </c>
      <c r="H14" t="s">
        <v>12</v>
      </c>
      <c r="I14" t="s">
        <v>18</v>
      </c>
      <c r="J14">
        <v>1</v>
      </c>
    </row>
    <row r="15" spans="1:10" x14ac:dyDescent="0.35">
      <c r="A15" t="s">
        <v>76</v>
      </c>
      <c r="B15">
        <v>775</v>
      </c>
      <c r="C15" s="1">
        <v>46028</v>
      </c>
      <c r="D15">
        <v>18392</v>
      </c>
      <c r="E15">
        <v>44254</v>
      </c>
      <c r="F15" s="1">
        <v>46028</v>
      </c>
      <c r="G15" t="s">
        <v>15</v>
      </c>
      <c r="H15" t="s">
        <v>12</v>
      </c>
      <c r="I15" t="s">
        <v>16</v>
      </c>
      <c r="J15">
        <v>1</v>
      </c>
    </row>
    <row r="16" spans="1:10" x14ac:dyDescent="0.35">
      <c r="A16" t="s">
        <v>22</v>
      </c>
      <c r="B16">
        <v>1545</v>
      </c>
      <c r="C16" s="1">
        <v>46051</v>
      </c>
      <c r="D16">
        <v>18802</v>
      </c>
      <c r="E16">
        <v>44761</v>
      </c>
      <c r="F16" s="1">
        <v>45303</v>
      </c>
      <c r="G16" t="s">
        <v>17</v>
      </c>
      <c r="H16" t="s">
        <v>12</v>
      </c>
      <c r="I16" t="s">
        <v>18</v>
      </c>
      <c r="J16">
        <v>1</v>
      </c>
    </row>
    <row r="17" spans="1:10" x14ac:dyDescent="0.35">
      <c r="A17" t="s">
        <v>63</v>
      </c>
      <c r="B17">
        <v>2370</v>
      </c>
      <c r="C17" s="1">
        <v>46042</v>
      </c>
      <c r="D17">
        <v>18672</v>
      </c>
      <c r="E17">
        <v>44570</v>
      </c>
      <c r="F17" s="1">
        <v>41988</v>
      </c>
      <c r="G17" t="s">
        <v>17</v>
      </c>
      <c r="H17" t="s">
        <v>12</v>
      </c>
      <c r="I17" t="s">
        <v>18</v>
      </c>
      <c r="J17">
        <v>1</v>
      </c>
    </row>
    <row r="18" spans="1:10" x14ac:dyDescent="0.35">
      <c r="A18" t="s">
        <v>77</v>
      </c>
      <c r="B18">
        <v>1905</v>
      </c>
      <c r="C18" s="1">
        <v>46044</v>
      </c>
      <c r="D18">
        <v>18717</v>
      </c>
      <c r="E18">
        <v>44617</v>
      </c>
      <c r="F18" s="1">
        <v>43465</v>
      </c>
      <c r="G18" t="s">
        <v>17</v>
      </c>
      <c r="H18" t="s">
        <v>12</v>
      </c>
      <c r="I18" t="s">
        <v>13</v>
      </c>
      <c r="J18">
        <v>1</v>
      </c>
    </row>
    <row r="19" spans="1:10" x14ac:dyDescent="0.35">
      <c r="A19" t="s">
        <v>14</v>
      </c>
      <c r="B19">
        <v>1545</v>
      </c>
      <c r="C19" s="1">
        <v>46037</v>
      </c>
      <c r="D19">
        <v>18652</v>
      </c>
      <c r="E19">
        <v>44550</v>
      </c>
      <c r="F19" s="1">
        <v>38720</v>
      </c>
      <c r="G19" t="s">
        <v>11</v>
      </c>
      <c r="H19" t="s">
        <v>12</v>
      </c>
      <c r="I19" t="s">
        <v>18</v>
      </c>
      <c r="J19">
        <v>1</v>
      </c>
    </row>
    <row r="20" spans="1:10" x14ac:dyDescent="0.35">
      <c r="A20" t="s">
        <v>56</v>
      </c>
      <c r="B20">
        <v>2990</v>
      </c>
      <c r="C20" s="1">
        <v>46045</v>
      </c>
      <c r="D20">
        <v>18722</v>
      </c>
      <c r="E20">
        <v>44622</v>
      </c>
      <c r="F20" s="1">
        <v>45682</v>
      </c>
      <c r="G20" t="s">
        <v>17</v>
      </c>
      <c r="H20" t="s">
        <v>12</v>
      </c>
      <c r="I20" t="s">
        <v>13</v>
      </c>
      <c r="J20">
        <v>1</v>
      </c>
    </row>
    <row r="21" spans="1:10" x14ac:dyDescent="0.35">
      <c r="A21" t="s">
        <v>78</v>
      </c>
      <c r="B21">
        <v>2990</v>
      </c>
      <c r="C21" s="1">
        <v>46031</v>
      </c>
      <c r="D21">
        <v>18479</v>
      </c>
      <c r="E21">
        <v>44361</v>
      </c>
      <c r="F21" s="1">
        <v>44209</v>
      </c>
      <c r="G21" t="s">
        <v>17</v>
      </c>
      <c r="H21" t="s">
        <v>12</v>
      </c>
      <c r="I21" t="s">
        <v>13</v>
      </c>
      <c r="J21">
        <v>1</v>
      </c>
    </row>
    <row r="22" spans="1:10" x14ac:dyDescent="0.35">
      <c r="A22" t="s">
        <v>67</v>
      </c>
      <c r="B22">
        <v>460.04</v>
      </c>
      <c r="C22" s="1">
        <v>46031</v>
      </c>
      <c r="D22">
        <v>18491</v>
      </c>
      <c r="E22">
        <v>44373</v>
      </c>
      <c r="F22" s="1">
        <v>45777</v>
      </c>
      <c r="G22" t="s">
        <v>17</v>
      </c>
      <c r="H22" t="s">
        <v>12</v>
      </c>
      <c r="I22" t="s">
        <v>18</v>
      </c>
      <c r="J22">
        <v>1</v>
      </c>
    </row>
    <row r="23" spans="1:10" x14ac:dyDescent="0.35">
      <c r="A23" t="s">
        <v>67</v>
      </c>
      <c r="B23">
        <v>108.79</v>
      </c>
      <c r="C23" s="1">
        <v>46031</v>
      </c>
      <c r="D23">
        <v>18507</v>
      </c>
      <c r="E23">
        <v>44390</v>
      </c>
      <c r="F23" s="1">
        <v>45777</v>
      </c>
      <c r="G23" t="s">
        <v>17</v>
      </c>
      <c r="H23" t="s">
        <v>12</v>
      </c>
      <c r="I23" t="s">
        <v>13</v>
      </c>
      <c r="J23">
        <v>1</v>
      </c>
    </row>
    <row r="24" spans="1:10" x14ac:dyDescent="0.35">
      <c r="A24" t="s">
        <v>19</v>
      </c>
      <c r="B24">
        <v>1545</v>
      </c>
      <c r="C24" s="1">
        <v>46027</v>
      </c>
      <c r="D24">
        <v>18359</v>
      </c>
      <c r="E24">
        <v>44215</v>
      </c>
      <c r="F24" s="1">
        <v>40225</v>
      </c>
      <c r="G24" t="s">
        <v>0</v>
      </c>
      <c r="H24" t="s">
        <v>12</v>
      </c>
      <c r="I24" t="s">
        <v>18</v>
      </c>
      <c r="J24">
        <v>1</v>
      </c>
    </row>
    <row r="25" spans="1:10" x14ac:dyDescent="0.35">
      <c r="A25" t="s">
        <v>79</v>
      </c>
      <c r="B25">
        <v>775</v>
      </c>
      <c r="C25" s="1">
        <v>46034</v>
      </c>
      <c r="D25">
        <v>18585</v>
      </c>
      <c r="E25">
        <v>44482</v>
      </c>
      <c r="F25" s="1">
        <v>46034</v>
      </c>
      <c r="G25" t="s">
        <v>15</v>
      </c>
      <c r="H25" t="s">
        <v>12</v>
      </c>
      <c r="I25" t="s">
        <v>16</v>
      </c>
      <c r="J25">
        <v>1</v>
      </c>
    </row>
    <row r="26" spans="1:10" x14ac:dyDescent="0.35">
      <c r="A26" t="s">
        <v>23</v>
      </c>
      <c r="B26">
        <v>1545</v>
      </c>
      <c r="C26" s="1">
        <v>46035</v>
      </c>
      <c r="D26">
        <v>18620</v>
      </c>
      <c r="E26">
        <v>44519</v>
      </c>
      <c r="F26" s="1">
        <v>41317</v>
      </c>
      <c r="G26" t="s">
        <v>11</v>
      </c>
      <c r="H26" t="s">
        <v>12</v>
      </c>
      <c r="I26" t="s">
        <v>18</v>
      </c>
      <c r="J26">
        <v>1</v>
      </c>
    </row>
    <row r="27" spans="1:10" x14ac:dyDescent="0.35">
      <c r="A27" t="s">
        <v>57</v>
      </c>
      <c r="B27">
        <v>775</v>
      </c>
      <c r="C27" s="1">
        <v>46043</v>
      </c>
      <c r="D27">
        <v>18695</v>
      </c>
      <c r="E27">
        <v>44595</v>
      </c>
      <c r="F27" s="1">
        <v>45681</v>
      </c>
      <c r="G27" t="s">
        <v>15</v>
      </c>
      <c r="H27" t="s">
        <v>15</v>
      </c>
      <c r="I27" t="s">
        <v>16</v>
      </c>
      <c r="J27">
        <v>1</v>
      </c>
    </row>
    <row r="28" spans="1:10" x14ac:dyDescent="0.35">
      <c r="A28" t="s">
        <v>80</v>
      </c>
      <c r="B28">
        <v>1545</v>
      </c>
      <c r="C28" s="1">
        <v>46029</v>
      </c>
      <c r="D28">
        <v>18421</v>
      </c>
      <c r="E28">
        <v>44301</v>
      </c>
      <c r="F28" s="1">
        <v>46029</v>
      </c>
      <c r="G28" t="s">
        <v>17</v>
      </c>
      <c r="H28" t="s">
        <v>12</v>
      </c>
      <c r="I28" t="s">
        <v>18</v>
      </c>
      <c r="J28">
        <v>1</v>
      </c>
    </row>
    <row r="29" spans="1:10" x14ac:dyDescent="0.35">
      <c r="A29" t="s">
        <v>81</v>
      </c>
      <c r="B29">
        <v>775</v>
      </c>
      <c r="C29" s="1">
        <v>46029</v>
      </c>
      <c r="D29">
        <v>18418</v>
      </c>
      <c r="E29">
        <v>44298</v>
      </c>
      <c r="F29" s="1">
        <v>45050</v>
      </c>
      <c r="G29" t="s">
        <v>15</v>
      </c>
      <c r="H29" t="s">
        <v>12</v>
      </c>
      <c r="I29" t="s">
        <v>16</v>
      </c>
      <c r="J29">
        <v>1</v>
      </c>
    </row>
    <row r="30" spans="1:10" x14ac:dyDescent="0.35">
      <c r="A30" t="s">
        <v>82</v>
      </c>
      <c r="B30">
        <v>775</v>
      </c>
      <c r="C30" s="1">
        <v>46055</v>
      </c>
      <c r="D30">
        <v>18845</v>
      </c>
      <c r="E30">
        <v>44817</v>
      </c>
      <c r="F30" s="1">
        <v>46055</v>
      </c>
      <c r="G30" t="s">
        <v>15</v>
      </c>
      <c r="H30" t="s">
        <v>12</v>
      </c>
      <c r="I30" t="s">
        <v>16</v>
      </c>
      <c r="J30">
        <v>2</v>
      </c>
    </row>
    <row r="31" spans="1:10" x14ac:dyDescent="0.35">
      <c r="A31" t="s">
        <v>25</v>
      </c>
      <c r="B31">
        <v>2680</v>
      </c>
      <c r="C31" s="1">
        <v>46038</v>
      </c>
      <c r="D31">
        <v>18656</v>
      </c>
      <c r="E31">
        <v>44554</v>
      </c>
      <c r="F31" s="1">
        <v>36985</v>
      </c>
      <c r="G31" t="s">
        <v>11</v>
      </c>
      <c r="H31" t="s">
        <v>12</v>
      </c>
      <c r="I31" t="s">
        <v>18</v>
      </c>
      <c r="J31">
        <v>1</v>
      </c>
    </row>
    <row r="32" spans="1:10" x14ac:dyDescent="0.35">
      <c r="A32" t="s">
        <v>58</v>
      </c>
      <c r="B32">
        <v>1545</v>
      </c>
      <c r="C32" s="1">
        <v>46042</v>
      </c>
      <c r="D32">
        <v>18683</v>
      </c>
      <c r="E32">
        <v>44583</v>
      </c>
      <c r="F32" s="1">
        <v>45679</v>
      </c>
      <c r="G32" t="s">
        <v>17</v>
      </c>
      <c r="H32" t="s">
        <v>12</v>
      </c>
      <c r="I32" t="s">
        <v>18</v>
      </c>
      <c r="J32">
        <v>1</v>
      </c>
    </row>
    <row r="33" spans="1:10" x14ac:dyDescent="0.35">
      <c r="A33" t="s">
        <v>83</v>
      </c>
      <c r="B33">
        <v>775</v>
      </c>
      <c r="C33" s="1">
        <v>46050</v>
      </c>
      <c r="D33">
        <v>18774</v>
      </c>
      <c r="E33">
        <v>44713</v>
      </c>
      <c r="F33" s="1">
        <v>46050</v>
      </c>
      <c r="G33" t="s">
        <v>15</v>
      </c>
      <c r="H33" t="s">
        <v>68</v>
      </c>
      <c r="I33" t="s">
        <v>16</v>
      </c>
      <c r="J33">
        <v>1</v>
      </c>
    </row>
    <row r="34" spans="1:10" x14ac:dyDescent="0.35">
      <c r="A34" t="s">
        <v>84</v>
      </c>
      <c r="B34">
        <v>2680</v>
      </c>
      <c r="C34" s="1">
        <v>46038</v>
      </c>
      <c r="D34">
        <v>18660</v>
      </c>
      <c r="E34">
        <v>44559</v>
      </c>
      <c r="F34" s="1">
        <v>40897</v>
      </c>
      <c r="G34" t="s">
        <v>11</v>
      </c>
      <c r="H34" t="s">
        <v>12</v>
      </c>
      <c r="I34" t="s">
        <v>18</v>
      </c>
      <c r="J34">
        <v>1</v>
      </c>
    </row>
    <row r="35" spans="1:10" x14ac:dyDescent="0.35">
      <c r="A35" t="s">
        <v>85</v>
      </c>
      <c r="B35">
        <v>2680</v>
      </c>
      <c r="C35" s="1">
        <v>46052</v>
      </c>
      <c r="D35">
        <v>18826</v>
      </c>
      <c r="E35">
        <v>44799</v>
      </c>
      <c r="F35" s="1">
        <v>42942</v>
      </c>
      <c r="G35" t="s">
        <v>11</v>
      </c>
      <c r="H35" t="s">
        <v>12</v>
      </c>
      <c r="I35" t="s">
        <v>18</v>
      </c>
      <c r="J35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59</v>
      </c>
      <c r="B1" t="s">
        <v>60</v>
      </c>
    </row>
    <row r="2" spans="1:5" x14ac:dyDescent="0.35">
      <c r="A2" s="15">
        <v>0.1</v>
      </c>
      <c r="B2" s="16">
        <v>281453.33</v>
      </c>
      <c r="D2" s="2" t="s">
        <v>29</v>
      </c>
      <c r="E2" t="s">
        <v>61</v>
      </c>
    </row>
    <row r="3" spans="1:5" x14ac:dyDescent="0.35">
      <c r="A3" s="17">
        <v>0.2</v>
      </c>
      <c r="B3" s="18">
        <v>281453.33</v>
      </c>
      <c r="D3" s="19">
        <v>0.1</v>
      </c>
      <c r="E3" s="21">
        <v>1</v>
      </c>
    </row>
    <row r="4" spans="1:5" x14ac:dyDescent="0.35">
      <c r="A4" s="15">
        <v>0.3</v>
      </c>
      <c r="B4" s="16">
        <v>281453.33</v>
      </c>
      <c r="D4" s="19">
        <v>0.2</v>
      </c>
      <c r="E4" s="21">
        <v>1</v>
      </c>
    </row>
    <row r="5" spans="1:5" x14ac:dyDescent="0.35">
      <c r="A5" s="17">
        <v>0.4</v>
      </c>
      <c r="B5" s="18">
        <v>281453.33</v>
      </c>
      <c r="D5" s="19">
        <v>0.3</v>
      </c>
      <c r="E5" s="21">
        <v>1</v>
      </c>
    </row>
    <row r="6" spans="1:5" x14ac:dyDescent="0.35">
      <c r="A6" s="15">
        <v>0.5</v>
      </c>
      <c r="B6" s="16">
        <v>281453.33</v>
      </c>
      <c r="D6" s="19">
        <v>0.4</v>
      </c>
      <c r="E6" s="21">
        <v>1</v>
      </c>
    </row>
    <row r="7" spans="1:5" x14ac:dyDescent="0.35">
      <c r="A7" s="17">
        <v>0.6</v>
      </c>
      <c r="B7" s="18">
        <v>281453.33</v>
      </c>
      <c r="D7" s="19">
        <v>0.5</v>
      </c>
      <c r="E7" s="21">
        <v>1</v>
      </c>
    </row>
    <row r="8" spans="1:5" x14ac:dyDescent="0.35">
      <c r="A8" s="15">
        <v>0.7</v>
      </c>
      <c r="B8" s="16">
        <v>281453.33</v>
      </c>
      <c r="D8" s="19">
        <v>0.6</v>
      </c>
      <c r="E8" s="21">
        <v>1</v>
      </c>
    </row>
    <row r="9" spans="1:5" x14ac:dyDescent="0.35">
      <c r="A9" s="17">
        <v>0.8</v>
      </c>
      <c r="B9" s="18">
        <v>281453.33</v>
      </c>
      <c r="D9" s="19">
        <v>0.7</v>
      </c>
      <c r="E9" s="21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 s="21">
        <v>1</v>
      </c>
    </row>
    <row r="11" spans="1:5" x14ac:dyDescent="0.35">
      <c r="A11" s="17">
        <v>1</v>
      </c>
      <c r="B11" s="18">
        <v>281453.33</v>
      </c>
      <c r="D11" s="19">
        <v>0.9</v>
      </c>
      <c r="E11" s="2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 s="21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 s="21">
        <v>1</v>
      </c>
    </row>
    <row r="14" spans="1:5" x14ac:dyDescent="0.35">
      <c r="A14" s="15">
        <v>1.3</v>
      </c>
      <c r="B14" s="13">
        <v>0</v>
      </c>
      <c r="D14" s="19">
        <v>1.2</v>
      </c>
      <c r="E14" s="21">
        <v>1</v>
      </c>
    </row>
    <row r="15" spans="1:5" x14ac:dyDescent="0.35">
      <c r="A15" s="17">
        <v>1.4</v>
      </c>
      <c r="B15" s="14">
        <v>0</v>
      </c>
      <c r="D15" s="19">
        <v>1.3</v>
      </c>
      <c r="E15" s="21">
        <v>1</v>
      </c>
    </row>
    <row r="16" spans="1:5" x14ac:dyDescent="0.35">
      <c r="A16" s="15">
        <v>1.5</v>
      </c>
      <c r="B16" s="13">
        <v>0</v>
      </c>
      <c r="D16" s="19">
        <v>1.4</v>
      </c>
      <c r="E16" s="21">
        <v>1</v>
      </c>
    </row>
    <row r="17" spans="1:5" x14ac:dyDescent="0.35">
      <c r="A17" s="17">
        <v>1.6</v>
      </c>
      <c r="B17" s="14">
        <v>0</v>
      </c>
      <c r="D17" s="19">
        <v>1.5</v>
      </c>
      <c r="E17" s="21">
        <v>1</v>
      </c>
    </row>
    <row r="18" spans="1:5" x14ac:dyDescent="0.35">
      <c r="A18" s="15">
        <v>1.7</v>
      </c>
      <c r="B18" s="13">
        <v>0</v>
      </c>
      <c r="D18" s="19">
        <v>1.6</v>
      </c>
      <c r="E18" s="21">
        <v>1</v>
      </c>
    </row>
    <row r="19" spans="1:5" x14ac:dyDescent="0.35">
      <c r="A19" s="17">
        <v>1.8</v>
      </c>
      <c r="B19" s="14">
        <v>0</v>
      </c>
      <c r="D19" s="19">
        <v>1.7</v>
      </c>
      <c r="E19" s="21">
        <v>1</v>
      </c>
    </row>
    <row r="20" spans="1:5" x14ac:dyDescent="0.35">
      <c r="A20" s="15">
        <v>1.9</v>
      </c>
      <c r="B20" s="13">
        <v>0</v>
      </c>
      <c r="D20" s="19">
        <v>1.8</v>
      </c>
      <c r="E20" s="21">
        <v>1</v>
      </c>
    </row>
    <row r="21" spans="1:5" x14ac:dyDescent="0.35">
      <c r="A21" s="17">
        <v>2</v>
      </c>
      <c r="B21" s="14">
        <v>0</v>
      </c>
      <c r="D21" s="19">
        <v>1.9</v>
      </c>
      <c r="E21" s="21">
        <v>1</v>
      </c>
    </row>
    <row r="22" spans="1:5" x14ac:dyDescent="0.35">
      <c r="A22" s="15"/>
      <c r="B22" s="13"/>
      <c r="D22" s="19">
        <v>2</v>
      </c>
      <c r="E22" s="21">
        <v>1</v>
      </c>
    </row>
    <row r="23" spans="1:5" x14ac:dyDescent="0.35">
      <c r="A23" s="17"/>
      <c r="B23" s="14"/>
      <c r="D23" s="19" t="s">
        <v>30</v>
      </c>
      <c r="E23" s="21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2026-02-02T16:47:07Z</dcterms:modified>
</cp:coreProperties>
</file>