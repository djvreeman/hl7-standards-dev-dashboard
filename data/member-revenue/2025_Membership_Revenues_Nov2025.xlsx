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1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F:\HL7_local\AMG_HL7 Admin\BOD_ELT\Reports\"/>
    </mc:Choice>
  </mc:AlternateContent>
  <xr:revisionPtr revIDLastSave="0" documentId="13_ncr:1_{31D4FC6C-4E89-460A-8879-A506EC29C118}" xr6:coauthVersionLast="47" xr6:coauthVersionMax="47" xr10:uidLastSave="{00000000-0000-0000-0000-000000000000}"/>
  <bookViews>
    <workbookView xWindow="35060" yWindow="-14970" windowWidth="33040" windowHeight="13500" tabRatio="827" xr2:uid="{2577D811-753B-4FA0-84AD-1CD14E9EE5AA}"/>
  </bookViews>
  <sheets>
    <sheet name="Dashboard" sheetId="9" r:id="rId1"/>
    <sheet name="Revenue Breakdown" sheetId="8" r:id="rId2"/>
    <sheet name="Org Revenues" sheetId="4" r:id="rId3"/>
    <sheet name="Orgs" sheetId="3" r:id="rId4"/>
    <sheet name="Ind Revenues" sheetId="6" r:id="rId5"/>
    <sheet name="Individual" sheetId="5" r:id="rId6"/>
    <sheet name="Affiliate" sheetId="1" r:id="rId7"/>
    <sheet name="Yrs of Membership" sheetId="7" r:id="rId8"/>
    <sheet name="Accounts with Mem and Receipts" sheetId="2" r:id="rId9"/>
    <sheet name="draft_mem_goal_work" sheetId="10" r:id="rId10"/>
  </sheets>
  <definedNames>
    <definedName name="_xlcn.WorksheetConnection_Book3Accounts_with_Mem_and_Receipts1" hidden="1">Accounts_with_Mem_and_Receipts[]</definedName>
    <definedName name="_xlcn.WorksheetConnection_Book3Processed1" hidden="1">Orgs[]</definedName>
    <definedName name="ExternalData_1" localSheetId="8" hidden="1">'Accounts with Mem and Receipts'!$A$1:$J$435</definedName>
    <definedName name="ExternalData_2" localSheetId="5" hidden="1">Individual!$A$1:$J$119</definedName>
    <definedName name="ExternalData_2" localSheetId="3" hidden="1">Orgs!$A$1:$J$273</definedName>
    <definedName name="ExternalData_2" localSheetId="7" hidden="1">'Yrs of Membership'!$A$1:$K$417</definedName>
  </definedNames>
  <calcPr calcId="191029"/>
  <pivotCaches>
    <pivotCache cacheId="0" r:id="rId11"/>
    <pivotCache cacheId="1" r:id="rId12"/>
    <pivotCache cacheId="25" r:id="rId13"/>
    <pivotCache cacheId="35" r:id="rId14"/>
    <pivotCache cacheId="38" r:id="rId15"/>
    <pivotCache cacheId="41" r:id="rId16"/>
    <pivotCache cacheId="45" r:id="rId17"/>
    <pivotCache cacheId="48" r:id="rId18"/>
    <pivotCache cacheId="52" r:id="rId1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cessed" name="Processed" connection="WorksheetConnection_Book3!Processed"/>
          <x15:modelTable id="Accounts_with_Mem_and_Receipts" name="Accounts_with_Mem_and_Receipts" connection="WorksheetConnection_Book3!Accounts_with_Mem_and_Receipt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8" l="1"/>
  <c r="I3" i="1"/>
  <c r="C17" i="6"/>
  <c r="C42" i="8" l="1"/>
  <c r="C12" i="8"/>
  <c r="B13" i="8"/>
  <c r="L7" i="8"/>
  <c r="C10" i="8"/>
  <c r="M4" i="4"/>
  <c r="M5" i="4"/>
  <c r="M6" i="4"/>
  <c r="G6" i="8"/>
  <c r="G5" i="8"/>
  <c r="C16" i="6"/>
  <c r="C27" i="6"/>
  <c r="H3" i="1"/>
  <c r="G3" i="1"/>
  <c r="G4" i="8"/>
  <c r="G7" i="8" l="1"/>
  <c r="C40" i="8" s="1"/>
  <c r="E12" i="8" l="1"/>
  <c r="B44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97AD32-2AE1-4E86-A3FA-94689DB7CBB2}" keepAlive="1" name="Query - Accounts with Mem and Receipts" description="Connection to the 'Accounts with Mem and Receipts' query in the workbook." type="5" refreshedVersion="8" background="1" saveData="1">
    <dbPr connection="Provider=Microsoft.Mashup.OleDb.1;Data Source=$Workbook$;Location=&quot;Accounts with Mem and Receipts&quot;;Extended Properties=&quot;&quot;" command="SELECT * FROM [Accounts with Mem and Receipts]"/>
  </connection>
  <connection id="2" xr16:uid="{4C52203D-CAD3-4297-AF4D-643B6A893EA9}" keepAlive="1" name="Query - Individual" description="Connection to the 'Individual' query in the workbook." type="5" refreshedVersion="8" background="1" saveData="1">
    <dbPr connection="Provider=Microsoft.Mashup.OleDb.1;Data Source=$Workbook$;Location=Individual;Extended Properties=&quot;&quot;" command="SELECT * FROM [Individual]"/>
  </connection>
  <connection id="3" xr16:uid="{D5657D22-4D71-43F9-9766-80FF84A91FDC}" keepAlive="1" name="Query - Orgs" description="Connection to the 'Orgs' query in the workbook." type="5" refreshedVersion="8" background="1" saveData="1">
    <dbPr connection="Provider=Microsoft.Mashup.OleDb.1;Data Source=$Workbook$;Location=Orgs;Extended Properties=&quot;&quot;" command="SELECT * FROM [Orgs]"/>
  </connection>
  <connection id="4" xr16:uid="{F4A0CC5D-BBBE-4485-9B9D-7876596F651C}" keepAlive="1" name="Query - Yrs of Membership" description="Connection to the 'Yrs of Membership' query in the workbook." type="5" refreshedVersion="8" background="1" saveData="1">
    <dbPr connection="Provider=Microsoft.Mashup.OleDb.1;Data Source=$Workbook$;Location=&quot;Yrs of Membership&quot;;Extended Properties=&quot;&quot;" command="SELECT * FROM [Yrs of Membership]"/>
  </connection>
  <connection id="5" xr16:uid="{0575F60C-7A6E-453E-9783-DEE28CE6995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D7EF7F71-5D8D-40EE-95AA-152C27CAEC4A}" name="WorksheetConnection_Book3!Accounts_with_Mem_and_Receipts" type="102" refreshedVersion="8" minRefreshableVersion="5">
    <extLst>
      <ext xmlns:x15="http://schemas.microsoft.com/office/spreadsheetml/2010/11/main" uri="{DE250136-89BD-433C-8126-D09CA5730AF9}">
        <x15:connection id="Accounts_with_Mem_and_Receipts" autoDelete="1">
          <x15:rangePr sourceName="_xlcn.WorksheetConnection_Book3Accounts_with_Mem_and_Receipts1"/>
        </x15:connection>
      </ext>
    </extLst>
  </connection>
  <connection id="7" xr16:uid="{62A3069C-71CB-4E3A-B510-B612F1DB83A1}" name="WorksheetConnection_Book3!Processed" type="102" refreshedVersion="8" minRefreshableVersion="5">
    <extLst>
      <ext xmlns:x15="http://schemas.microsoft.com/office/spreadsheetml/2010/11/main" uri="{DE250136-89BD-433C-8126-D09CA5730AF9}">
        <x15:connection id="Processed" autoDelete="1">
          <x15:rangePr sourceName="_xlcn.WorksheetConnection_Book3Processed1"/>
        </x15:connection>
      </ext>
    </extLst>
  </connection>
</connections>
</file>

<file path=xl/sharedStrings.xml><?xml version="1.0" encoding="utf-8"?>
<sst xmlns="http://schemas.openxmlformats.org/spreadsheetml/2006/main" count="5546" uniqueCount="528">
  <si>
    <t>Consultant</t>
  </si>
  <si>
    <t>Provider</t>
  </si>
  <si>
    <t>Account Name</t>
  </si>
  <si>
    <t>Total</t>
  </si>
  <si>
    <t>Posted Date</t>
  </si>
  <si>
    <t>Receipt Number</t>
  </si>
  <si>
    <t>Receipt Line ID</t>
  </si>
  <si>
    <t>Member Since</t>
  </si>
  <si>
    <t>Account Category</t>
  </si>
  <si>
    <t>Billing Country</t>
  </si>
  <si>
    <t>Item Name</t>
  </si>
  <si>
    <t>Paid_Month</t>
  </si>
  <si>
    <t>Government/Professional Associations/Academic Institution</t>
  </si>
  <si>
    <t>United States</t>
  </si>
  <si>
    <t>Gold Membership</t>
  </si>
  <si>
    <t>National Association of Dental Plans</t>
  </si>
  <si>
    <t>Susan Matney Household</t>
  </si>
  <si>
    <t/>
  </si>
  <si>
    <t>Individual Membership</t>
  </si>
  <si>
    <t>Supplier/Vendor</t>
  </si>
  <si>
    <t>Organizational Membership</t>
  </si>
  <si>
    <t>Professional Laboratory Management, Inc.</t>
  </si>
  <si>
    <t>Australia</t>
  </si>
  <si>
    <t>Benefactor Membership</t>
  </si>
  <si>
    <t>KlearTrust</t>
  </si>
  <si>
    <t>InductiveHealth Informatics</t>
  </si>
  <si>
    <t>Telligen</t>
  </si>
  <si>
    <t>Canada</t>
  </si>
  <si>
    <t>HL7 Chile</t>
  </si>
  <si>
    <t>SLI Compliance</t>
  </si>
  <si>
    <t>Retiree Membership</t>
  </si>
  <si>
    <t>Kaiser Permanente</t>
  </si>
  <si>
    <t>Quest Diagnostics, Incorporated</t>
  </si>
  <si>
    <t>Univ of TX Health Science Center San Antonio</t>
  </si>
  <si>
    <t>Safe Software Inc.</t>
  </si>
  <si>
    <t>Davera Gabriel Household</t>
  </si>
  <si>
    <t>Firely USA</t>
  </si>
  <si>
    <t>Tennessee Department of Health</t>
  </si>
  <si>
    <t>The SIMI Group, Inc.</t>
  </si>
  <si>
    <t>Flatiron Health</t>
  </si>
  <si>
    <t>HL7 Hong Kong</t>
  </si>
  <si>
    <t>By Light Professional IT Services LLC</t>
  </si>
  <si>
    <t>Indian Health Service</t>
  </si>
  <si>
    <t>HL7 Taiwan</t>
  </si>
  <si>
    <t>HL7 Germany</t>
  </si>
  <si>
    <t>HL7 Croatia</t>
  </si>
  <si>
    <t>HL7 Korea</t>
  </si>
  <si>
    <t>Beata Piehl Household</t>
  </si>
  <si>
    <t>HL7 UK</t>
  </si>
  <si>
    <t>Clinicomp, Intl</t>
  </si>
  <si>
    <t>HL7 China</t>
  </si>
  <si>
    <t>Switzerland</t>
  </si>
  <si>
    <t>HL7 Sweden</t>
  </si>
  <si>
    <t>HL7 Switzerland</t>
  </si>
  <si>
    <t>CU Anschutz Medical Campus</t>
  </si>
  <si>
    <t>HL7 Denmark</t>
  </si>
  <si>
    <t>HL7 Mexico</t>
  </si>
  <si>
    <t>University of Minnesota</t>
  </si>
  <si>
    <t>Finland</t>
  </si>
  <si>
    <t>HL7 Belgium</t>
  </si>
  <si>
    <t>HL7 Slovenia</t>
  </si>
  <si>
    <t>Caristix</t>
  </si>
  <si>
    <t>Jennifer Marshall Household</t>
  </si>
  <si>
    <t>Row Labels</t>
  </si>
  <si>
    <t>Grand Total</t>
  </si>
  <si>
    <t>Sum of Total</t>
  </si>
  <si>
    <t>Years Member</t>
  </si>
  <si>
    <t>1 Year</t>
  </si>
  <si>
    <t>Over 15 Years</t>
  </si>
  <si>
    <t>6 to 10 Years</t>
  </si>
  <si>
    <t>11 to 15 Years</t>
  </si>
  <si>
    <t>2 to 5 Years</t>
  </si>
  <si>
    <t>Count of Years Member</t>
  </si>
  <si>
    <t>BY MONTH</t>
  </si>
  <si>
    <t>Membership Class</t>
  </si>
  <si>
    <t>Affiliate Memberships</t>
  </si>
  <si>
    <t>Individual Memberships</t>
  </si>
  <si>
    <t>Organizational Memberships</t>
  </si>
  <si>
    <t>By Interest Type</t>
  </si>
  <si>
    <t>Data</t>
  </si>
  <si>
    <t>Pivot Table</t>
  </si>
  <si>
    <t>Labels</t>
  </si>
  <si>
    <t>Values</t>
  </si>
  <si>
    <t>Value</t>
  </si>
  <si>
    <t>Pointer</t>
  </si>
  <si>
    <t>Thickness</t>
  </si>
  <si>
    <t>Rest</t>
  </si>
  <si>
    <t xml:space="preserve">Goal: </t>
  </si>
  <si>
    <t>Count of Item Name</t>
  </si>
  <si>
    <t>Bellese Technologies</t>
  </si>
  <si>
    <t>Brian Pech Household</t>
  </si>
  <si>
    <t>Children's Hospital of Philadelphia</t>
  </si>
  <si>
    <t>Coditas Solutions LLP</t>
  </si>
  <si>
    <t>Connecticut Department of Public Health</t>
  </si>
  <si>
    <t>CyncHealth</t>
  </si>
  <si>
    <t>Danielle Leighton Household</t>
  </si>
  <si>
    <t>Dmitry Maslennikov Household</t>
  </si>
  <si>
    <t>Montenegro</t>
  </si>
  <si>
    <t>Eden Muinamo Household</t>
  </si>
  <si>
    <t>Eva Keeling Household</t>
  </si>
  <si>
    <t>Goldbelt</t>
  </si>
  <si>
    <t>GoodRx</t>
  </si>
  <si>
    <t>HIMSS</t>
  </si>
  <si>
    <t>Healthmap Solutions</t>
  </si>
  <si>
    <t>Irina Angel Household</t>
  </si>
  <si>
    <t>Ivan Posthumus Household</t>
  </si>
  <si>
    <t>James Rollins Household</t>
  </si>
  <si>
    <t>Laura Ozak Household</t>
  </si>
  <si>
    <t>Mayo Clinic</t>
  </si>
  <si>
    <t>McKesson Corporation</t>
  </si>
  <si>
    <t>New Fields Technologies LLC</t>
  </si>
  <si>
    <t>Purplelab</t>
  </si>
  <si>
    <t>Roche Diagnostics International Ltd.</t>
  </si>
  <si>
    <t>Sam Schifman Household</t>
  </si>
  <si>
    <t>Tetra Fields LLC</t>
  </si>
  <si>
    <t>pct</t>
  </si>
  <si>
    <t>total</t>
  </si>
  <si>
    <t>Count of pct</t>
  </si>
  <si>
    <t>Column1</t>
  </si>
  <si>
    <t>2025 Dues Total</t>
  </si>
  <si>
    <t>Sum of 2025 Dues Total</t>
  </si>
  <si>
    <t>Accenture</t>
  </si>
  <si>
    <t>Acre Security</t>
  </si>
  <si>
    <t>Black Duck Software Oy</t>
  </si>
  <si>
    <t>CAL2CAL Corporation</t>
  </si>
  <si>
    <t>Computable Publishing LLC</t>
  </si>
  <si>
    <t>Daniel Ries Household</t>
  </si>
  <si>
    <t>Dataware Sdn Bhd</t>
  </si>
  <si>
    <t>Malaysia</t>
  </si>
  <si>
    <t>David Pyke Household</t>
  </si>
  <si>
    <t>GigaTECH LLC</t>
  </si>
  <si>
    <t>HL7 Czech Republic</t>
  </si>
  <si>
    <t>Czech Republic</t>
  </si>
  <si>
    <t>Affiliate Membership</t>
  </si>
  <si>
    <t>Slovenia</t>
  </si>
  <si>
    <t>Sweden</t>
  </si>
  <si>
    <t>United Kingdom</t>
  </si>
  <si>
    <t>Holistic Healthcare Solutions, LLC.</t>
  </si>
  <si>
    <t>Intelligent Medical Objects (IMO)</t>
  </si>
  <si>
    <t>Johan Gangsås Hole Household</t>
  </si>
  <si>
    <t>Jonathan Whitby Household</t>
  </si>
  <si>
    <t>Kiser Healthcare Solutions, LLC</t>
  </si>
  <si>
    <t>MEDENT</t>
  </si>
  <si>
    <t>MEDITECH, Inc</t>
  </si>
  <si>
    <t>MedicaSoft</t>
  </si>
  <si>
    <t>Medicomp Systems, Inc.</t>
  </si>
  <si>
    <t>Melva Peters Household</t>
  </si>
  <si>
    <t>Michigan Department of Health and Human Services</t>
  </si>
  <si>
    <t>NCQA</t>
  </si>
  <si>
    <t>NICTIZ</t>
  </si>
  <si>
    <t>Netherlands</t>
  </si>
  <si>
    <t>Nava</t>
  </si>
  <si>
    <t>Northwestern Medicine</t>
  </si>
  <si>
    <t>Office of the National Coordinator for Health IT</t>
  </si>
  <si>
    <t>Registry Clearinghouse</t>
  </si>
  <si>
    <t>University of Illinois at Chicago Medical Center</t>
  </si>
  <si>
    <t>WNY HEALTHeLINK</t>
  </si>
  <si>
    <t>WSO2</t>
  </si>
  <si>
    <t>Zus Health</t>
  </si>
  <si>
    <t>ARUP Laboratories, Inc.</t>
  </si>
  <si>
    <t>Agence du Numérique en Santé (ANS)</t>
  </si>
  <si>
    <t>France</t>
  </si>
  <si>
    <t>American Dental Association</t>
  </si>
  <si>
    <t>American Medical Association</t>
  </si>
  <si>
    <t>Aneesh Chopra Household</t>
  </si>
  <si>
    <t>Apelon, Inc.</t>
  </si>
  <si>
    <t>Benedictine Health System</t>
  </si>
  <si>
    <t>Blessing Hospital</t>
  </si>
  <si>
    <t>Deloitte Consulting LLP</t>
  </si>
  <si>
    <t>Gary Blatt Household</t>
  </si>
  <si>
    <t>Belgium</t>
  </si>
  <si>
    <t>HL7 Canada</t>
  </si>
  <si>
    <t>Chile</t>
  </si>
  <si>
    <t>China</t>
  </si>
  <si>
    <t>Croatia</t>
  </si>
  <si>
    <t>Denmark</t>
  </si>
  <si>
    <t>Germany</t>
  </si>
  <si>
    <t>Korea, Republic of</t>
  </si>
  <si>
    <t>Mexico</t>
  </si>
  <si>
    <t>Taiwan</t>
  </si>
  <si>
    <t>Harkarandeep Singh Bhandal Household</t>
  </si>
  <si>
    <t>Student Membership</t>
  </si>
  <si>
    <t>HealthLX</t>
  </si>
  <si>
    <t>Infor(US), LLC</t>
  </si>
  <si>
    <t>Isak Computing</t>
  </si>
  <si>
    <t>Jalil Akhtar Household</t>
  </si>
  <si>
    <t>John DAmore Household</t>
  </si>
  <si>
    <t>Jonathan Zimmerling Household</t>
  </si>
  <si>
    <t>Ken McCaslin Household</t>
  </si>
  <si>
    <t>Lauren Drobach Household</t>
  </si>
  <si>
    <t>Lisa Nelson Household</t>
  </si>
  <si>
    <t>Manijeh Berenji Household</t>
  </si>
  <si>
    <t>Medical Networks, LLC</t>
  </si>
  <si>
    <t>Nicole Miller Household</t>
  </si>
  <si>
    <t>Optimum eHealth</t>
  </si>
  <si>
    <t>Premier Healthcare Alliance</t>
  </si>
  <si>
    <t>Ready Computing LLC</t>
  </si>
  <si>
    <t>Reed Gelzer Household</t>
  </si>
  <si>
    <t>Reed Technology and Information Services Inc.</t>
  </si>
  <si>
    <t>Remo Health</t>
  </si>
  <si>
    <t>Ryan Howells Household</t>
  </si>
  <si>
    <t>Safe Health Systems, Inc.</t>
  </si>
  <si>
    <t>Shay Downey-Forsythe Household</t>
  </si>
  <si>
    <t>Stedi</t>
  </si>
  <si>
    <t>Steven Krchniak Household</t>
  </si>
  <si>
    <t>Surescripts</t>
  </si>
  <si>
    <t>Texas Department of State Health Services</t>
  </si>
  <si>
    <t>USAging</t>
  </si>
  <si>
    <t>USC/CHLA</t>
  </si>
  <si>
    <t>University of Nebraska Medical Center</t>
  </si>
  <si>
    <t>Veeva Systems</t>
  </si>
  <si>
    <t>Westat</t>
  </si>
  <si>
    <t>XIFIN, Inc.</t>
  </si>
  <si>
    <t>Yardi Systems, Inc.</t>
  </si>
  <si>
    <t>eClinicalWorks</t>
  </si>
  <si>
    <t>Feb</t>
  </si>
  <si>
    <t>Mar</t>
  </si>
  <si>
    <t>Column Labels</t>
  </si>
  <si>
    <t>Agence eSante Luxembourg</t>
  </si>
  <si>
    <t>Luxembourg</t>
  </si>
  <si>
    <t>American College of Physicians</t>
  </si>
  <si>
    <t>American College of Radiology</t>
  </si>
  <si>
    <t>American Heart Association</t>
  </si>
  <si>
    <t>Best Option Healthcare PR</t>
  </si>
  <si>
    <t>Blue Cross Blue Shield Association</t>
  </si>
  <si>
    <t>CYSNET LLC</t>
  </si>
  <si>
    <t>Cambia Health Solutions</t>
  </si>
  <si>
    <t>Payer</t>
  </si>
  <si>
    <t>Carradora Health, Inc.</t>
  </si>
  <si>
    <t>Cedar Cares, Inc.</t>
  </si>
  <si>
    <t>Cloud Software Group</t>
  </si>
  <si>
    <t>Elimu Informatics Inc.</t>
  </si>
  <si>
    <t>Fabian Merges Household</t>
  </si>
  <si>
    <t>Gail Winters Household</t>
  </si>
  <si>
    <t>Greenway Health</t>
  </si>
  <si>
    <t>HF Management Services</t>
  </si>
  <si>
    <t>HL7 Argentina</t>
  </si>
  <si>
    <t>Argentina</t>
  </si>
  <si>
    <t>HL7 Austria</t>
  </si>
  <si>
    <t>Austria</t>
  </si>
  <si>
    <t>HL7 Colombia</t>
  </si>
  <si>
    <t>Colombia</t>
  </si>
  <si>
    <t>HL7 Finland</t>
  </si>
  <si>
    <t>HL7 France</t>
  </si>
  <si>
    <t>HL7 Greece</t>
  </si>
  <si>
    <t>Greece</t>
  </si>
  <si>
    <t>HL7 Italy</t>
  </si>
  <si>
    <t>Italy</t>
  </si>
  <si>
    <t>HL7 Netherlands</t>
  </si>
  <si>
    <t>HL7 Norway</t>
  </si>
  <si>
    <t>Norway</t>
  </si>
  <si>
    <t>HL7 Philippines</t>
  </si>
  <si>
    <t>Philippines</t>
  </si>
  <si>
    <t>HL7 Russia</t>
  </si>
  <si>
    <t>Russian Federation</t>
  </si>
  <si>
    <t>HL7 Slovakia</t>
  </si>
  <si>
    <t>Slovakia</t>
  </si>
  <si>
    <t>HL7 UAE</t>
  </si>
  <si>
    <t>United Arab Emirates</t>
  </si>
  <si>
    <t>HL7 Ukraine</t>
  </si>
  <si>
    <t>Ukraine</t>
  </si>
  <si>
    <t>Health and Welfare Information Systems Centre</t>
  </si>
  <si>
    <t>Estonia</t>
  </si>
  <si>
    <t>HealthTrio, LLC</t>
  </si>
  <si>
    <t>Healthcare Logistics Ltd</t>
  </si>
  <si>
    <t>Malta</t>
  </si>
  <si>
    <t>Humana Inc.</t>
  </si>
  <si>
    <t>IPRO</t>
  </si>
  <si>
    <t>InterSystems</t>
  </si>
  <si>
    <t>Intrepid Ascent</t>
  </si>
  <si>
    <t>Jennifer Herrmann Household</t>
  </si>
  <si>
    <t>John Hatem Household</t>
  </si>
  <si>
    <t>John Hinch Household</t>
  </si>
  <si>
    <t>Johns Hopkins Hospital</t>
  </si>
  <si>
    <t>Leidos, Inc.</t>
  </si>
  <si>
    <t>Lenel James Household</t>
  </si>
  <si>
    <t>Li Hui-Lee Household</t>
  </si>
  <si>
    <t>MASAHARU NAKAYAMA Household</t>
  </si>
  <si>
    <t>Mamata Thakkar Household</t>
  </si>
  <si>
    <t>Mass General Brigham</t>
  </si>
  <si>
    <t>Massachusetts Health Data Consortium</t>
  </si>
  <si>
    <t>Mathematica Policy Research</t>
  </si>
  <si>
    <t>MedCom</t>
  </si>
  <si>
    <t>Mediclinic Southern Africa</t>
  </si>
  <si>
    <t>South Africa</t>
  </si>
  <si>
    <t>Michele Trofatter Household</t>
  </si>
  <si>
    <t>Mladen Uzelac Household</t>
  </si>
  <si>
    <t>NYCHHC - EITS</t>
  </si>
  <si>
    <t>National Library of Medicine</t>
  </si>
  <si>
    <t>OR.NET</t>
  </si>
  <si>
    <t>Patient Centric Solutions</t>
  </si>
  <si>
    <t>Patient Resource LLC</t>
  </si>
  <si>
    <t>Peter Muir Household</t>
  </si>
  <si>
    <t>Regenstrief Institute, Inc.</t>
  </si>
  <si>
    <t>Rhapsody</t>
  </si>
  <si>
    <t>ServiceNow</t>
  </si>
  <si>
    <t>SoftDev Incorporated</t>
  </si>
  <si>
    <t>Stanford Children's Health</t>
  </si>
  <si>
    <t>Stratevora</t>
  </si>
  <si>
    <t>The CBORD Group, Inc</t>
  </si>
  <si>
    <t>Therap Services LLC</t>
  </si>
  <si>
    <t>UNC School of Medicine</t>
  </si>
  <si>
    <t>University of Utah Health Care</t>
  </si>
  <si>
    <t>Veradigm</t>
  </si>
  <si>
    <t>Verily</t>
  </si>
  <si>
    <t>Vermonster</t>
  </si>
  <si>
    <t>Virginia Lorenzi Household</t>
  </si>
  <si>
    <t>WAYSTAR</t>
  </si>
  <si>
    <t>WI Department of Health Services</t>
  </si>
  <si>
    <t>WPS Health Solutions</t>
  </si>
  <si>
    <t>WaveOne Associates Inc.</t>
  </si>
  <si>
    <t>Yanick Gaudet Household</t>
  </si>
  <si>
    <t>ezEMRx</t>
  </si>
  <si>
    <t>tuuthfairy, Inc.</t>
  </si>
  <si>
    <t>Apr</t>
  </si>
  <si>
    <t>May</t>
  </si>
  <si>
    <t>Applied Research Works</t>
  </si>
  <si>
    <t>Brian Handspicker Household</t>
  </si>
  <si>
    <t>CA Department of Public Health</t>
  </si>
  <si>
    <t>Children's Mercy Hospitals and Clinics</t>
  </si>
  <si>
    <t>Clinical Architecture LLC</t>
  </si>
  <si>
    <t>Contexture</t>
  </si>
  <si>
    <t>Doug DeShazo Household</t>
  </si>
  <si>
    <t>EMR Direct</t>
  </si>
  <si>
    <t>Evernorth</t>
  </si>
  <si>
    <t>HL7 Brazil</t>
  </si>
  <si>
    <t>Brazil</t>
  </si>
  <si>
    <t>HL7 Japan</t>
  </si>
  <si>
    <t>Japan</t>
  </si>
  <si>
    <t>HL7 New Zealand</t>
  </si>
  <si>
    <t>New Zealand</t>
  </si>
  <si>
    <t>HL7 Poland</t>
  </si>
  <si>
    <t>Poland</t>
  </si>
  <si>
    <t>HL7 Portugal</t>
  </si>
  <si>
    <t>Portugal</t>
  </si>
  <si>
    <t>Hausam Consulting LLC</t>
  </si>
  <si>
    <t>ICH</t>
  </si>
  <si>
    <t>ICHOM</t>
  </si>
  <si>
    <t>Isaac Eigner Household</t>
  </si>
  <si>
    <t>J Michael Consulting, LLC</t>
  </si>
  <si>
    <t>Laurie Raske Household</t>
  </si>
  <si>
    <t>Lindy Buhl Household</t>
  </si>
  <si>
    <t>Medtronic</t>
  </si>
  <si>
    <t>Merck &amp; Co. Inc.</t>
  </si>
  <si>
    <t>Pharmaceutical</t>
  </si>
  <si>
    <t>Michael Watkins Household</t>
  </si>
  <si>
    <t>National Institute of Standards and Technology</t>
  </si>
  <si>
    <t>New York-Presbyterian Hospital</t>
  </si>
  <si>
    <t>Next Level Health Innovations</t>
  </si>
  <si>
    <t>Pfizer</t>
  </si>
  <si>
    <t>Pharmaceuticals &amp; Medical Devices Agency</t>
  </si>
  <si>
    <t>Philips Healthcare</t>
  </si>
  <si>
    <t>Rachel Richesson Household</t>
  </si>
  <si>
    <t>Runyu Wu Household</t>
  </si>
  <si>
    <t>SMART Health IT</t>
  </si>
  <si>
    <t>U.S. Department of Veterans Affairs</t>
  </si>
  <si>
    <t>UC Davis Health</t>
  </si>
  <si>
    <t>athenahealth</t>
  </si>
  <si>
    <t>Jun</t>
  </si>
  <si>
    <t>1upHealth</t>
  </si>
  <si>
    <t>Alex Dzeda Household</t>
  </si>
  <si>
    <t>Altarum</t>
  </si>
  <si>
    <t>Andrea Fourquet Household</t>
  </si>
  <si>
    <t>Andrew Zurn Household</t>
  </si>
  <si>
    <t>Bill G Lakenan Household</t>
  </si>
  <si>
    <t>CRISP Shared Services</t>
  </si>
  <si>
    <t>Cedars-Sinai Medical Center</t>
  </si>
  <si>
    <t>Centers for Medicare &amp; Medicaid Services</t>
  </si>
  <si>
    <t>Centrum e-Zdrowia (e-Health Centre)</t>
  </si>
  <si>
    <t>Computrition, Inc.</t>
  </si>
  <si>
    <t>EnableCare LLC</t>
  </si>
  <si>
    <t>Envi</t>
  </si>
  <si>
    <t>GE Healthcare</t>
  </si>
  <si>
    <t>Google</t>
  </si>
  <si>
    <t>HL7 Australia</t>
  </si>
  <si>
    <t>HL7 India</t>
  </si>
  <si>
    <t>India</t>
  </si>
  <si>
    <t>HL7 Romania</t>
  </si>
  <si>
    <t>Romania</t>
  </si>
  <si>
    <t>HL7 Saudi Arabia</t>
  </si>
  <si>
    <t>Saudi Arabia</t>
  </si>
  <si>
    <t>HL7 Spain</t>
  </si>
  <si>
    <t>Spain</t>
  </si>
  <si>
    <t>J. Marc Overhage Household</t>
  </si>
  <si>
    <t>Jeff Rochon Household</t>
  </si>
  <si>
    <t>Kevin O'Donnell Household</t>
  </si>
  <si>
    <t>KeyOn Inc.</t>
  </si>
  <si>
    <t>Laboratory Corporation of America</t>
  </si>
  <si>
    <t>Lantana Consulting Group</t>
  </si>
  <si>
    <t>Minnesota Department of Health</t>
  </si>
  <si>
    <t>Mosaic Life Tech, LLC</t>
  </si>
  <si>
    <t>NAACCR</t>
  </si>
  <si>
    <t>National Marrow Donor Program</t>
  </si>
  <si>
    <t>New York State Department of Health</t>
  </si>
  <si>
    <t>NextGen Healthcare Information Systems, Inc.</t>
  </si>
  <si>
    <t>Oklahoma State Department of Health</t>
  </si>
  <si>
    <t>Oracle</t>
  </si>
  <si>
    <t>Rachel Foerster Household</t>
  </si>
  <si>
    <t>RevDoc, LLC</t>
  </si>
  <si>
    <t>Seqster</t>
  </si>
  <si>
    <t>StationMD, PC</t>
  </si>
  <si>
    <t>Stefania Paperini Household</t>
  </si>
  <si>
    <t>The Sequoia Project</t>
  </si>
  <si>
    <t>University of Missouri</t>
  </si>
  <si>
    <t>Wolters Kluwer Health</t>
  </si>
  <si>
    <t>Jul</t>
  </si>
  <si>
    <t>AM Operating LLC</t>
  </si>
  <si>
    <t>Abigail Watson Household</t>
  </si>
  <si>
    <t>Alabama Department of Public Health</t>
  </si>
  <si>
    <t>Alliance Health</t>
  </si>
  <si>
    <t>American Hospital Association</t>
  </si>
  <si>
    <t>Anna Taylor Household</t>
  </si>
  <si>
    <t>Azuba Corporation</t>
  </si>
  <si>
    <t>Blue Cross Blue Shield of South Carolina</t>
  </si>
  <si>
    <t>Boston Medical Center</t>
  </si>
  <si>
    <t>Brad Genereaux Household</t>
  </si>
  <si>
    <t>CVS Health</t>
  </si>
  <si>
    <t>Catherine Chronaki Household</t>
  </si>
  <si>
    <t>Chad Albert Household</t>
  </si>
  <si>
    <t>Chris Millet Household</t>
  </si>
  <si>
    <t>Cognizant</t>
  </si>
  <si>
    <t>Dynamic Health IT, Inc.</t>
  </si>
  <si>
    <t>EMI Advisors LLC</t>
  </si>
  <si>
    <t>Ed Donaldson Household</t>
  </si>
  <si>
    <t>European Medicines Agency</t>
  </si>
  <si>
    <t>Floyd Eisenberg Household</t>
  </si>
  <si>
    <t>GTRI at GT</t>
  </si>
  <si>
    <t>Jingyuan Xu Household</t>
  </si>
  <si>
    <t>Karen Ashton Household</t>
  </si>
  <si>
    <t>Korea Health Information Service</t>
  </si>
  <si>
    <t>Maria Michaels Household</t>
  </si>
  <si>
    <t>Marina Ghisi Household</t>
  </si>
  <si>
    <t>Mark Roberts Household</t>
  </si>
  <si>
    <t>Michelle Currie Household</t>
  </si>
  <si>
    <t>National Cancer Institute</t>
  </si>
  <si>
    <t>NoMoreClipboard.com</t>
  </si>
  <si>
    <t>Optum</t>
  </si>
  <si>
    <t>Prasanna Muthukrishnan Lakshmipathy Household</t>
  </si>
  <si>
    <t>Rady Children's Hospital</t>
  </si>
  <si>
    <t>Scott Fradkin Household</t>
  </si>
  <si>
    <t>TerraFrame, Inc.</t>
  </si>
  <si>
    <t>VICO Open Modeling</t>
  </si>
  <si>
    <t>Washington State Department of Health</t>
  </si>
  <si>
    <t>WorldVistA</t>
  </si>
  <si>
    <t>tantustech</t>
  </si>
  <si>
    <t>Aug</t>
  </si>
  <si>
    <t>AEGIS.net, Inc.</t>
  </si>
  <si>
    <t>Adam Culbertson Household</t>
  </si>
  <si>
    <t>Apple Inc.</t>
  </si>
  <si>
    <t>Arkansas Children's Hospital</t>
  </si>
  <si>
    <t>Ben Allegretti Consulting</t>
  </si>
  <si>
    <t>Daniel Allen Household</t>
  </si>
  <si>
    <t>Digital HIE Inc</t>
  </si>
  <si>
    <t>Frost Systems</t>
  </si>
  <si>
    <t>Gaurav Pradhan Household</t>
  </si>
  <si>
    <t>Gravity Project</t>
  </si>
  <si>
    <t>INDRANEEL BODDU Household</t>
  </si>
  <si>
    <t>Lori Reed-Fourquet Household</t>
  </si>
  <si>
    <t>MGear</t>
  </si>
  <si>
    <t>Robert Jenders Household</t>
  </si>
  <si>
    <t>Ryan Hess Household</t>
  </si>
  <si>
    <t>Samvit Solutions</t>
  </si>
  <si>
    <t>Sonrisa Consulting</t>
  </si>
  <si>
    <t>Trisotech</t>
  </si>
  <si>
    <t>Alphora</t>
  </si>
  <si>
    <t>Applied PilotFish Healthcare Integration</t>
  </si>
  <si>
    <t>ArcheSys Inc.</t>
  </si>
  <si>
    <t>Blue Cross and Blue Shield of Kansas</t>
  </si>
  <si>
    <t>BlueCross BlueShield of Alabama</t>
  </si>
  <si>
    <t>CareQuest Institute for Oral Health</t>
  </si>
  <si>
    <t>Cotiviti</t>
  </si>
  <si>
    <t>DirectTrust</t>
  </si>
  <si>
    <t>Drummond Group</t>
  </si>
  <si>
    <t>Elba Peralta-Cole Household</t>
  </si>
  <si>
    <t>Florida Department of Health</t>
  </si>
  <si>
    <t>Food and Drug Administration</t>
  </si>
  <si>
    <t>Frank McKinney Group LLC</t>
  </si>
  <si>
    <t>Health Chain</t>
  </si>
  <si>
    <t>Health Gorilla</t>
  </si>
  <si>
    <t>Interbit Data, Inc.</t>
  </si>
  <si>
    <t>Iowa Department of Health and Human Services</t>
  </si>
  <si>
    <t>MD Partners, Inc.</t>
  </si>
  <si>
    <t>ModMed</t>
  </si>
  <si>
    <t>Neantix Inc</t>
  </si>
  <si>
    <t>RTI International</t>
  </si>
  <si>
    <t>Richard Miles Household</t>
  </si>
  <si>
    <t>Skyward IT Solutions</t>
  </si>
  <si>
    <t>Solventum</t>
  </si>
  <si>
    <t>Technology &amp; Transformation, HSE</t>
  </si>
  <si>
    <t>Ireland</t>
  </si>
  <si>
    <t>The Joint Commission</t>
  </si>
  <si>
    <t>Topology Health</t>
  </si>
  <si>
    <t>UK HealthCare</t>
  </si>
  <si>
    <t>UW Medicine Information Technology Services</t>
  </si>
  <si>
    <t>United Physicians</t>
  </si>
  <si>
    <t>Varian Medical Systems, Inc.</t>
  </si>
  <si>
    <t>XchangeWorx</t>
  </si>
  <si>
    <t>Oct</t>
  </si>
  <si>
    <t>Academy of Nutrition &amp; Dietetics</t>
  </si>
  <si>
    <t>Anand Raghavan Household</t>
  </si>
  <si>
    <t>CDISC</t>
  </si>
  <si>
    <t>Concentra</t>
  </si>
  <si>
    <t>Council of State and Territorial Epidemiologists</t>
  </si>
  <si>
    <t>Deer Creek Pharmacy Services</t>
  </si>
  <si>
    <t>Dogwood Health Consulting Inc.</t>
  </si>
  <si>
    <t>Elevance Health</t>
  </si>
  <si>
    <t>Gary Dickinson Household</t>
  </si>
  <si>
    <t>Health Care Service Corporation</t>
  </si>
  <si>
    <t>Humanized Health Consulting</t>
  </si>
  <si>
    <t>John Ritter Household</t>
  </si>
  <si>
    <t>Labware, Inc.</t>
  </si>
  <si>
    <t>Logibec</t>
  </si>
  <si>
    <t>Maryaline Catillon Household</t>
  </si>
  <si>
    <t>NIH/Department of Clinical Research Informatics</t>
  </si>
  <si>
    <t>NJDOH</t>
  </si>
  <si>
    <t>Nathan Davis Household</t>
  </si>
  <si>
    <t>Oddball, Inc.</t>
  </si>
  <si>
    <t>Oregon Public Health Division</t>
  </si>
  <si>
    <t>PointClickCare</t>
  </si>
  <si>
    <t>Prometheus Computing LLC</t>
  </si>
  <si>
    <t>Redington-Fairview Hospital</t>
  </si>
  <si>
    <t>Rosch Visionary Systems</t>
  </si>
  <si>
    <t>Stan Huff Household</t>
  </si>
  <si>
    <t>Tracy Kovalchik Household</t>
  </si>
  <si>
    <t>University of AL at Birmingham</t>
  </si>
  <si>
    <t>Vernetzt, LLC</t>
  </si>
  <si>
    <t>West Coast Informatics</t>
  </si>
  <si>
    <t>Zocdoc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</si>
</sst>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4" fontId="0" fillId="0" borderId="0" xfId="0" applyNumberFormat="1"/>
    <xf numFmtId="44" fontId="0" fillId="0" borderId="0" xfId="2" applyFont="1"/>
    <xf numFmtId="43" fontId="0" fillId="0" borderId="0" xfId="1" applyFont="1"/>
    <xf numFmtId="164" fontId="0" fillId="0" borderId="0" xfId="2" applyNumberFormat="1" applyFont="1"/>
    <xf numFmtId="9" fontId="0" fillId="0" borderId="0" xfId="0" applyNumberFormat="1"/>
    <xf numFmtId="6" fontId="0" fillId="0" borderId="0" xfId="0" applyNumberFormat="1"/>
    <xf numFmtId="8" fontId="0" fillId="0" borderId="0" xfId="0" applyNumberFormat="1"/>
    <xf numFmtId="9" fontId="0" fillId="0" borderId="0" xfId="3" applyFont="1"/>
    <xf numFmtId="0" fontId="0" fillId="2" borderId="2" xfId="0" applyFill="1" applyBorder="1"/>
    <xf numFmtId="0" fontId="0" fillId="0" borderId="2" xfId="0" applyBorder="1"/>
    <xf numFmtId="9" fontId="0" fillId="2" borderId="1" xfId="0" applyNumberFormat="1" applyFill="1" applyBorder="1"/>
    <xf numFmtId="8" fontId="0" fillId="2" borderId="2" xfId="0" applyNumberFormat="1" applyFill="1" applyBorder="1"/>
    <xf numFmtId="9" fontId="0" fillId="0" borderId="1" xfId="0" applyNumberFormat="1" applyBorder="1"/>
    <xf numFmtId="8" fontId="0" fillId="0" borderId="2" xfId="0" applyNumberFormat="1" applyBorder="1"/>
    <xf numFmtId="9" fontId="0" fillId="0" borderId="0" xfId="0" applyNumberFormat="1" applyAlignment="1">
      <alignment horizontal="left"/>
    </xf>
    <xf numFmtId="9" fontId="0" fillId="2" borderId="1" xfId="3" applyFont="1" applyFill="1" applyBorder="1"/>
    <xf numFmtId="0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45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164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colors>
    <mruColors>
      <color rgb="FF928F06"/>
      <color rgb="FF66FF99"/>
      <color rgb="FFFFCC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Membership</a:t>
            </a:r>
            <a:r>
              <a:rPr lang="en-US" baseline="0"/>
              <a:t> Goal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1"/>
          <c:tx>
            <c:strRef>
              <c:f>'Revenue Breakdown'!$B$40</c:f>
              <c:strCache>
                <c:ptCount val="1"/>
                <c:pt idx="0">
                  <c:v>Pointer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6-327F-494B-901B-183A9AF04F0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8-327F-494B-901B-183A9AF04F0B}"/>
              </c:ext>
            </c:extLst>
          </c:dPt>
          <c:cat>
            <c:strRef>
              <c:f>('Revenue Breakdown'!$B$40,'Revenue Breakdown'!$B$42)</c:f>
              <c:strCache>
                <c:ptCount val="2"/>
                <c:pt idx="0">
                  <c:v>Pointer</c:v>
                </c:pt>
                <c:pt idx="1">
                  <c:v>Rest</c:v>
                </c:pt>
              </c:strCache>
            </c:strRef>
          </c:cat>
          <c:val>
            <c:numRef>
              <c:f>('Revenue Breakdown'!$C$40,'Revenue Breakdown'!$C$42)</c:f>
              <c:numCache>
                <c:formatCode>"$"#,##0_);[Red]\("$"#,##0\)</c:formatCode>
                <c:ptCount val="2"/>
                <c:pt idx="0" formatCode="_(&quot;$&quot;* #,##0_);_(&quot;$&quot;* \(#,##0\);_(&quot;$&quot;* &quot;-&quot;??_);_(@_)">
                  <c:v>1315431.27</c:v>
                </c:pt>
                <c:pt idx="1">
                  <c:v>-3304557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39-327F-494B-901B-183A9AF04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doughnutChart>
        <c:varyColors val="1"/>
        <c:ser>
          <c:idx val="0"/>
          <c:order val="0"/>
          <c:tx>
            <c:strRef>
              <c:f>'Revenue Breakdown'!$B$15</c:f>
              <c:strCache>
                <c:ptCount val="1"/>
                <c:pt idx="0">
                  <c:v>Labels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C-327F-494B-901B-183A9AF04F0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E-327F-494B-901B-183A9AF04F0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0-327F-494B-901B-183A9AF04F0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2-327F-494B-901B-183A9AF04F0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4-327F-494B-901B-183A9AF04F0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6-327F-494B-901B-183A9AF04F0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8-327F-494B-901B-183A9AF04F0B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A-327F-494B-901B-183A9AF04F0B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C-327F-494B-901B-183A9AF04F0B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E-327F-494B-901B-183A9AF04F0B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0-327F-494B-901B-183A9AF04F0B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8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2-327F-494B-901B-183A9AF04F0B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4-327F-494B-901B-183A9AF04F0B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6-327F-494B-901B-183A9AF04F0B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8-327F-494B-901B-183A9AF04F0B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A-327F-494B-901B-183A9AF04F0B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C-327F-494B-901B-183A9AF04F0B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E-327F-494B-901B-183A9AF04F0B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70000"/>
                      <a:lumOff val="3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70000"/>
                    <a:lumOff val="3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0-327F-494B-901B-183A9AF04F0B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70000"/>
                      <a:lumOff val="3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70000"/>
                    <a:lumOff val="3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2-327F-494B-901B-183A9AF04F0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7FAE853-A87C-4837-BA07-B885E8BC09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327F-494B-901B-183A9AF04F0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24BD055-6328-477A-85C3-C009464A8B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327F-494B-901B-183A9AF04F0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D7C6E51-F422-4D26-95BE-1768B8026B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327F-494B-901B-183A9AF04F0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6FFDFE6-CA1F-443F-B94F-866D80EC72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327F-494B-901B-183A9AF04F0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AFFE24D-9713-4333-9165-819093F0C3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327F-494B-901B-183A9AF04F0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11A8875-3DFC-4640-8FB0-9BFCA95787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327F-494B-901B-183A9AF04F0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349A6D3-ABCB-4305-AC1D-99BF33C69B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327F-494B-901B-183A9AF04F0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A02EA2D-C20E-4730-A9AC-583FEEBFF6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327F-494B-901B-183A9AF04F0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CA9470B-437C-4524-94DC-758E6680DC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327F-494B-901B-183A9AF04F0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89E6406-A711-4973-B5E3-ECD9DB2BFF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327F-494B-901B-183A9AF04F0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43677E3-1B8E-461A-A22B-2494433CD6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327F-494B-901B-183A9AF04F0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15C11E8-7CC7-4732-A7D2-7F2EC7F502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327F-494B-901B-183A9AF04F0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2FD8CBD-2D90-41DE-B3FF-6FE1849DF3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327F-494B-901B-183A9AF04F0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DFD811D-8FA7-4730-AE6C-B535EB6C9E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327F-494B-901B-183A9AF04F0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D67D16D-5197-4106-A4C5-D46E67600A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327F-494B-901B-183A9AF04F0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DFD5A1A-ED6D-4B4A-9E12-A58CB2DA29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327F-494B-901B-183A9AF04F0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E1BE4893-77CD-4322-801D-320651179E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327F-494B-901B-183A9AF04F0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D678429-12F8-410E-907D-65E2EC9AD0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327F-494B-901B-183A9AF04F0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39C4B04-6139-44B7-B0C2-D73B1D92FC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327F-494B-901B-183A9AF04F0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66D43D9E-0D4E-48C9-84DD-1F27D7D4F3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327F-494B-901B-183A9AF04F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numRef>
              <c:f>'Revenue Breakdown'!$B$16:$B$35</c:f>
              <c:numCache>
                <c:formatCode>0%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</c:numCache>
            </c:numRef>
          </c:cat>
          <c:val>
            <c:numRef>
              <c:f>'Revenue Breakdown'!$D$16:$D$35</c:f>
              <c:numCache>
                <c:formatCode>General</c:formatCode>
                <c:ptCount val="2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'Revenue Breakdown'!$B$16:$B$35</c15:f>
                <c15:dlblRangeCache>
                  <c:ptCount val="20"/>
                  <c:pt idx="0">
                    <c:v>10%</c:v>
                  </c:pt>
                  <c:pt idx="1">
                    <c:v>20%</c:v>
                  </c:pt>
                  <c:pt idx="2">
                    <c:v>30%</c:v>
                  </c:pt>
                  <c:pt idx="3">
                    <c:v>40%</c:v>
                  </c:pt>
                  <c:pt idx="4">
                    <c:v>50%</c:v>
                  </c:pt>
                  <c:pt idx="5">
                    <c:v>60%</c:v>
                  </c:pt>
                  <c:pt idx="6">
                    <c:v>70%</c:v>
                  </c:pt>
                  <c:pt idx="7">
                    <c:v>80%</c:v>
                  </c:pt>
                  <c:pt idx="8">
                    <c:v>90%</c:v>
                  </c:pt>
                  <c:pt idx="9">
                    <c:v>100%</c:v>
                  </c:pt>
                  <c:pt idx="10">
                    <c:v>110%</c:v>
                  </c:pt>
                  <c:pt idx="11">
                    <c:v>120%</c:v>
                  </c:pt>
                  <c:pt idx="12">
                    <c:v>130%</c:v>
                  </c:pt>
                  <c:pt idx="13">
                    <c:v>140%</c:v>
                  </c:pt>
                  <c:pt idx="14">
                    <c:v>150%</c:v>
                  </c:pt>
                  <c:pt idx="15">
                    <c:v>160%</c:v>
                  </c:pt>
                  <c:pt idx="16">
                    <c:v>170%</c:v>
                  </c:pt>
                  <c:pt idx="17">
                    <c:v>180%</c:v>
                  </c:pt>
                  <c:pt idx="18">
                    <c:v>190%</c:v>
                  </c:pt>
                  <c:pt idx="19">
                    <c:v>200%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3-327F-494B-901B-183A9AF04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[2025_Membership_Revenues_Nov2025.xlsx]Revenue Breakdown!PivotTable9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Dues Revenue by Membership Type</a:t>
            </a:r>
          </a:p>
        </c:rich>
      </c:tx>
      <c:layout>
        <c:manualLayout>
          <c:xMode val="edge"/>
          <c:yMode val="edge"/>
          <c:x val="2.0971671644492717E-2"/>
          <c:y val="7.11072681335393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930076227173731"/>
              <c:y val="-3.45942471476781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9637711509465605E-3"/>
              <c:y val="8.39346705038493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4611852906684536"/>
              <c:y val="0.1289944925715454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6009221856903412E-2"/>
              <c:y val="-0.2018248033874959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9913218429742571E-3"/>
              <c:y val="0.1914037639846137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4764481585112389E-3"/>
              <c:y val="0.2632172997884573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'Revenue Breakdown'!$K$3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76-4431-933B-1337B98105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76-4431-933B-1337B98105B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C76-4431-933B-1337B98105BC}"/>
              </c:ext>
            </c:extLst>
          </c:dPt>
          <c:dLbls>
            <c:dLbl>
              <c:idx val="0"/>
              <c:layout>
                <c:manualLayout>
                  <c:x val="2.6009221856903412E-2"/>
                  <c:y val="-0.2018248033874959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C76-4431-933B-1337B98105BC}"/>
                </c:ext>
              </c:extLst>
            </c:dLbl>
            <c:dLbl>
              <c:idx val="1"/>
              <c:layout>
                <c:manualLayout>
                  <c:x val="-1.9913218429742571E-3"/>
                  <c:y val="0.19140376398461376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C76-4431-933B-1337B98105BC}"/>
                </c:ext>
              </c:extLst>
            </c:dLbl>
            <c:dLbl>
              <c:idx val="2"/>
              <c:layout>
                <c:manualLayout>
                  <c:x val="1.4764481585112389E-3"/>
                  <c:y val="0.26321729978845737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C76-4431-933B-1337B98105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 Breakdown'!$J$4:$J$7</c:f>
              <c:strCache>
                <c:ptCount val="3"/>
                <c:pt idx="0">
                  <c:v>Affiliate Memberships</c:v>
                </c:pt>
                <c:pt idx="1">
                  <c:v>Individual Memberships</c:v>
                </c:pt>
                <c:pt idx="2">
                  <c:v>Organizational Memberships</c:v>
                </c:pt>
              </c:strCache>
            </c:strRef>
          </c:cat>
          <c:val>
            <c:numRef>
              <c:f>'Revenue Breakdown'!$K$4:$K$7</c:f>
              <c:numCache>
                <c:formatCode>_("$"* #,##0.00_);_("$"* \(#,##0.00\);_("$"* "-"??_);_(@_)</c:formatCode>
                <c:ptCount val="3"/>
                <c:pt idx="0">
                  <c:v>206962.54</c:v>
                </c:pt>
                <c:pt idx="1">
                  <c:v>84650</c:v>
                </c:pt>
                <c:pt idx="2">
                  <c:v>2339250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82-4757-8F4C-BD8C4C5D9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61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Dues Revenues by Member Type</a:t>
            </a:r>
          </a:p>
        </c:rich>
      </c:tx>
      <c:layout>
        <c:manualLayout>
          <c:xMode val="edge"/>
          <c:yMode val="edge"/>
          <c:x val="6.0958500588764196E-2"/>
          <c:y val="5.23665659617321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'Revenue Breakdown'!$G$3</c:f>
              <c:strCache>
                <c:ptCount val="1"/>
                <c:pt idx="0">
                  <c:v>2025 Dues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574-4E3B-AC67-98D858FEA3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574-4E3B-AC67-98D858FEA3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574-4E3B-AC67-98D858FEA391}"/>
              </c:ext>
            </c:extLst>
          </c:dPt>
          <c:dLbls>
            <c:dLbl>
              <c:idx val="0"/>
              <c:layout>
                <c:manualLayout>
                  <c:x val="6.2891264964530819E-2"/>
                  <c:y val="-7.6481858593474533E-2"/>
                </c:manualLayout>
              </c:layout>
              <c:tx>
                <c:rich>
                  <a:bodyPr/>
                  <a:lstStyle/>
                  <a:p>
                    <a:fld id="{F0227E2F-EFC6-4F42-BDA3-89F46D96658E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FCCB99C-5071-4655-93EF-C67647ABD1A7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736589CE-549C-408F-A3D5-9E4FE3D49118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574-4E3B-AC67-98D858FEA391}"/>
                </c:ext>
              </c:extLst>
            </c:dLbl>
            <c:dLbl>
              <c:idx val="1"/>
              <c:layout>
                <c:manualLayout>
                  <c:x val="0"/>
                  <c:y val="0.14913962425727534"/>
                </c:manualLayout>
              </c:layout>
              <c:tx>
                <c:rich>
                  <a:bodyPr/>
                  <a:lstStyle/>
                  <a:p>
                    <a:fld id="{343758CB-E5E6-49D8-B14B-30AA2A070C01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EDAECDE1-8D77-4CC3-B028-76BDFC09B2AC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EEF20BD5-81AA-4ADF-B169-D4853B023C97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5574-4E3B-AC67-98D858FEA391}"/>
                </c:ext>
              </c:extLst>
            </c:dLbl>
            <c:dLbl>
              <c:idx val="2"/>
              <c:layout>
                <c:manualLayout>
                  <c:x val="5.2409387470442343E-3"/>
                  <c:y val="-0.10325050910119066"/>
                </c:manualLayout>
              </c:layout>
              <c:tx>
                <c:rich>
                  <a:bodyPr/>
                  <a:lstStyle/>
                  <a:p>
                    <a:fld id="{5408B2BD-78A1-4F79-BEE5-531C56367201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B60DB281-3265-4F85-8FB9-20DE1400E852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C66DB556-95F8-4805-AE18-110D542F5050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5574-4E3B-AC67-98D858FEA3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'Revenue Breakdown'!$F$4:$F$6</c:f>
              <c:strCache>
                <c:ptCount val="3"/>
                <c:pt idx="0">
                  <c:v>Affiliate Memberships</c:v>
                </c:pt>
                <c:pt idx="1">
                  <c:v>Individual Memberships</c:v>
                </c:pt>
                <c:pt idx="2">
                  <c:v>Organizational Memberships</c:v>
                </c:pt>
              </c:strCache>
            </c:strRef>
          </c:cat>
          <c:val>
            <c:numRef>
              <c:f>'Revenue Breakdown'!$G$4:$G$6</c:f>
              <c:numCache>
                <c:formatCode>_("$"* #,##0_);_("$"* \(#,##0\);_("$"* "-"??_);_(@_)</c:formatCode>
                <c:ptCount val="3"/>
                <c:pt idx="0" formatCode="_(* #,##0.00_);_(* \(#,##0.00\);_(* &quot;-&quot;??_);_(@_)">
                  <c:v>206962.54</c:v>
                </c:pt>
                <c:pt idx="1">
                  <c:v>84650</c:v>
                </c:pt>
                <c:pt idx="2">
                  <c:v>2339250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'Revenue Breakdown'!$F$4:$F$6</c15:f>
                <c15:dlblRangeCache>
                  <c:ptCount val="3"/>
                  <c:pt idx="0">
                    <c:v>Affiliate Memberships</c:v>
                  </c:pt>
                  <c:pt idx="1">
                    <c:v>Individual Memberships</c:v>
                  </c:pt>
                  <c:pt idx="2">
                    <c:v>Organizational Memberships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5574-4E3B-AC67-98D858FEA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5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237036841966665"/>
          <c:y val="0.69317157107627403"/>
          <c:w val="0.2266071757752689"/>
          <c:h val="0.203928919761162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 Org Membership Goal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tint val="3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3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3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37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093C-4085-BCE5-6500A9F5B38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44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44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44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44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93C-4085-BCE5-6500A9F5B38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2">
                      <a:tint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093C-4085-BCE5-6500A9F5B38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tint val="42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42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42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42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93C-4085-BCE5-6500A9F5B38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2">
                      <a:tint val="54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54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54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54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093C-4085-BCE5-6500A9F5B38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2">
                      <a:tint val="65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65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65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65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93C-4085-BCE5-6500A9F5B38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2">
                      <a:tint val="7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7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7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77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093C-4085-BCE5-6500A9F5B383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tint val="89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89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89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89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93C-4085-BCE5-6500A9F5B383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093C-4085-BCE5-6500A9F5B383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2">
                      <a:shade val="88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88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88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88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093C-4085-BCE5-6500A9F5B383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2">
                      <a:tint val="7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7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7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77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093C-4085-BCE5-6500A9F5B383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2">
                      <a:shade val="65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65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65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65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6769-4655-B6B7-53E8486B90DF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2">
                      <a:shade val="53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53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53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53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6769-4655-B6B7-53E8486B90DF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shade val="41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41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41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41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6769-4655-B6B7-53E8486B90DF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6769-4655-B6B7-53E8486B90DF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2">
                      <a:shade val="94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94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94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4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6769-4655-B6B7-53E8486B90DF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2">
                      <a:shade val="88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88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88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88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6769-4655-B6B7-53E8486B90DF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2">
                      <a:shade val="82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82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82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82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6769-4655-B6B7-53E8486B90DF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2">
                      <a:shade val="43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43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43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43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6769-4655-B6B7-53E8486B90DF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shade val="7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7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7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7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6769-4655-B6B7-53E8486B90D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E49704A-69CC-4112-88FB-0A3928B1EE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93C-4085-BCE5-6500A9F5B38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93C-4085-BCE5-6500A9F5B38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CE52349-0042-4DC3-A09B-66C3BA0D8E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93C-4085-BCE5-6500A9F5B38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95AF38C-D91C-45F0-8F14-2AFA2B7008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93C-4085-BCE5-6500A9F5B38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7E65655-9A67-4D39-8130-3191506347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93C-4085-BCE5-6500A9F5B38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79044F3-1AE2-4D21-A402-E132E34A70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93C-4085-BCE5-6500A9F5B38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B0934AD-5072-4338-9273-E4C842FE28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93C-4085-BCE5-6500A9F5B38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EF0D2E3-D711-4DA2-9B2B-3A0599A7FF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93C-4085-BCE5-6500A9F5B38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13AC09E-94B1-468F-9E37-05E67030B3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93C-4085-BCE5-6500A9F5B38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6C1096B-B1AC-495F-A794-EBD861369F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93C-4085-BCE5-6500A9F5B38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2EC38A4-4EBC-4D7F-B71C-F9DA829B37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93C-4085-BCE5-6500A9F5B38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E711F33-3786-4A66-B783-1163C820C3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6769-4655-B6B7-53E8486B90D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A0E2F10-2805-414B-A6DA-C5FD313CE4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6769-4655-B6B7-53E8486B90D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1AA2AC4-9917-498E-8BCE-98205AFC81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6769-4655-B6B7-53E8486B90D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CF50ACF-9418-44C1-8A17-35F41423B5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6769-4655-B6B7-53E8486B90DF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8CAF732-B117-4EBC-B6D2-3A0706FC64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6769-4655-B6B7-53E8486B90DF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2E4B886-8203-4B16-AC64-D9E6D8C080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6769-4655-B6B7-53E8486B90DF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0FABB9C-B84E-43E2-8F22-858293C218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6769-4655-B6B7-53E8486B90D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D9531E4-1232-4681-8CDA-BB9107D748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6769-4655-B6B7-53E8486B90D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07B7EE8F-1A1D-4FDF-9F0C-C1DBD25160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6769-4655-B6B7-53E8486B90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'Revenue Breakdown'!$B$16:$B$35</c15:sqref>
                  </c15:fullRef>
                </c:ext>
              </c:extLst>
              <c:f>'Revenue Breakdown'!$B$16:$B$35</c:f>
              <c:numCache>
                <c:formatCode>0%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'Revenue Breakdown'!$C$13:$C$35</c15:sqref>
                  </c15:fullRef>
                </c:ext>
              </c:extLst>
              <c:f>'Revenue Breakdown'!$C$13:$C$32</c:f>
              <c:numCache>
                <c:formatCode>General</c:formatCode>
                <c:ptCount val="20"/>
                <c:pt idx="0" formatCode="&quot;$&quot;#,##0.00_);[Red]\(&quot;$&quot;#,##0.00\)">
                  <c:v>36717.300000000003</c:v>
                </c:pt>
                <c:pt idx="2">
                  <c:v>0</c:v>
                </c:pt>
                <c:pt idx="3" formatCode="&quot;$&quot;#,##0.00_);[Red]\(&quot;$&quot;#,##0.00\)">
                  <c:v>367173</c:v>
                </c:pt>
                <c:pt idx="4" formatCode="&quot;$&quot;#,##0.00_);[Red]\(&quot;$&quot;#,##0.00\)">
                  <c:v>367173</c:v>
                </c:pt>
                <c:pt idx="5" formatCode="&quot;$&quot;#,##0.00_);[Red]\(&quot;$&quot;#,##0.00\)">
                  <c:v>367173</c:v>
                </c:pt>
                <c:pt idx="6" formatCode="&quot;$&quot;#,##0.00_);[Red]\(&quot;$&quot;#,##0.00\)">
                  <c:v>367173</c:v>
                </c:pt>
                <c:pt idx="7" formatCode="&quot;$&quot;#,##0.00_);[Red]\(&quot;$&quot;#,##0.00\)">
                  <c:v>367173</c:v>
                </c:pt>
                <c:pt idx="8" formatCode="&quot;$&quot;#,##0.00_);[Red]\(&quot;$&quot;#,##0.00\)">
                  <c:v>367173</c:v>
                </c:pt>
                <c:pt idx="9" formatCode="&quot;$&quot;#,##0.00_);[Red]\(&quot;$&quot;#,##0.00\)">
                  <c:v>367173</c:v>
                </c:pt>
                <c:pt idx="10" formatCode="&quot;$&quot;#,##0.00_);[Red]\(&quot;$&quot;#,##0.00\)">
                  <c:v>367173</c:v>
                </c:pt>
                <c:pt idx="11" formatCode="&quot;$&quot;#,##0.00_);[Red]\(&quot;$&quot;#,##0.00\)">
                  <c:v>367173</c:v>
                </c:pt>
                <c:pt idx="12" formatCode="&quot;$&quot;#,##0.00_);[Red]\(&quot;$&quot;#,##0.00\)">
                  <c:v>367173</c:v>
                </c:pt>
                <c:pt idx="13">
                  <c:v>367173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'Revenue Breakdown'!$B$16:$B$35</c15:f>
                <c15:dlblRangeCache>
                  <c:ptCount val="20"/>
                  <c:pt idx="0">
                    <c:v>10%</c:v>
                  </c:pt>
                  <c:pt idx="1">
                    <c:v>20%</c:v>
                  </c:pt>
                  <c:pt idx="2">
                    <c:v>30%</c:v>
                  </c:pt>
                  <c:pt idx="3">
                    <c:v>40%</c:v>
                  </c:pt>
                  <c:pt idx="4">
                    <c:v>50%</c:v>
                  </c:pt>
                  <c:pt idx="5">
                    <c:v>60%</c:v>
                  </c:pt>
                  <c:pt idx="6">
                    <c:v>70%</c:v>
                  </c:pt>
                  <c:pt idx="7">
                    <c:v>80%</c:v>
                  </c:pt>
                  <c:pt idx="8">
                    <c:v>90%</c:v>
                  </c:pt>
                  <c:pt idx="9">
                    <c:v>100%</c:v>
                  </c:pt>
                  <c:pt idx="10">
                    <c:v>110%</c:v>
                  </c:pt>
                  <c:pt idx="11">
                    <c:v>120%</c:v>
                  </c:pt>
                  <c:pt idx="12">
                    <c:v>130%</c:v>
                  </c:pt>
                  <c:pt idx="13">
                    <c:v>140%</c:v>
                  </c:pt>
                  <c:pt idx="14">
                    <c:v>150%</c:v>
                  </c:pt>
                  <c:pt idx="15">
                    <c:v>160%</c:v>
                  </c:pt>
                  <c:pt idx="16">
                    <c:v>170%</c:v>
                  </c:pt>
                  <c:pt idx="17">
                    <c:v>180%</c:v>
                  </c:pt>
                  <c:pt idx="18">
                    <c:v>190%</c:v>
                  </c:pt>
                  <c:pt idx="19">
                    <c:v>200%</c:v>
                  </c:pt>
                </c15:dlblRangeCache>
              </c15:datalabelsRange>
            </c:ext>
            <c:ext xmlns:c15="http://schemas.microsoft.com/office/drawing/2012/chart" uri="{02D57815-91ED-43cb-92C2-25804820EDAC}">
              <c15:categoryFilterExceptions>
                <c15:categoryFilterException>
                  <c15:sqref>'Revenue Breakdown'!$C$33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2">
                            <a:shade val="65000"/>
                            <a:lumMod val="110000"/>
                            <a:satMod val="105000"/>
                            <a:tint val="67000"/>
                          </a:schemeClr>
                        </a:gs>
                        <a:gs pos="50000">
                          <a:schemeClr val="accent2">
                            <a:shade val="65000"/>
                            <a:lumMod val="105000"/>
                            <a:satMod val="103000"/>
                            <a:tint val="73000"/>
                          </a:schemeClr>
                        </a:gs>
                        <a:gs pos="100000">
                          <a:schemeClr val="accent2">
                            <a:shade val="65000"/>
                            <a:lumMod val="105000"/>
                            <a:satMod val="109000"/>
                            <a:tint val="81000"/>
                          </a:schemeClr>
                        </a:gs>
                      </a:gsLst>
                      <a:lin ang="5400000" scaled="0"/>
                    </a:gradFill>
                    <a:ln w="9525" cap="flat" cmpd="sng" algn="ctr">
                      <a:solidFill>
                        <a:schemeClr val="accent2">
                          <a:shade val="65000"/>
                          <a:shade val="95000"/>
                        </a:schemeClr>
                      </a:solidFill>
                      <a:round/>
                    </a:ln>
                    <a:effectLst/>
                  </c15:spPr>
                  <c15:bubble3D val="0"/>
                </c15:categoryFilterException>
                <c15:categoryFilterException>
                  <c15:sqref>'Revenue Breakdown'!$C$34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2">
                            <a:shade val="59000"/>
                            <a:lumMod val="110000"/>
                            <a:satMod val="105000"/>
                            <a:tint val="67000"/>
                          </a:schemeClr>
                        </a:gs>
                        <a:gs pos="50000">
                          <a:schemeClr val="accent2">
                            <a:shade val="59000"/>
                            <a:lumMod val="105000"/>
                            <a:satMod val="103000"/>
                            <a:tint val="73000"/>
                          </a:schemeClr>
                        </a:gs>
                        <a:gs pos="100000">
                          <a:schemeClr val="accent2">
                            <a:shade val="59000"/>
                            <a:lumMod val="105000"/>
                            <a:satMod val="109000"/>
                            <a:tint val="81000"/>
                          </a:schemeClr>
                        </a:gs>
                      </a:gsLst>
                      <a:lin ang="5400000" scaled="0"/>
                    </a:gradFill>
                    <a:ln w="9525" cap="flat" cmpd="sng" algn="ctr">
                      <a:solidFill>
                        <a:schemeClr val="accent2">
                          <a:shade val="59000"/>
                          <a:shade val="95000"/>
                        </a:schemeClr>
                      </a:solidFill>
                      <a:round/>
                    </a:ln>
                    <a:effectLst/>
                  </c15:spPr>
                  <c15:bubble3D val="0"/>
                </c15:categoryFilterException>
                <c15:categoryFilterException>
                  <c15:sqref>'Revenue Breakdown'!$C$35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2">
                            <a:shade val="53000"/>
                            <a:lumMod val="110000"/>
                            <a:satMod val="105000"/>
                            <a:tint val="67000"/>
                          </a:schemeClr>
                        </a:gs>
                        <a:gs pos="50000">
                          <a:schemeClr val="accent2">
                            <a:shade val="53000"/>
                            <a:lumMod val="105000"/>
                            <a:satMod val="103000"/>
                            <a:tint val="73000"/>
                          </a:schemeClr>
                        </a:gs>
                        <a:gs pos="100000">
                          <a:schemeClr val="accent2">
                            <a:shade val="53000"/>
                            <a:lumMod val="105000"/>
                            <a:satMod val="109000"/>
                            <a:tint val="81000"/>
                          </a:schemeClr>
                        </a:gs>
                      </a:gsLst>
                      <a:lin ang="5400000" scaled="0"/>
                    </a:gradFill>
                    <a:ln w="9525" cap="flat" cmpd="sng" algn="ctr">
                      <a:solidFill>
                        <a:schemeClr val="accent2">
                          <a:shade val="53000"/>
                          <a:shade val="95000"/>
                        </a:schemeClr>
                      </a:solidFill>
                      <a:round/>
                    </a:ln>
                    <a:effectLst/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093C-4085-BCE5-6500A9F5B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70"/>
        <c:holeSize val="42"/>
      </c:doughnutChart>
      <c:pieChart>
        <c:varyColors val="1"/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tint val="65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65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65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65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691-40FD-BEF1-3CC6C7F8950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691-40FD-BEF1-3CC6C7F8950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2">
                      <a:shade val="65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65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65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65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93C-4085-BCE5-6500A9F5B383}"/>
              </c:ext>
            </c:extLst>
          </c:dPt>
          <c:cat>
            <c:numRef>
              <c:f>'Revenue Breakdown'!$C$16:$C$35</c:f>
              <c:numCache>
                <c:formatCode>"$"#,##0.00_);[Red]\("$"#,##0.00\)</c:formatCode>
                <c:ptCount val="20"/>
                <c:pt idx="0">
                  <c:v>367173</c:v>
                </c:pt>
                <c:pt idx="1">
                  <c:v>367173</c:v>
                </c:pt>
                <c:pt idx="2">
                  <c:v>367173</c:v>
                </c:pt>
                <c:pt idx="3">
                  <c:v>367173</c:v>
                </c:pt>
                <c:pt idx="4">
                  <c:v>367173</c:v>
                </c:pt>
                <c:pt idx="5">
                  <c:v>367173</c:v>
                </c:pt>
                <c:pt idx="6">
                  <c:v>367173</c:v>
                </c:pt>
                <c:pt idx="7">
                  <c:v>367173</c:v>
                </c:pt>
                <c:pt idx="8">
                  <c:v>367173</c:v>
                </c:pt>
                <c:pt idx="9">
                  <c:v>367173</c:v>
                </c:pt>
                <c:pt idx="10" formatCode="General">
                  <c:v>367173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</c:numCache>
            </c:numRef>
          </c:cat>
          <c:val>
            <c:numRef>
              <c:f>'Revenue Breakdown'!$C$40:$C$42</c:f>
              <c:numCache>
                <c:formatCode>General</c:formatCode>
                <c:ptCount val="3"/>
                <c:pt idx="0" formatCode="_(&quot;$&quot;* #,##0_);_(&quot;$&quot;* \(#,##0\);_(&quot;$&quot;* &quot;-&quot;??_);_(@_)">
                  <c:v>1315431.27</c:v>
                </c:pt>
                <c:pt idx="1">
                  <c:v>30000</c:v>
                </c:pt>
                <c:pt idx="2" formatCode="&quot;$&quot;#,##0_);[Red]\(&quot;$&quot;#,##0\)">
                  <c:v>-3304557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3C-4085-BCE5-6500A9F5B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03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1"/>
          <c:tx>
            <c:strRef>
              <c:f>'Revenue Breakdown'!$B$40</c:f>
              <c:strCache>
                <c:ptCount val="1"/>
                <c:pt idx="0">
                  <c:v>Pointer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83DC-4821-AB9F-FEF76C1A43A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BD7-4BCE-A933-C507175A5F8E}"/>
              </c:ext>
            </c:extLst>
          </c:dPt>
          <c:cat>
            <c:numRef>
              <c:extLst>
                <c:ext xmlns:c15="http://schemas.microsoft.com/office/drawing/2012/chart" uri="{02D57815-91ED-43cb-92C2-25804820EDAC}">
                  <c15:fullRef>
                    <c15:sqref>('Revenue Breakdown'!$C$40,'Revenue Breakdown'!$C$40,'Revenue Breakdown'!$C$42)</c15:sqref>
                  </c15:fullRef>
                </c:ext>
              </c:extLst>
              <c:f>('Revenue Breakdown'!$C$40,'Revenue Breakdown'!$C$40)</c:f>
              <c:numCache>
                <c:formatCode>_("$"* #,##0_);_("$"* \(#,##0\);_("$"* "-"??_);_(@_)</c:formatCode>
                <c:ptCount val="2"/>
                <c:pt idx="0">
                  <c:v>1315431.27</c:v>
                </c:pt>
                <c:pt idx="1">
                  <c:v>1315431.27</c:v>
                </c:pt>
                <c:pt idx="2" formatCode="&quot;$&quot;#,##0_);[Red]\(&quot;$&quot;#,##0\)">
                  <c:v>-3304557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('Revenue Breakdown'!$C$40,'Revenue Breakdown'!$C$42)</c15:sqref>
                  </c15:fullRef>
                </c:ext>
              </c:extLst>
              <c:f>('Revenue Breakdown'!$C$40,'Revenue Breakdown'!$C$42)</c:f>
              <c:numCache>
                <c:formatCode>"$"#,##0_);[Red]\("$"#,##0\)</c:formatCode>
                <c:ptCount val="2"/>
                <c:pt idx="0" formatCode="_(&quot;$&quot;* #,##0_);_(&quot;$&quot;* \(#,##0\);_(&quot;$&quot;* &quot;-&quot;??_);_(@_)">
                  <c:v>1315431.27</c:v>
                </c:pt>
                <c:pt idx="1">
                  <c:v>-3304557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DC-4821-AB9F-FEF76C1A4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doughnutChart>
        <c:varyColors val="1"/>
        <c:ser>
          <c:idx val="0"/>
          <c:order val="0"/>
          <c:tx>
            <c:strRef>
              <c:f>'Revenue Breakdown'!$B$15</c:f>
              <c:strCache>
                <c:ptCount val="1"/>
                <c:pt idx="0">
                  <c:v>Labels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3DC-4821-AB9F-FEF76C1A43A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83DC-4821-AB9F-FEF76C1A43A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3DC-4821-AB9F-FEF76C1A43A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83DC-4821-AB9F-FEF76C1A43A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3DC-4821-AB9F-FEF76C1A43A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83DC-4821-AB9F-FEF76C1A43A8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83DC-4821-AB9F-FEF76C1A43A8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83DC-4821-AB9F-FEF76C1A43A8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83DC-4821-AB9F-FEF76C1A43A8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83DC-4821-AB9F-FEF76C1A43A8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83DC-4821-AB9F-FEF76C1A43A8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8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83DC-4821-AB9F-FEF76C1A43A8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83DC-4821-AB9F-FEF76C1A43A8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83DC-4821-AB9F-FEF76C1A43A8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83DC-4821-AB9F-FEF76C1A43A8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83DC-4821-AB9F-FEF76C1A43A8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83DC-4821-AB9F-FEF76C1A43A8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83DC-4821-AB9F-FEF76C1A43A8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70000"/>
                      <a:lumOff val="3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70000"/>
                    <a:lumOff val="3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83DC-4821-AB9F-FEF76C1A43A8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70000"/>
                      <a:lumOff val="3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70000"/>
                    <a:lumOff val="3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83DC-4821-AB9F-FEF76C1A43A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F8DEDD4-18C6-4446-82E8-9CDE508822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3DC-4821-AB9F-FEF76C1A43A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90FE5CD-4942-4452-BD49-A001693A79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3DC-4821-AB9F-FEF76C1A43A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93DA13B-78BF-44F9-BE56-20F4321661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3DC-4821-AB9F-FEF76C1A43A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E869183-B417-47DC-982A-5129F9A3AD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3DC-4821-AB9F-FEF76C1A43A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6BA9239-FE15-4F0B-B075-3730FB7F5F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3DC-4821-AB9F-FEF76C1A43A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36A7B82-FABB-47F7-86F7-033929D08E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3DC-4821-AB9F-FEF76C1A43A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F838485-5606-4038-A80A-1E94A8D25C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3DC-4821-AB9F-FEF76C1A43A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9C03AEA-477D-4F76-9B99-F7280BA312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3DC-4821-AB9F-FEF76C1A43A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96F53A8-18E2-4ED0-B0E8-2E351DA062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3DC-4821-AB9F-FEF76C1A43A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06EB5AF-2AF0-469F-8154-7B92A42155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3DC-4821-AB9F-FEF76C1A43A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789D0B8-9A37-4899-995E-A4CC29E72B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3DC-4821-AB9F-FEF76C1A43A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339E2DF-F1B2-451E-9547-5347BFBD9E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3DC-4821-AB9F-FEF76C1A43A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B13E4B2-BDBD-4632-819A-53E7B1B6BA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3DC-4821-AB9F-FEF76C1A43A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F9AF179-C981-4642-94DB-8AD831E2D5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83DC-4821-AB9F-FEF76C1A43A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1442BFF-5ACA-4596-B942-FE295A68AD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3DC-4821-AB9F-FEF76C1A43A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44DC69A-226B-4056-B8C1-A0ED147115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3DC-4821-AB9F-FEF76C1A43A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5458EBB-8976-419D-A611-267A8E8253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3DC-4821-AB9F-FEF76C1A43A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F3E522F-97DF-41CE-BC60-E998D4B04A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3DC-4821-AB9F-FEF76C1A43A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3F76513-8590-46DF-9440-0DF02C8F19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83DC-4821-AB9F-FEF76C1A43A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25E2FB3-5F53-471B-8D17-DE80D4829F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83DC-4821-AB9F-FEF76C1A43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numRef>
              <c:f>'Revenue Breakdown'!$B$16:$B$35</c:f>
              <c:numCache>
                <c:formatCode>0%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</c:numCache>
            </c:numRef>
          </c:cat>
          <c:val>
            <c:numRef>
              <c:f>'Revenue Breakdown'!$D$16:$D$35</c:f>
              <c:numCache>
                <c:formatCode>General</c:formatCode>
                <c:ptCount val="2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'Revenue Breakdown'!$B$16:$B$35</c15:f>
                <c15:dlblRangeCache>
                  <c:ptCount val="20"/>
                  <c:pt idx="0">
                    <c:v>10%</c:v>
                  </c:pt>
                  <c:pt idx="1">
                    <c:v>20%</c:v>
                  </c:pt>
                  <c:pt idx="2">
                    <c:v>30%</c:v>
                  </c:pt>
                  <c:pt idx="3">
                    <c:v>40%</c:v>
                  </c:pt>
                  <c:pt idx="4">
                    <c:v>50%</c:v>
                  </c:pt>
                  <c:pt idx="5">
                    <c:v>60%</c:v>
                  </c:pt>
                  <c:pt idx="6">
                    <c:v>70%</c:v>
                  </c:pt>
                  <c:pt idx="7">
                    <c:v>80%</c:v>
                  </c:pt>
                  <c:pt idx="8">
                    <c:v>90%</c:v>
                  </c:pt>
                  <c:pt idx="9">
                    <c:v>100%</c:v>
                  </c:pt>
                  <c:pt idx="10">
                    <c:v>110%</c:v>
                  </c:pt>
                  <c:pt idx="11">
                    <c:v>120%</c:v>
                  </c:pt>
                  <c:pt idx="12">
                    <c:v>130%</c:v>
                  </c:pt>
                  <c:pt idx="13">
                    <c:v>140%</c:v>
                  </c:pt>
                  <c:pt idx="14">
                    <c:v>150%</c:v>
                  </c:pt>
                  <c:pt idx="15">
                    <c:v>160%</c:v>
                  </c:pt>
                  <c:pt idx="16">
                    <c:v>170%</c:v>
                  </c:pt>
                  <c:pt idx="17">
                    <c:v>180%</c:v>
                  </c:pt>
                  <c:pt idx="18">
                    <c:v>190%</c:v>
                  </c:pt>
                  <c:pt idx="19">
                    <c:v>200%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3DC-4821-AB9F-FEF76C1A4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[2025_Membership_Revenues_Nov2025.xlsx]Org Revenues!PivotTable3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Org Member Revenues by Member Level</a:t>
            </a:r>
            <a:r>
              <a:rPr lang="en-US" baseline="0"/>
              <a:t>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5393810148731433E-2"/>
              <c:y val="1.4478346456692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727777777777774"/>
                  <c:h val="0.24067147856517934"/>
                </c:manualLayout>
              </c15:layout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1638779527559054E-2"/>
              <c:y val="0.1416601049868765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6255555555555554"/>
                  <c:h val="0.24993073782443861"/>
                </c:manualLayout>
              </c15:layout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1552384076990383E-2"/>
              <c:y val="-4.88192621755613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'Org Revenues'!$B$3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F59-4EE9-B400-A6E024EF9E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C7-4903-B313-7481CDC7E3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59-4EE9-B400-A6E024EF9E87}"/>
              </c:ext>
            </c:extLst>
          </c:dPt>
          <c:dLbls>
            <c:dLbl>
              <c:idx val="0"/>
              <c:layout>
                <c:manualLayout>
                  <c:x val="-2.5393810148731433E-2"/>
                  <c:y val="1.44783464566929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727777777777774"/>
                      <c:h val="0.2406714785651793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6F59-4EE9-B400-A6E024EF9E87}"/>
                </c:ext>
              </c:extLst>
            </c:dLbl>
            <c:dLbl>
              <c:idx val="1"/>
              <c:layout>
                <c:manualLayout>
                  <c:x val="7.1552384076990383E-2"/>
                  <c:y val="-4.881926217556138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CC7-4903-B313-7481CDC7E3BA}"/>
                </c:ext>
              </c:extLst>
            </c:dLbl>
            <c:dLbl>
              <c:idx val="2"/>
              <c:layout>
                <c:manualLayout>
                  <c:x val="1.1638779527559054E-2"/>
                  <c:y val="0.1416601049868765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255555555555554"/>
                      <c:h val="0.2499307378244386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6F59-4EE9-B400-A6E024EF9E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'Org Revenues'!$A$4:$A$7</c:f>
              <c:strCache>
                <c:ptCount val="3"/>
                <c:pt idx="0">
                  <c:v>Benefactor Membership</c:v>
                </c:pt>
                <c:pt idx="1">
                  <c:v>Gold Membership</c:v>
                </c:pt>
                <c:pt idx="2">
                  <c:v>Organizational Membership</c:v>
                </c:pt>
              </c:strCache>
            </c:strRef>
          </c:cat>
          <c:val>
            <c:numRef>
              <c:f>'Org Revenues'!$B$4:$B$7</c:f>
              <c:numCache>
                <c:formatCode>_("$"* #,##0_);_("$"* \(#,##0\);_("$"* "-"??_);_(@_)</c:formatCode>
                <c:ptCount val="3"/>
                <c:pt idx="0">
                  <c:v>880255</c:v>
                </c:pt>
                <c:pt idx="1">
                  <c:v>264435</c:v>
                </c:pt>
                <c:pt idx="2">
                  <c:v>1194560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59-4EE9-B400-A6E024EF9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[2025_Membership_Revenues_Nov2025.xlsx]Ind Revenues!PivotTable4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</a:t>
            </a:r>
          </a:p>
          <a:p>
            <a:pPr>
              <a:defRPr/>
            </a:pPr>
            <a:r>
              <a:rPr lang="en-US"/>
              <a:t> Individual</a:t>
            </a:r>
            <a:r>
              <a:rPr lang="en-US" baseline="0"/>
              <a:t> Memberships by Month</a:t>
            </a:r>
          </a:p>
        </c:rich>
      </c:tx>
      <c:layout>
        <c:manualLayout>
          <c:xMode val="edge"/>
          <c:yMode val="edge"/>
          <c:x val="0.12885021328144125"/>
          <c:y val="4.12391841534439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 Revenues'!$B$3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 Revenues'!$A$4:$A$15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'Ind Revenues'!$B$4:$B$15</c:f>
              <c:numCache>
                <c:formatCode>_("$"* #,##0.00_);_("$"* \(#,##0.00\);_("$"* "-"??_);_(@_)</c:formatCode>
                <c:ptCount val="11"/>
                <c:pt idx="0">
                  <c:v>12500</c:v>
                </c:pt>
                <c:pt idx="1">
                  <c:v>5525</c:v>
                </c:pt>
                <c:pt idx="2">
                  <c:v>11225</c:v>
                </c:pt>
                <c:pt idx="3">
                  <c:v>3875</c:v>
                </c:pt>
                <c:pt idx="4">
                  <c:v>7075</c:v>
                </c:pt>
                <c:pt idx="5">
                  <c:v>7750</c:v>
                </c:pt>
                <c:pt idx="6">
                  <c:v>7750</c:v>
                </c:pt>
                <c:pt idx="7">
                  <c:v>10850</c:v>
                </c:pt>
                <c:pt idx="8">
                  <c:v>7825</c:v>
                </c:pt>
                <c:pt idx="9">
                  <c:v>3100</c:v>
                </c:pt>
                <c:pt idx="10">
                  <c:v>7175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D5-4B70-B0CD-E534AC04B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8869007"/>
        <c:axId val="688868047"/>
      </c:barChart>
      <c:catAx>
        <c:axId val="68886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868047"/>
        <c:crosses val="autoZero"/>
        <c:auto val="1"/>
        <c:lblAlgn val="ctr"/>
        <c:lblOffset val="100"/>
        <c:noMultiLvlLbl val="0"/>
      </c:catAx>
      <c:valAx>
        <c:axId val="68886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86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[2025_Membership_Revenues_Nov2025.xlsx]Yrs of Membership!PivotTable6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Years of Membership of Membership</a:t>
            </a:r>
            <a:r>
              <a:rPr lang="en-US" baseline="0"/>
              <a:t> Income</a:t>
            </a:r>
            <a:endParaRPr lang="en-US"/>
          </a:p>
        </c:rich>
      </c:tx>
      <c:layout>
        <c:manualLayout>
          <c:xMode val="edge"/>
          <c:yMode val="edge"/>
          <c:x val="0.14647859806997812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'Yrs of Membership'!$N$6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'Yrs of Membership'!$M$7:$M$12</c:f>
              <c:strCache>
                <c:ptCount val="5"/>
                <c:pt idx="0">
                  <c:v>1 Year</c:v>
                </c:pt>
                <c:pt idx="1">
                  <c:v>11 to 15 Years</c:v>
                </c:pt>
                <c:pt idx="2">
                  <c:v>2 to 5 Years</c:v>
                </c:pt>
                <c:pt idx="3">
                  <c:v>6 to 10 Years</c:v>
                </c:pt>
                <c:pt idx="4">
                  <c:v>Over 15 Years</c:v>
                </c:pt>
              </c:strCache>
            </c:strRef>
          </c:cat>
          <c:val>
            <c:numRef>
              <c:f>'Yrs of Membership'!$N$7:$N$12</c:f>
              <c:numCache>
                <c:formatCode>General</c:formatCode>
                <c:ptCount val="5"/>
                <c:pt idx="0">
                  <c:v>110</c:v>
                </c:pt>
                <c:pt idx="1">
                  <c:v>54</c:v>
                </c:pt>
                <c:pt idx="2">
                  <c:v>44</c:v>
                </c:pt>
                <c:pt idx="3">
                  <c:v>30</c:v>
                </c:pt>
                <c:pt idx="4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ED-4456-A35E-639F4CE40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4038640"/>
        <c:axId val="25450527"/>
      </c:barChart>
      <c:catAx>
        <c:axId val="62403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50527"/>
        <c:crosses val="autoZero"/>
        <c:auto val="1"/>
        <c:lblAlgn val="ctr"/>
        <c:lblOffset val="100"/>
        <c:noMultiLvlLbl val="0"/>
      </c:catAx>
      <c:valAx>
        <c:axId val="2545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03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[2025_Membership_Revenues_Nov2025.xlsx]draft_mem_goal_work!PivotTable3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654115B-67F9-427F-B834-8E58528AC5EE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BE4C80D-413A-4ED0-B508-0C12EA11D113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A423357-84FF-42E0-9489-CF73065BCD7A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9FBC8DB-1C3F-4797-873C-0109ED4689BF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D87AA91-D2CD-4300-AF52-C5A134CBCCA3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3ADE894-ADE2-499D-9B66-C36BE67DAE78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E62E521-1675-4267-A2BB-0124FC2A4160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FC57858-2FF3-4F3A-B124-11DC17F983AD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9C2C8D2-585B-4498-ADCB-B55F66F1BA34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469AD31-60EC-4813-9235-111FE9140171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A46C994-ED8D-4AA1-B9FD-26D9F3AA254F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9D846F8-3A7B-456C-8598-D511435752B3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284424F-0BEE-4EFA-A2DA-E7095B906DA7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C1BCE47-0A2F-4CB3-976A-47D8FF19D125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C30758C-56A3-4711-AD9E-95D3E341E294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6A4919A-6F5E-459F-B2B8-63B853A655F3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40E2BD9-AD11-4979-8EEE-3A2CE73138B2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070EB35-7DFA-424D-8361-D7308D699D39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61EB8C1-6896-4852-95BE-FB160EDFBB41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41EB29F-BF07-4DCC-83A2-3B717D688AB0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draft_mem_goal_work!$D$3:$D$22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C90-4F93-A48D-4A2FC73D3987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C90-4F93-A48D-4A2FC73D3987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C90-4F93-A48D-4A2FC73D3987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C90-4F93-A48D-4A2FC73D3987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C90-4F93-A48D-4A2FC73D3987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C90-4F93-A48D-4A2FC73D3987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3C90-4F93-A48D-4A2FC73D3987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C90-4F93-A48D-4A2FC73D3987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3C90-4F93-A48D-4A2FC73D3987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C90-4F93-A48D-4A2FC73D3987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3C90-4F93-A48D-4A2FC73D3987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C90-4F93-A48D-4A2FC73D3987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3C90-4F93-A48D-4A2FC73D3987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C90-4F93-A48D-4A2FC73D3987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3C90-4F93-A48D-4A2FC73D3987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C90-4F93-A48D-4A2FC73D3987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3C90-4F93-A48D-4A2FC73D3987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C90-4F93-A48D-4A2FC73D3987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3C90-4F93-A48D-4A2FC73D3987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C90-4F93-A48D-4A2FC73D398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654115B-67F9-427F-B834-8E58528AC5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C90-4F93-A48D-4A2FC73D398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BE4C80D-413A-4ED0-B508-0C12EA11D1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C90-4F93-A48D-4A2FC73D398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A423357-84FF-42E0-9489-CF73065BCD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C90-4F93-A48D-4A2FC73D398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9FBC8DB-1C3F-4797-873C-0109ED4689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C90-4F93-A48D-4A2FC73D398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D87AA91-D2CD-4300-AF52-C5A134CBCC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C90-4F93-A48D-4A2FC73D398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3ADE894-ADE2-499D-9B66-C36BE67DAE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C90-4F93-A48D-4A2FC73D398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E62E521-1675-4267-A2BB-0124FC2A41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C90-4F93-A48D-4A2FC73D398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FC57858-2FF3-4F3A-B124-11DC17F983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C90-4F93-A48D-4A2FC73D398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9C2C8D2-585B-4498-ADCB-B55F66F1BA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C90-4F93-A48D-4A2FC73D398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469AD31-60EC-4813-9235-111FE91401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C90-4F93-A48D-4A2FC73D398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A46C994-ED8D-4AA1-B9FD-26D9F3AA25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C90-4F93-A48D-4A2FC73D398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9D846F8-3A7B-456C-8598-D511435752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C90-4F93-A48D-4A2FC73D398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284424F-0BEE-4EFA-A2DA-E7095B906D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C90-4F93-A48D-4A2FC73D398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C1BCE47-0A2F-4CB3-976A-47D8FF19D1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C90-4F93-A48D-4A2FC73D398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C30758C-56A3-4711-AD9E-95D3E341E2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C90-4F93-A48D-4A2FC73D398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66A4919A-6F5E-459F-B2B8-63B853A655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3C90-4F93-A48D-4A2FC73D398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40E2BD9-AD11-4979-8EEE-3A2CE73138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C90-4F93-A48D-4A2FC73D398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F070EB35-7DFA-424D-8361-D7308D699D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3C90-4F93-A48D-4A2FC73D398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61EB8C1-6896-4852-95BE-FB160EDFBB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C90-4F93-A48D-4A2FC73D398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41EB29F-BF07-4DCC-83A2-3B717D688A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3C90-4F93-A48D-4A2FC73D39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draft_mem_goal_work!$D$3:$D$22</c:f>
              <c:strCache>
                <c:ptCount val="20"/>
                <c:pt idx="0">
                  <c:v>10%</c:v>
                </c:pt>
                <c:pt idx="1">
                  <c:v>20%</c:v>
                </c:pt>
                <c:pt idx="2">
                  <c:v>30%</c:v>
                </c:pt>
                <c:pt idx="3">
                  <c:v>40%</c:v>
                </c:pt>
                <c:pt idx="4">
                  <c:v>50%</c:v>
                </c:pt>
                <c:pt idx="5">
                  <c:v>60%</c:v>
                </c:pt>
                <c:pt idx="6">
                  <c:v>70%</c:v>
                </c:pt>
                <c:pt idx="7">
                  <c:v>80%</c:v>
                </c:pt>
                <c:pt idx="8">
                  <c:v>90%</c:v>
                </c:pt>
                <c:pt idx="9">
                  <c:v>100%</c:v>
                </c:pt>
                <c:pt idx="10">
                  <c:v>110%</c:v>
                </c:pt>
                <c:pt idx="11">
                  <c:v>120%</c:v>
                </c:pt>
                <c:pt idx="12">
                  <c:v>130%</c:v>
                </c:pt>
                <c:pt idx="13">
                  <c:v>140%</c:v>
                </c:pt>
                <c:pt idx="14">
                  <c:v>150%</c:v>
                </c:pt>
                <c:pt idx="15">
                  <c:v>160%</c:v>
                </c:pt>
                <c:pt idx="16">
                  <c:v>170%</c:v>
                </c:pt>
                <c:pt idx="17">
                  <c:v>180%</c:v>
                </c:pt>
                <c:pt idx="18">
                  <c:v>190%</c:v>
                </c:pt>
                <c:pt idx="19">
                  <c:v>200%</c:v>
                </c:pt>
              </c:strCache>
            </c:strRef>
          </c:cat>
          <c:val>
            <c:numRef>
              <c:f>draft_mem_goal_work!$D$3:$D$22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draft_mem_goal_work!$D$3:$D$22</c15:f>
                <c15:dlblRangeCache>
                  <c:ptCount val="20"/>
                  <c:pt idx="0">
                    <c:v>10%</c:v>
                  </c:pt>
                  <c:pt idx="1">
                    <c:v>20%</c:v>
                  </c:pt>
                  <c:pt idx="2">
                    <c:v>30%</c:v>
                  </c:pt>
                  <c:pt idx="3">
                    <c:v>40%</c:v>
                  </c:pt>
                  <c:pt idx="4">
                    <c:v>50%</c:v>
                  </c:pt>
                  <c:pt idx="5">
                    <c:v>60%</c:v>
                  </c:pt>
                  <c:pt idx="6">
                    <c:v>70%</c:v>
                  </c:pt>
                  <c:pt idx="7">
                    <c:v>80%</c:v>
                  </c:pt>
                  <c:pt idx="8">
                    <c:v>90%</c:v>
                  </c:pt>
                  <c:pt idx="9">
                    <c:v>100%</c:v>
                  </c:pt>
                  <c:pt idx="10">
                    <c:v>110%</c:v>
                  </c:pt>
                  <c:pt idx="11">
                    <c:v>120%</c:v>
                  </c:pt>
                  <c:pt idx="12">
                    <c:v>130%</c:v>
                  </c:pt>
                  <c:pt idx="13">
                    <c:v>140%</c:v>
                  </c:pt>
                  <c:pt idx="14">
                    <c:v>150%</c:v>
                  </c:pt>
                  <c:pt idx="15">
                    <c:v>160%</c:v>
                  </c:pt>
                  <c:pt idx="16">
                    <c:v>170%</c:v>
                  </c:pt>
                  <c:pt idx="17">
                    <c:v>180%</c:v>
                  </c:pt>
                  <c:pt idx="18">
                    <c:v>190%</c:v>
                  </c:pt>
                  <c:pt idx="19">
                    <c:v>200%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C90-4F93-A48D-4A2FC73D3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48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158750</xdr:rowOff>
    </xdr:from>
    <xdr:to>
      <xdr:col>10</xdr:col>
      <xdr:colOff>120650</xdr:colOff>
      <xdr:row>26</xdr:row>
      <xdr:rowOff>41275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4A139F-1C3A-4F66-B110-29A125CBA7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292100</xdr:colOff>
      <xdr:row>2</xdr:row>
      <xdr:rowOff>169333</xdr:rowOff>
    </xdr:from>
    <xdr:to>
      <xdr:col>13</xdr:col>
      <xdr:colOff>469900</xdr:colOff>
      <xdr:row>23</xdr:row>
      <xdr:rowOff>49389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81CDE7A0-3B7D-E16C-142A-E69A18712377}"/>
            </a:ext>
          </a:extLst>
        </xdr:cNvPr>
        <xdr:cNvSpPr/>
      </xdr:nvSpPr>
      <xdr:spPr>
        <a:xfrm>
          <a:off x="5753100" y="536222"/>
          <a:ext cx="2604911" cy="3732389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21</xdr:col>
      <xdr:colOff>278130</xdr:colOff>
      <xdr:row>2</xdr:row>
      <xdr:rowOff>143827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14F558-5AAF-4F7B-B7A6-98078EBB491F}"/>
            </a:ext>
          </a:extLst>
        </xdr:cNvPr>
        <xdr:cNvSpPr txBox="1"/>
      </xdr:nvSpPr>
      <xdr:spPr>
        <a:xfrm>
          <a:off x="0" y="0"/>
          <a:ext cx="13079730" cy="512127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>
              <a:solidFill>
                <a:schemeClr val="accent5"/>
              </a:solidFill>
            </a:rPr>
            <a:t>HL7 International Membership</a:t>
          </a:r>
          <a:r>
            <a:rPr lang="en-US" sz="2400" baseline="0">
              <a:solidFill>
                <a:schemeClr val="accent5"/>
              </a:solidFill>
            </a:rPr>
            <a:t> Overview</a:t>
          </a:r>
          <a:r>
            <a:rPr lang="en-US" sz="2400">
              <a:solidFill>
                <a:schemeClr val="accent5"/>
              </a:solidFill>
            </a:rPr>
            <a:t> - 2025 to Dec</a:t>
          </a:r>
          <a:endParaRPr lang="en-US" sz="1100">
            <a:solidFill>
              <a:schemeClr val="accent5"/>
            </a:solidFill>
          </a:endParaRPr>
        </a:p>
      </xdr:txBody>
    </xdr:sp>
    <xdr:clientData/>
  </xdr:twoCellAnchor>
  <xdr:twoCellAnchor>
    <xdr:from>
      <xdr:col>13</xdr:col>
      <xdr:colOff>450850</xdr:colOff>
      <xdr:row>2</xdr:row>
      <xdr:rowOff>171449</xdr:rowOff>
    </xdr:from>
    <xdr:to>
      <xdr:col>21</xdr:col>
      <xdr:colOff>349250</xdr:colOff>
      <xdr:row>23</xdr:row>
      <xdr:rowOff>63499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B49395-B6C8-4B46-9AB1-94FA4C383F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431800</xdr:colOff>
      <xdr:row>5</xdr:row>
      <xdr:rowOff>158750</xdr:rowOff>
    </xdr:from>
    <xdr:to>
      <xdr:col>16</xdr:col>
      <xdr:colOff>463550</xdr:colOff>
      <xdr:row>7</xdr:row>
      <xdr:rowOff>139700</xdr:rowOff>
    </xdr:to>
    <xdr:sp macro="" textlink="'Revenue Breakdown'!L7">
      <xdr:nvSpPr>
        <xdr:cNvPr id="4" name="TextBox 3">
          <a:extLst>
            <a:ext uri="{FF2B5EF4-FFF2-40B4-BE49-F238E27FC236}">
              <a16:creationId xmlns:a16="http://schemas.microsoft.com/office/drawing/2014/main" id="{17709755-1C31-46A6-3860-02CCA3E33E05}"/>
            </a:ext>
          </a:extLst>
        </xdr:cNvPr>
        <xdr:cNvSpPr txBox="1"/>
      </xdr:nvSpPr>
      <xdr:spPr>
        <a:xfrm>
          <a:off x="8356600" y="1079500"/>
          <a:ext cx="1860550" cy="349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E92F72-83B7-4D9F-BB07-40695EED7B77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/>
            <a:t>Grand Total $2,630,863</a:t>
          </a:fld>
          <a:endParaRPr lang="en-US" sz="1400" kern="1200"/>
        </a:p>
      </xdr:txBody>
    </xdr:sp>
    <xdr:clientData/>
  </xdr:twoCellAnchor>
  <xdr:twoCellAnchor>
    <xdr:from>
      <xdr:col>3</xdr:col>
      <xdr:colOff>152400</xdr:colOff>
      <xdr:row>18</xdr:row>
      <xdr:rowOff>165100</xdr:rowOff>
    </xdr:from>
    <xdr:to>
      <xdr:col>6</xdr:col>
      <xdr:colOff>514350</xdr:colOff>
      <xdr:row>20</xdr:row>
      <xdr:rowOff>152400</xdr:rowOff>
    </xdr:to>
    <xdr:sp macro="" textlink="'Revenue Breakdown'!C12">
      <xdr:nvSpPr>
        <xdr:cNvPr id="8" name="TextBox 7">
          <a:extLst>
            <a:ext uri="{FF2B5EF4-FFF2-40B4-BE49-F238E27FC236}">
              <a16:creationId xmlns:a16="http://schemas.microsoft.com/office/drawing/2014/main" id="{D8308FC7-464D-42E9-8869-806ED26D5C5D}"/>
            </a:ext>
          </a:extLst>
        </xdr:cNvPr>
        <xdr:cNvSpPr txBox="1"/>
      </xdr:nvSpPr>
      <xdr:spPr>
        <a:xfrm>
          <a:off x="1981200" y="3479800"/>
          <a:ext cx="2190750" cy="3556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8C8DB067-336C-48C5-AB15-E53A862B8DD5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 algn="ctr"/>
            <a:t>Goal:  $3,671,730</a:t>
          </a:fld>
          <a:endParaRPr lang="en-US" sz="18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127000</xdr:colOff>
      <xdr:row>16</xdr:row>
      <xdr:rowOff>152400</xdr:rowOff>
    </xdr:from>
    <xdr:to>
      <xdr:col>6</xdr:col>
      <xdr:colOff>533400</xdr:colOff>
      <xdr:row>18</xdr:row>
      <xdr:rowOff>76200</xdr:rowOff>
    </xdr:to>
    <xdr:sp macro="" textlink="'Revenue Breakdown'!B44">
      <xdr:nvSpPr>
        <xdr:cNvPr id="9" name="TextBox 8">
          <a:extLst>
            <a:ext uri="{FF2B5EF4-FFF2-40B4-BE49-F238E27FC236}">
              <a16:creationId xmlns:a16="http://schemas.microsoft.com/office/drawing/2014/main" id="{08E5E8AC-D48D-49EB-BCED-526D781F9D29}"/>
            </a:ext>
          </a:extLst>
        </xdr:cNvPr>
        <xdr:cNvSpPr txBox="1"/>
      </xdr:nvSpPr>
      <xdr:spPr>
        <a:xfrm>
          <a:off x="1955800" y="3098800"/>
          <a:ext cx="2235200" cy="2921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3596DDF-FDF9-4237-BFCF-C18D14F4F4DB}" type="TxLink">
            <a:rPr lang="en-US" sz="1200" b="0" i="0" u="none" strike="noStrike" kern="1200">
              <a:solidFill>
                <a:srgbClr val="000000"/>
              </a:solidFill>
              <a:latin typeface="Aptos Narrow"/>
            </a:rPr>
            <a:pPr algn="ctr"/>
            <a:t>Current: $2,630,863, 72%</a:t>
          </a:fld>
          <a:endParaRPr lang="en-US" sz="2000" kern="1200">
            <a:noFill/>
          </a:endParaRPr>
        </a:p>
      </xdr:txBody>
    </xdr:sp>
    <xdr:clientData/>
  </xdr:twoCellAnchor>
  <xdr:twoCellAnchor>
    <xdr:from>
      <xdr:col>9</xdr:col>
      <xdr:colOff>368300</xdr:colOff>
      <xdr:row>4</xdr:row>
      <xdr:rowOff>152400</xdr:rowOff>
    </xdr:from>
    <xdr:to>
      <xdr:col>13</xdr:col>
      <xdr:colOff>374650</xdr:colOff>
      <xdr:row>6</xdr:row>
      <xdr:rowOff>139700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6936DA2-D00A-42AD-92D8-9021CAC5FCD4}"/>
            </a:ext>
          </a:extLst>
        </xdr:cNvPr>
        <xdr:cNvSpPr txBox="1"/>
      </xdr:nvSpPr>
      <xdr:spPr>
        <a:xfrm>
          <a:off x="5854700" y="889000"/>
          <a:ext cx="2444750" cy="3556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000" b="0" i="0" u="none" strike="noStrike" kern="1200" cap="none" spc="0" normalizeH="0" baseline="0" noProof="0">
              <a:ln>
                <a:noFill/>
              </a:ln>
              <a:effectLst/>
              <a:uLnTx/>
              <a:uFillTx/>
              <a:latin typeface="Aptos Narrow"/>
              <a:ea typeface="+mn-ea"/>
              <a:cs typeface="+mn-cs"/>
            </a:rPr>
            <a:t>Member Metrics</a:t>
          </a:r>
        </a:p>
      </xdr:txBody>
    </xdr:sp>
    <xdr:clientData/>
  </xdr:twoCellAnchor>
  <xdr:twoCellAnchor>
    <xdr:from>
      <xdr:col>0</xdr:col>
      <xdr:colOff>63500</xdr:colOff>
      <xdr:row>23</xdr:row>
      <xdr:rowOff>57150</xdr:rowOff>
    </xdr:from>
    <xdr:to>
      <xdr:col>21</xdr:col>
      <xdr:colOff>336550</xdr:colOff>
      <xdr:row>26</xdr:row>
      <xdr:rowOff>44450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0ABF9D6-F148-45CF-9A10-F7D137659B82}"/>
            </a:ext>
          </a:extLst>
        </xdr:cNvPr>
        <xdr:cNvSpPr txBox="1"/>
      </xdr:nvSpPr>
      <xdr:spPr>
        <a:xfrm>
          <a:off x="63500" y="4292600"/>
          <a:ext cx="13074650" cy="539750"/>
        </a:xfrm>
        <a:prstGeom prst="rect">
          <a:avLst/>
        </a:prstGeom>
        <a:solidFill>
          <a:schemeClr val="accent2">
            <a:lumMod val="40000"/>
            <a:lumOff val="60000"/>
            <a:alpha val="92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>
          <a:outerShdw blurRad="50800" dist="50800" dir="5400000" algn="ctr" rotWithShape="0">
            <a:srgbClr val="000000">
              <a:alpha val="98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 Notes: Revenue data is recorded for the month that a membership term started. So, if membership payment was made in December 2023, but the membership term began in January 2024, the revenue is recorded for January 2024.</a:t>
          </a:r>
        </a:p>
      </xdr:txBody>
    </xdr:sp>
    <xdr:clientData/>
  </xdr:twoCellAnchor>
  <xdr:twoCellAnchor>
    <xdr:from>
      <xdr:col>9</xdr:col>
      <xdr:colOff>388056</xdr:colOff>
      <xdr:row>7</xdr:row>
      <xdr:rowOff>99483</xdr:rowOff>
    </xdr:from>
    <xdr:to>
      <xdr:col>13</xdr:col>
      <xdr:colOff>388056</xdr:colOff>
      <xdr:row>9</xdr:row>
      <xdr:rowOff>86783</xdr:rowOff>
    </xdr:to>
    <xdr:sp macro="" textlink="'Org Revenues'!M4">
      <xdr:nvSpPr>
        <xdr:cNvPr id="20" name="TextBox 19">
          <a:extLst>
            <a:ext uri="{FF2B5EF4-FFF2-40B4-BE49-F238E27FC236}">
              <a16:creationId xmlns:a16="http://schemas.microsoft.com/office/drawing/2014/main" id="{8C484619-4721-C781-133A-784BBC019291}"/>
            </a:ext>
          </a:extLst>
        </xdr:cNvPr>
        <xdr:cNvSpPr txBox="1"/>
      </xdr:nvSpPr>
      <xdr:spPr>
        <a:xfrm>
          <a:off x="5849056" y="1383594"/>
          <a:ext cx="2427111" cy="35418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5287ECB3-D962-4AAC-9648-36C846B99FB7}" type="TxLink">
            <a:rPr kumimoji="0" lang="en-US" sz="1800" b="0" i="0" u="none" strike="noStrike" kern="120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Benefactor: 27</a:t>
          </a:fld>
          <a:endParaRPr kumimoji="0" lang="en-US" sz="2400" b="0" i="0" u="none" strike="noStrike" kern="1200" cap="none" spc="0" normalizeH="0" baseline="0" noProof="0">
            <a:ln>
              <a:noFill/>
            </a:ln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355600</xdr:colOff>
      <xdr:row>10</xdr:row>
      <xdr:rowOff>101600</xdr:rowOff>
    </xdr:from>
    <xdr:to>
      <xdr:col>13</xdr:col>
      <xdr:colOff>374650</xdr:colOff>
      <xdr:row>12</xdr:row>
      <xdr:rowOff>88900</xdr:rowOff>
    </xdr:to>
    <xdr:sp macro="" textlink="'Org Revenues'!M5">
      <xdr:nvSpPr>
        <xdr:cNvPr id="21" name="TextBox 20">
          <a:extLst>
            <a:ext uri="{FF2B5EF4-FFF2-40B4-BE49-F238E27FC236}">
              <a16:creationId xmlns:a16="http://schemas.microsoft.com/office/drawing/2014/main" id="{59900078-21F3-5072-1205-A298749C5428}"/>
            </a:ext>
          </a:extLst>
        </xdr:cNvPr>
        <xdr:cNvSpPr txBox="1"/>
      </xdr:nvSpPr>
      <xdr:spPr>
        <a:xfrm>
          <a:off x="5842000" y="1943100"/>
          <a:ext cx="2457450" cy="3556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8379C83B-E2DD-4BB4-9E10-FF54ED0A0EE4}" type="TxLink">
            <a:rPr kumimoji="0" lang="en-US" sz="1800" b="0" i="0" u="none" strike="noStrike" kern="120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Gold: 64</a:t>
          </a:fld>
          <a:endParaRPr kumimoji="0" lang="en-US" sz="4000" b="0" i="0" u="none" strike="noStrike" kern="1200" cap="none" spc="0" normalizeH="0" baseline="0" noProof="0">
            <a:ln>
              <a:noFill/>
            </a:ln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368300</xdr:colOff>
      <xdr:row>13</xdr:row>
      <xdr:rowOff>82550</xdr:rowOff>
    </xdr:from>
    <xdr:to>
      <xdr:col>13</xdr:col>
      <xdr:colOff>368300</xdr:colOff>
      <xdr:row>15</xdr:row>
      <xdr:rowOff>69850</xdr:rowOff>
    </xdr:to>
    <xdr:sp macro="" textlink="'Org Revenues'!M6">
      <xdr:nvSpPr>
        <xdr:cNvPr id="22" name="TextBox 21">
          <a:extLst>
            <a:ext uri="{FF2B5EF4-FFF2-40B4-BE49-F238E27FC236}">
              <a16:creationId xmlns:a16="http://schemas.microsoft.com/office/drawing/2014/main" id="{D54E3E48-22FB-3912-FCC7-94FEE159AFF6}"/>
            </a:ext>
          </a:extLst>
        </xdr:cNvPr>
        <xdr:cNvSpPr txBox="1"/>
      </xdr:nvSpPr>
      <xdr:spPr>
        <a:xfrm>
          <a:off x="5854700" y="2476500"/>
          <a:ext cx="2438400" cy="3556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AC24A744-DAE8-47E3-8E6E-FC89BB2A39CD}" type="TxLink">
            <a:rPr kumimoji="0" lang="en-US" sz="1800" b="0" i="0" u="none" strike="noStrike" kern="120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Organization: 181</a:t>
          </a:fld>
          <a:endParaRPr kumimoji="0" lang="en-US" sz="4000" b="0" i="0" u="none" strike="noStrike" kern="1200" cap="none" spc="0" normalizeH="0" baseline="0" noProof="0">
            <a:ln>
              <a:noFill/>
            </a:ln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381000</xdr:colOff>
      <xdr:row>16</xdr:row>
      <xdr:rowOff>63500</xdr:rowOff>
    </xdr:from>
    <xdr:to>
      <xdr:col>13</xdr:col>
      <xdr:colOff>393700</xdr:colOff>
      <xdr:row>18</xdr:row>
      <xdr:rowOff>50800</xdr:rowOff>
    </xdr:to>
    <xdr:sp macro="" textlink="'Ind Revenues'!C27">
      <xdr:nvSpPr>
        <xdr:cNvPr id="23" name="TextBox 22">
          <a:extLst>
            <a:ext uri="{FF2B5EF4-FFF2-40B4-BE49-F238E27FC236}">
              <a16:creationId xmlns:a16="http://schemas.microsoft.com/office/drawing/2014/main" id="{4BEF8E6B-6E12-2ABF-E83A-8EDE566267E2}"/>
            </a:ext>
          </a:extLst>
        </xdr:cNvPr>
        <xdr:cNvSpPr txBox="1"/>
      </xdr:nvSpPr>
      <xdr:spPr>
        <a:xfrm>
          <a:off x="5867400" y="3009900"/>
          <a:ext cx="2451100" cy="3556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EBA25D14-8BF7-4A9C-A244-18231A1FEAF7}" type="TxLink">
            <a:rPr kumimoji="0" lang="en-US" sz="1800" b="0" i="0" u="none" strike="noStrike" kern="120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Individual: 118</a:t>
          </a:fld>
          <a:endParaRPr kumimoji="0" lang="en-US" sz="4000" b="0" i="0" u="none" strike="noStrike" kern="1200" cap="none" spc="0" normalizeH="0" baseline="0" noProof="0">
            <a:ln>
              <a:noFill/>
            </a:ln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387350</xdr:colOff>
      <xdr:row>19</xdr:row>
      <xdr:rowOff>19050</xdr:rowOff>
    </xdr:from>
    <xdr:to>
      <xdr:col>13</xdr:col>
      <xdr:colOff>406400</xdr:colOff>
      <xdr:row>21</xdr:row>
      <xdr:rowOff>6350</xdr:rowOff>
    </xdr:to>
    <xdr:sp macro="" textlink="Affiliate!I3">
      <xdr:nvSpPr>
        <xdr:cNvPr id="24" name="TextBox 23">
          <a:extLst>
            <a:ext uri="{FF2B5EF4-FFF2-40B4-BE49-F238E27FC236}">
              <a16:creationId xmlns:a16="http://schemas.microsoft.com/office/drawing/2014/main" id="{D2479B9D-B8C3-C9AB-2349-8043DC807BCE}"/>
            </a:ext>
          </a:extLst>
        </xdr:cNvPr>
        <xdr:cNvSpPr txBox="1"/>
      </xdr:nvSpPr>
      <xdr:spPr>
        <a:xfrm>
          <a:off x="5873750" y="3517900"/>
          <a:ext cx="2457450" cy="3556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DC4494B2-E521-4B40-A542-45F34FAE5810}" type="TxLink">
            <a:rPr kumimoji="0" lang="en-US" sz="1800" b="0" i="0" u="none" strike="noStrike" kern="120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Affiliate: 40</a:t>
          </a:fld>
          <a:endParaRPr kumimoji="0" lang="en-US" sz="1800" b="0" i="0" u="none" strike="noStrike" kern="1200" cap="none" spc="0" normalizeH="0" baseline="0" noProof="0">
            <a:ln>
              <a:noFill/>
            </a:ln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0.18978</cdr:x>
      <cdr:y>0.50532</cdr:y>
    </cdr:from>
    <cdr:to>
      <cdr:x>0.82573</cdr:x>
      <cdr:y>0.92178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814A61D-38E3-F046-D4BE-8161C52DCACC}"/>
            </a:ext>
          </a:extLst>
        </cdr:cNvPr>
        <cdr:cNvSpPr/>
      </cdr:nvSpPr>
      <cdr:spPr>
        <a:xfrm xmlns:a="http://schemas.openxmlformats.org/drawingml/2006/main">
          <a:off x="1179822" y="2173931"/>
          <a:ext cx="3953479" cy="1791663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endParaRPr lang="en-US" sz="1800" kern="12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0.17642</cdr:x>
      <cdr:y>0.56416</cdr:y>
    </cdr:from>
    <cdr:to>
      <cdr:x>0.84724</cdr:x>
      <cdr:y>0.95803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F5C95D7-E46D-BA5A-0821-2A772CF4F43B}"/>
            </a:ext>
          </a:extLst>
        </cdr:cNvPr>
        <cdr:cNvSpPr txBox="1"/>
      </cdr:nvSpPr>
      <cdr:spPr>
        <a:xfrm xmlns:a="http://schemas.openxmlformats.org/drawingml/2006/main">
          <a:off x="1349376" y="2219326"/>
          <a:ext cx="5130800" cy="154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0.35224</cdr:x>
      <cdr:y>0.66937</cdr:y>
    </cdr:from>
    <cdr:to>
      <cdr:x>0.65228</cdr:x>
      <cdr:y>0.7786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D55A8DE-4365-4992-8880-DBF6AA87D667}"/>
            </a:ext>
          </a:extLst>
        </cdr:cNvPr>
        <cdr:cNvSpPr txBox="1"/>
      </cdr:nvSpPr>
      <cdr:spPr>
        <a:xfrm xmlns:a="http://schemas.openxmlformats.org/drawingml/2006/main">
          <a:off x="2720976" y="2879726"/>
          <a:ext cx="2317750" cy="469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218722</xdr:colOff>
      <xdr:row>8</xdr:row>
      <xdr:rowOff>77610</xdr:rowOff>
    </xdr:from>
    <xdr:to>
      <xdr:col>9</xdr:col>
      <xdr:colOff>1029405</xdr:colOff>
      <xdr:row>26</xdr:row>
      <xdr:rowOff>96659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A8A50D-5E4B-EC7E-909D-065EA63CF8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853722</xdr:colOff>
      <xdr:row>28</xdr:row>
      <xdr:rowOff>168274</xdr:rowOff>
    </xdr:from>
    <xdr:to>
      <xdr:col>12</xdr:col>
      <xdr:colOff>22578</xdr:colOff>
      <xdr:row>46</xdr:row>
      <xdr:rowOff>84667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B2E625-6BFD-8152-E127-FA89ABE678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952500</xdr:colOff>
      <xdr:row>55</xdr:row>
      <xdr:rowOff>31750</xdr:rowOff>
    </xdr:from>
    <xdr:to>
      <xdr:col>9</xdr:col>
      <xdr:colOff>787400</xdr:colOff>
      <xdr:row>57</xdr:row>
      <xdr:rowOff>19050</xdr:rowOff>
    </xdr:to>
    <xdr:sp macro="" textlink="$C$12">
      <xdr:nvSpPr>
        <xdr:cNvPr id="6" name="TextBox 5">
          <a:extLst>
            <a:ext uri="{FF2B5EF4-FFF2-40B4-BE49-F238E27FC236}">
              <a16:creationId xmlns:a16="http://schemas.microsoft.com/office/drawing/2014/main" id="{8D11EF5C-1E04-D5DE-1538-58ED043E91A9}"/>
            </a:ext>
          </a:extLst>
        </xdr:cNvPr>
        <xdr:cNvSpPr txBox="1"/>
      </xdr:nvSpPr>
      <xdr:spPr>
        <a:xfrm>
          <a:off x="9296400" y="8318500"/>
          <a:ext cx="2190750" cy="35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9BE693DA-C8B5-48AF-9143-8A87AFBACF34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 algn="ctr"/>
            <a:t>Goal:  $3,671,730</a:t>
          </a:fld>
          <a:endParaRPr lang="en-US" sz="1400" kern="1200"/>
        </a:p>
      </xdr:txBody>
    </xdr:sp>
    <xdr:clientData/>
  </xdr:twoCellAnchor>
  <xdr:twoCellAnchor>
    <xdr:from>
      <xdr:col>7</xdr:col>
      <xdr:colOff>50800</xdr:colOff>
      <xdr:row>53</xdr:row>
      <xdr:rowOff>6350</xdr:rowOff>
    </xdr:from>
    <xdr:to>
      <xdr:col>9</xdr:col>
      <xdr:colOff>615950</xdr:colOff>
      <xdr:row>54</xdr:row>
      <xdr:rowOff>114300</xdr:rowOff>
    </xdr:to>
    <xdr:sp macro="" textlink="$B$44">
      <xdr:nvSpPr>
        <xdr:cNvPr id="7" name="TextBox 6">
          <a:extLst>
            <a:ext uri="{FF2B5EF4-FFF2-40B4-BE49-F238E27FC236}">
              <a16:creationId xmlns:a16="http://schemas.microsoft.com/office/drawing/2014/main" id="{973F9DA9-E326-2350-A6F7-8882220DFD28}"/>
            </a:ext>
          </a:extLst>
        </xdr:cNvPr>
        <xdr:cNvSpPr txBox="1"/>
      </xdr:nvSpPr>
      <xdr:spPr>
        <a:xfrm>
          <a:off x="9531350" y="7924800"/>
          <a:ext cx="1784350" cy="292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9CE8D6E-A750-4000-9BFA-79CF2116596F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/>
            <a:t>Current: $2,630,863, 72%</a:t>
          </a:fld>
          <a:endParaRPr lang="en-US" sz="1400" kern="1200"/>
        </a:p>
      </xdr:txBody>
    </xdr:sp>
    <xdr:clientData/>
  </xdr:twoCellAnchor>
  <xdr:twoCellAnchor>
    <xdr:from>
      <xdr:col>0</xdr:col>
      <xdr:colOff>1897943</xdr:colOff>
      <xdr:row>45</xdr:row>
      <xdr:rowOff>14815</xdr:rowOff>
    </xdr:from>
    <xdr:to>
      <xdr:col>6</xdr:col>
      <xdr:colOff>592666</xdr:colOff>
      <xdr:row>67</xdr:row>
      <xdr:rowOff>155220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D93695-14C1-D2C5-6A57-ECCBB72724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0.44839</cdr:x>
      <cdr:y>0.03525</cdr:y>
    </cdr:from>
    <cdr:to>
      <cdr:x>0.91435</cdr:x>
      <cdr:y>0.14401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A30B388-4915-9147-9851-E075ECF6067A}"/>
            </a:ext>
          </a:extLst>
        </cdr:cNvPr>
        <cdr:cNvSpPr txBox="1"/>
      </cdr:nvSpPr>
      <cdr:spPr>
        <a:xfrm xmlns:a="http://schemas.openxmlformats.org/drawingml/2006/main">
          <a:off x="3324226" y="111126"/>
          <a:ext cx="34544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0.52291</cdr:x>
      <cdr:y>0.06949</cdr:y>
    </cdr:from>
    <cdr:to>
      <cdr:x>0.91006</cdr:x>
      <cdr:y>0.16214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72FE7FE-49E6-21D1-1471-86AE87360600}"/>
            </a:ext>
          </a:extLst>
        </cdr:cNvPr>
        <cdr:cNvSpPr txBox="1"/>
      </cdr:nvSpPr>
      <cdr:spPr>
        <a:xfrm xmlns:a="http://schemas.openxmlformats.org/drawingml/2006/main">
          <a:off x="3876676" y="219076"/>
          <a:ext cx="2870200" cy="292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0.57909</cdr:x>
      <cdr:y>0.15143</cdr:y>
    </cdr:from>
    <cdr:to>
      <cdr:x>0.97249</cdr:x>
      <cdr:y>0.26019</cdr:y>
    </cdr:to>
    <cdr:sp macro="" textlink="'Revenue Breakdown'!$L$7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8172BE3-6EE2-6C4E-6726-FEDDCC480306}"/>
            </a:ext>
          </a:extLst>
        </cdr:cNvPr>
        <cdr:cNvSpPr txBox="1"/>
      </cdr:nvSpPr>
      <cdr:spPr>
        <a:xfrm xmlns:a="http://schemas.openxmlformats.org/drawingml/2006/main">
          <a:off x="2806537" y="502906"/>
          <a:ext cx="1906574" cy="3611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CAC85212-FF98-4A84-B0C4-7A3861F5CCC1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/>
            <a:t>Grand Total $2,630,863</a:t>
          </a:fld>
          <a:endParaRPr lang="en-US" sz="1400" kern="12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0.17642</cdr:x>
      <cdr:y>0.56416</cdr:y>
    </cdr:from>
    <cdr:to>
      <cdr:x>0.84724</cdr:x>
      <cdr:y>0.95803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F5C95D7-E46D-BA5A-0821-2A772CF4F43B}"/>
            </a:ext>
          </a:extLst>
        </cdr:cNvPr>
        <cdr:cNvSpPr txBox="1"/>
      </cdr:nvSpPr>
      <cdr:spPr>
        <a:xfrm xmlns:a="http://schemas.openxmlformats.org/drawingml/2006/main">
          <a:off x="1349376" y="2219326"/>
          <a:ext cx="5130800" cy="154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0.19469</cdr:x>
      <cdr:y>0.54157</cdr:y>
    </cdr:from>
    <cdr:to>
      <cdr:x>0.83064</cdr:x>
      <cdr:y>0.95803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814A61D-38E3-F046-D4BE-8161C52DCACC}"/>
            </a:ext>
          </a:extLst>
        </cdr:cNvPr>
        <cdr:cNvSpPr/>
      </cdr:nvSpPr>
      <cdr:spPr>
        <a:xfrm xmlns:a="http://schemas.openxmlformats.org/drawingml/2006/main">
          <a:off x="1489076" y="2130426"/>
          <a:ext cx="4864100" cy="1638300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endParaRPr lang="en-US" sz="1800" kern="12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0.35224</cdr:x>
      <cdr:y>0.66937</cdr:y>
    </cdr:from>
    <cdr:to>
      <cdr:x>0.65228</cdr:x>
      <cdr:y>0.7786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D55A8DE-4365-4992-8880-DBF6AA87D667}"/>
            </a:ext>
          </a:extLst>
        </cdr:cNvPr>
        <cdr:cNvSpPr txBox="1"/>
      </cdr:nvSpPr>
      <cdr:spPr>
        <a:xfrm xmlns:a="http://schemas.openxmlformats.org/drawingml/2006/main">
          <a:off x="2720976" y="2879726"/>
          <a:ext cx="2317750" cy="469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3</xdr:row>
      <xdr:rowOff>3175</xdr:rowOff>
    </xdr:from>
    <xdr:to>
      <xdr:col>9</xdr:col>
      <xdr:colOff>127000</xdr:colOff>
      <xdr:row>17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4426D8-4881-EBBA-2AC9-8F0CF87CA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</xdr:colOff>
      <xdr:row>7</xdr:row>
      <xdr:rowOff>15874</xdr:rowOff>
    </xdr:from>
    <xdr:to>
      <xdr:col>19</xdr:col>
      <xdr:colOff>457200</xdr:colOff>
      <xdr:row>24</xdr:row>
      <xdr:rowOff>31749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170049-FD24-91A6-174A-DCE6CCB6B8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25400</xdr:colOff>
      <xdr:row>7</xdr:row>
      <xdr:rowOff>152400</xdr:rowOff>
    </xdr:from>
    <xdr:to>
      <xdr:col>16</xdr:col>
      <xdr:colOff>368300</xdr:colOff>
      <xdr:row>9</xdr:row>
      <xdr:rowOff>57150</xdr:rowOff>
    </xdr:to>
    <xdr:sp macro="" textlink="$C$17">
      <xdr:nvSpPr>
        <xdr:cNvPr id="3" name="TextBox 2">
          <a:extLst>
            <a:ext uri="{FF2B5EF4-FFF2-40B4-BE49-F238E27FC236}">
              <a16:creationId xmlns:a16="http://schemas.microsoft.com/office/drawing/2014/main" id="{3A29942F-CE62-9979-97DE-203946C6F9E0}"/>
            </a:ext>
          </a:extLst>
        </xdr:cNvPr>
        <xdr:cNvSpPr txBox="1"/>
      </xdr:nvSpPr>
      <xdr:spPr>
        <a:xfrm>
          <a:off x="8985250" y="1441450"/>
          <a:ext cx="1562100" cy="273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25363D6-27A8-4F3E-B5E2-C756082F7C64}" type="TxLink">
            <a:rPr lang="en-US" sz="1100" b="0" i="0" u="none" strike="noStrike">
              <a:solidFill>
                <a:srgbClr val="000000"/>
              </a:solidFill>
              <a:effectLst/>
              <a:latin typeface="Aptos Narrow"/>
              <a:ea typeface="+mn-ea"/>
              <a:cs typeface="+mn-cs"/>
            </a:rPr>
            <a:pPr/>
            <a:t>Grand Total: $84,650</a:t>
          </a:fld>
          <a:endParaRPr lang="en-US" sz="1100" kern="12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609600</xdr:colOff>
      <xdr:row>15</xdr:row>
      <xdr:rowOff>22225</xdr:rowOff>
    </xdr:from>
    <xdr:to>
      <xdr:col>17</xdr:col>
      <xdr:colOff>107950</xdr:colOff>
      <xdr:row>30</xdr:row>
      <xdr:rowOff>3175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BE09E5-DF88-8D11-B678-BC9CEB6B60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443279</xdr:colOff>
      <xdr:row>2</xdr:row>
      <xdr:rowOff>96837</xdr:rowOff>
    </xdr:from>
    <xdr:to>
      <xdr:col>13</xdr:col>
      <xdr:colOff>63501</xdr:colOff>
      <xdr:row>17</xdr:row>
      <xdr:rowOff>92441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A6A4D4A-1A88-EB9A-BF84-730A7B633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nn Laakso" refreshedDate="45870.680748379629" createdVersion="8" refreshedVersion="8" minRefreshableVersion="3" recordCount="20" xr:uid="{619B6AF4-40B3-4ADD-B0CD-1A3A6410ACAF}">
  <cacheSource type="worksheet">
    <worksheetSource ref="A1:B21" sheet="draft_mem_goal_work"/>
  </cacheSource>
  <cacheFields count="2">
    <cacheField name="pct" numFmtId="9">
      <sharedItems containsSemiMixedTypes="0" containsString="0" containsNumber="1" minValue="0.1" maxValue="2" count="20">
        <n v="0.1"/>
        <n v="0.2"/>
        <n v="0.3"/>
        <n v="0.4"/>
        <n v="0.5"/>
        <n v="0.6"/>
        <n v="0.7"/>
        <n v="0.8"/>
        <n v="0.9"/>
        <n v="1"/>
        <n v="1.1000000000000001"/>
        <n v="1.2"/>
        <n v="1.3"/>
        <n v="1.4"/>
        <n v="1.5"/>
        <n v="1.6"/>
        <n v="1.7"/>
        <n v="1.8"/>
        <n v="1.9"/>
        <n v="2"/>
      </sharedItems>
    </cacheField>
    <cacheField name="total" numFmtId="0">
      <sharedItems containsSemiMixedTypes="0" containsString="0" containsNumber="1" minValue="0" maxValue="281453.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nn Laakso" refreshedDate="45870.680748611114" createdVersion="8" refreshedVersion="8" minRefreshableVersion="3" recordCount="305" xr:uid="{6531C421-DFCF-4ADD-A59F-D7283A494ABE}">
  <cacheSource type="worksheet">
    <worksheetSource name="Yrs_of_Membership"/>
  </cacheSource>
  <cacheFields count="11">
    <cacheField name="Account Name" numFmtId="0">
      <sharedItems/>
    </cacheField>
    <cacheField name="Total" numFmtId="0">
      <sharedItems containsSemiMixedTypes="0" containsString="0" containsNumber="1" minValue="0" maxValue="38100"/>
    </cacheField>
    <cacheField name="Posted Date" numFmtId="14">
      <sharedItems containsSemiMixedTypes="0" containsNonDate="0" containsDate="1" containsString="0" minDate="2025-01-02T00:00:00" maxDate="2025-08-02T00:00:00"/>
    </cacheField>
    <cacheField name="Receipt Number" numFmtId="0">
      <sharedItems containsSemiMixedTypes="0" containsString="0" containsNumber="1" containsInteger="1" minValue="13732" maxValue="16474"/>
    </cacheField>
    <cacheField name="Receipt Line ID" numFmtId="0">
      <sharedItems containsSemiMixedTypes="0" containsString="0" containsNumber="1" containsInteger="1" minValue="35083" maxValue="40664"/>
    </cacheField>
    <cacheField name="Member Since" numFmtId="14">
      <sharedItems containsSemiMixedTypes="0" containsNonDate="0" containsDate="1" containsString="0" minDate="1987-01-01T00:00:00" maxDate="2025-01-02T00:00:00"/>
    </cacheField>
    <cacheField name="Account Category" numFmtId="0">
      <sharedItems/>
    </cacheField>
    <cacheField name="Billing Country" numFmtId="0">
      <sharedItems/>
    </cacheField>
    <cacheField name="Item Name" numFmtId="0">
      <sharedItems/>
    </cacheField>
    <cacheField name="Paid_Month" numFmtId="0">
      <sharedItems containsSemiMixedTypes="0" containsString="0" containsNumber="1" containsInteger="1" minValue="1" maxValue="8"/>
    </cacheField>
    <cacheField name="Years Member" numFmtId="0">
      <sharedItems containsBlank="1" count="6">
        <s v="Over 15 Years"/>
        <s v="1 Year"/>
        <s v="2 to 5 Years"/>
        <s v="11 to 15 Years"/>
        <s v="6 to 10 Years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nn Laakso" refreshedDate="45992.440018287038" createdVersion="8" refreshedVersion="8" minRefreshableVersion="3" recordCount="434" xr:uid="{FE16941C-3309-4ACA-9454-7344CD00A789}">
  <cacheSource type="worksheet">
    <worksheetSource name="Accounts_with_Mem_and_Receipts"/>
  </cacheSource>
  <cacheFields count="12">
    <cacheField name="Account Name" numFmtId="0">
      <sharedItems count="422">
        <s v="1upHealth"/>
        <s v="AEGIS.net, Inc."/>
        <s v="AM Operating LLC"/>
        <s v="ARUP Laboratories, Inc."/>
        <s v="Abigail Watson Household"/>
        <s v="Academy of Nutrition &amp; Dietetics"/>
        <s v="Accenture"/>
        <s v="Acre Security"/>
        <s v="Adam Culbertson Household"/>
        <s v="Agence du Numérique en Santé (ANS)"/>
        <s v="Agence eSante Luxembourg"/>
        <s v="Alabama Department of Public Health"/>
        <s v="Alex Dzeda Household"/>
        <s v="Alliance Health"/>
        <s v="Alphora"/>
        <s v="Altarum"/>
        <s v="American College of Physicians"/>
        <s v="American College of Radiology"/>
        <s v="American Dental Association"/>
        <s v="American Heart Association"/>
        <s v="American Hospital Association"/>
        <s v="American Medical Association"/>
        <s v="Anand Raghavan Household"/>
        <s v="Andrea Fourquet Household"/>
        <s v="Andrew Zurn Household"/>
        <s v="Aneesh Chopra Household"/>
        <s v="Anna Taylor Household"/>
        <s v="Apelon, Inc."/>
        <s v="Apple Inc."/>
        <s v="Applied PilotFish Healthcare Integration"/>
        <s v="Applied Research Works"/>
        <s v="ArcheSys Inc."/>
        <s v="Arkansas Children's Hospital"/>
        <s v="Azuba Corporation"/>
        <s v="Beata Piehl Household"/>
        <s v="Bellese Technologies"/>
        <s v="Ben Allegretti Consulting"/>
        <s v="Benedictine Health System"/>
        <s v="Best Option Healthcare PR"/>
        <s v="Bill G Lakenan Household"/>
        <s v="Black Duck Software Oy"/>
        <s v="Blessing Hospital"/>
        <s v="Blue Cross Blue Shield Association"/>
        <s v="Blue Cross Blue Shield of South Carolina"/>
        <s v="Blue Cross and Blue Shield of Kansas"/>
        <s v="BlueCross BlueShield of Alabama"/>
        <s v="Boston Medical Center"/>
        <s v="Brad Genereaux Household"/>
        <s v="Brian Handspicker Household"/>
        <s v="Brian Pech Household"/>
        <s v="By Light Professional IT Services LLC"/>
        <s v="CA Department of Public Health"/>
        <s v="CAL2CAL Corporation"/>
        <s v="CDISC"/>
        <s v="CRISP Shared Services"/>
        <s v="CU Anschutz Medical Campus"/>
        <s v="CVS Health"/>
        <s v="CYSNET LLC"/>
        <s v="Cambia Health Solutions"/>
        <s v="CareQuest Institute for Oral Health"/>
        <s v="Caristix"/>
        <s v="Carradora Health, Inc."/>
        <s v="Catherine Chronaki Household"/>
        <s v="Cedar Cares, Inc."/>
        <s v="Cedars-Sinai Medical Center"/>
        <s v="Centers for Medicare &amp; Medicaid Services"/>
        <s v="Centrum e-Zdrowia (e-Health Centre)"/>
        <s v="Chad Albert Household"/>
        <s v="Children's Hospital of Philadelphia"/>
        <s v="Children's Mercy Hospitals and Clinics"/>
        <s v="Chris Millet Household"/>
        <s v="Clinical Architecture LLC"/>
        <s v="Clinicomp, Intl"/>
        <s v="Cloud Software Group"/>
        <s v="Coditas Solutions LLP"/>
        <s v="Cognizant"/>
        <s v="Computable Publishing LLC"/>
        <s v="Computrition, Inc."/>
        <s v="Concentra"/>
        <s v="Connecticut Department of Public Health"/>
        <s v="Contexture"/>
        <s v="Cotiviti"/>
        <s v="Council of State and Territorial Epidemiologists"/>
        <s v="CyncHealth"/>
        <s v="Daniel Allen Household"/>
        <s v="Daniel Ries Household"/>
        <s v="Danielle Leighton Household"/>
        <s v="Dataware Sdn Bhd"/>
        <s v="Davera Gabriel Household"/>
        <s v="David Pyke Household"/>
        <s v="Deer Creek Pharmacy Services"/>
        <s v="Deloitte Consulting LLP"/>
        <s v="Digital HIE Inc"/>
        <s v="DirectTrust"/>
        <s v="Dmitry Maslennikov Household"/>
        <s v="Dogwood Health Consulting Inc."/>
        <s v="Doug DeShazo Household"/>
        <s v="Drummond Group"/>
        <s v="Dynamic Health IT, Inc."/>
        <s v="EMI Advisors LLC"/>
        <s v="EMR Direct"/>
        <s v="Ed Donaldson Household"/>
        <s v="Eden Muinamo Household"/>
        <s v="Elba Peralta-Cole Household"/>
        <s v="Elevance Health"/>
        <s v="Elimu Informatics Inc."/>
        <s v="EnableCare LLC"/>
        <s v="Envi"/>
        <s v="European Medicines Agency"/>
        <s v="Eva Keeling Household"/>
        <s v="Evernorth"/>
        <s v="Fabian Merges Household"/>
        <s v="Firely USA"/>
        <s v="Flatiron Health"/>
        <s v="Florida Department of Health"/>
        <s v="Floyd Eisenberg Household"/>
        <s v="Food and Drug Administration"/>
        <s v="Frank McKinney Group LLC"/>
        <s v="Frost Systems"/>
        <s v="GE Healthcare"/>
        <s v="GTRI at GT"/>
        <s v="Gail Winters Household"/>
        <s v="Gary Blatt Household"/>
        <s v="Gary Dickinson Household"/>
        <s v="Gaurav Pradhan Household"/>
        <s v="GigaTECH LLC"/>
        <s v="Goldbelt"/>
        <s v="GoodRx"/>
        <s v="Google"/>
        <s v="Gravity Project"/>
        <s v="Greenway Health"/>
        <s v="HF Management Services"/>
        <s v="HIMSS"/>
        <s v="HL7 Argentina"/>
        <s v="HL7 Australia"/>
        <s v="HL7 Austria"/>
        <s v="HL7 Belgium"/>
        <s v="HL7 Brazil"/>
        <s v="HL7 Canada"/>
        <s v="HL7 Chile"/>
        <s v="HL7 China"/>
        <s v="HL7 Colombia"/>
        <s v="HL7 Croatia"/>
        <s v="HL7 Czech Republic"/>
        <s v="HL7 Denmark"/>
        <s v="HL7 Finland"/>
        <s v="HL7 France"/>
        <s v="HL7 Germany"/>
        <s v="HL7 Greece"/>
        <s v="HL7 Hong Kong"/>
        <s v="HL7 India"/>
        <s v="HL7 Italy"/>
        <s v="HL7 Japan"/>
        <s v="HL7 Korea"/>
        <s v="HL7 Mexico"/>
        <s v="HL7 Netherlands"/>
        <s v="HL7 New Zealand"/>
        <s v="HL7 Norway"/>
        <s v="HL7 Philippines"/>
        <s v="HL7 Poland"/>
        <s v="HL7 Portugal"/>
        <s v="HL7 Romania"/>
        <s v="HL7 Russia"/>
        <s v="HL7 Saudi Arabia"/>
        <s v="HL7 Slovakia"/>
        <s v="HL7 Slovenia"/>
        <s v="HL7 Spain"/>
        <s v="HL7 Sweden"/>
        <s v="HL7 Switzerland"/>
        <s v="HL7 Taiwan"/>
        <s v="HL7 UAE"/>
        <s v="HL7 UK"/>
        <s v="HL7 Ukraine"/>
        <s v="Harkarandeep Singh Bhandal Household"/>
        <s v="Hausam Consulting LLC"/>
        <s v="Health Care Service Corporation"/>
        <s v="Health Chain"/>
        <s v="Health Gorilla"/>
        <s v="Health and Welfare Information Systems Centre"/>
        <s v="HealthLX"/>
        <s v="HealthTrio, LLC"/>
        <s v="Healthcare Logistics Ltd"/>
        <s v="Healthmap Solutions"/>
        <s v="Holistic Healthcare Solutions, LLC."/>
        <s v="Humana Inc."/>
        <s v="Humanized Health Consulting"/>
        <s v="ICH"/>
        <s v="ICHOM"/>
        <s v="INDRANEEL BODDU Household"/>
        <s v="IPRO"/>
        <s v="Indian Health Service"/>
        <s v="InductiveHealth Informatics"/>
        <s v="Infor(US), LLC"/>
        <s v="Intelligent Medical Objects (IMO)"/>
        <s v="InterSystems"/>
        <s v="Interbit Data, Inc."/>
        <s v="Intrepid Ascent"/>
        <s v="Iowa Department of Health and Human Services"/>
        <s v="Irina Angel Household"/>
        <s v="Isaac Eigner Household"/>
        <s v="Isak Computing"/>
        <s v="Ivan Posthumus Household"/>
        <s v="J Michael Consulting, LLC"/>
        <s v="J. Marc Overhage Household"/>
        <s v="Jalil Akhtar Household"/>
        <s v="James Rollins Household"/>
        <s v="Jeff Rochon Household"/>
        <s v="Jennifer Herrmann Household"/>
        <s v="Jennifer Marshall Household"/>
        <s v="Jingyuan Xu Household"/>
        <s v="Johan Gangsås Hole Household"/>
        <s v="John DAmore Household"/>
        <s v="John Hatem Household"/>
        <s v="John Hinch Household"/>
        <s v="John Ritter Household"/>
        <s v="Johns Hopkins Hospital"/>
        <s v="Jonathan Whitby Household"/>
        <s v="Jonathan Zimmerling Household"/>
        <s v="Kaiser Permanente"/>
        <s v="Karen Ashton Household"/>
        <s v="Ken McCaslin Household"/>
        <s v="Kevin O'Donnell Household"/>
        <s v="KeyOn Inc."/>
        <s v="Kiser Healthcare Solutions, LLC"/>
        <s v="KlearTrust"/>
        <s v="Korea Health Information Service"/>
        <s v="Laboratory Corporation of America"/>
        <s v="Labware, Inc."/>
        <s v="Lantana Consulting Group"/>
        <s v="Laura Ozak Household"/>
        <s v="Lauren Drobach Household"/>
        <s v="Laurie Raske Household"/>
        <s v="Leidos, Inc."/>
        <s v="Lenel James Household"/>
        <s v="Li Hui-Lee Household"/>
        <s v="Lindy Buhl Household"/>
        <s v="Lisa Nelson Household"/>
        <s v="Logibec"/>
        <s v="Lori Reed-Fourquet Household"/>
        <s v="MASAHARU NAKAYAMA Household"/>
        <s v="MD Partners, Inc."/>
        <s v="MEDENT"/>
        <s v="MEDITECH, Inc"/>
        <s v="MGear"/>
        <s v="Mamata Thakkar Household"/>
        <s v="Manijeh Berenji Household"/>
        <s v="Maria Michaels Household"/>
        <s v="Marina Ghisi Household"/>
        <s v="Mark Roberts Household"/>
        <s v="Maryaline Catillon Household"/>
        <s v="Mass General Brigham"/>
        <s v="Massachusetts Health Data Consortium"/>
        <s v="Mathematica Policy Research"/>
        <s v="Mayo Clinic"/>
        <s v="McKesson Corporation"/>
        <s v="MedCom"/>
        <s v="MedicaSoft"/>
        <s v="Medical Networks, LLC"/>
        <s v="Mediclinic Southern Africa"/>
        <s v="Medicomp Systems, Inc."/>
        <s v="Medtronic"/>
        <s v="Melva Peters Household"/>
        <s v="Merck &amp; Co. Inc."/>
        <s v="Michael Watkins Household"/>
        <s v="Michele Trofatter Household"/>
        <s v="Michelle Currie Household"/>
        <s v="Michigan Department of Health and Human Services"/>
        <s v="Minnesota Department of Health"/>
        <s v="Mladen Uzelac Household"/>
        <s v="ModMed"/>
        <s v="Mosaic Life Tech, LLC"/>
        <s v="NAACCR"/>
        <s v="NCQA"/>
        <s v="NICTIZ"/>
        <s v="NIH/Department of Clinical Research Informatics"/>
        <s v="NJDOH"/>
        <s v="NYCHHC - EITS"/>
        <s v="Nathan Davis Household"/>
        <s v="National Association of Dental Plans"/>
        <s v="National Cancer Institute"/>
        <s v="National Institute of Standards and Technology"/>
        <s v="National Library of Medicine"/>
        <s v="National Marrow Donor Program"/>
        <s v="Nava"/>
        <s v="Neantix Inc"/>
        <s v="New Fields Technologies LLC"/>
        <s v="New York State Department of Health"/>
        <s v="New York-Presbyterian Hospital"/>
        <s v="Next Level Health Innovations"/>
        <s v="NextGen Healthcare Information Systems, Inc."/>
        <s v="Nicole Miller Household"/>
        <s v="NoMoreClipboard.com"/>
        <s v="Northwestern Medicine"/>
        <s v="OR.NET"/>
        <s v="Oddball, Inc."/>
        <s v="Office of the National Coordinator for Health IT"/>
        <s v="Oklahoma State Department of Health"/>
        <s v="Optimum eHealth"/>
        <s v="Optum"/>
        <s v="Oracle"/>
        <s v="Oregon Public Health Division"/>
        <s v="Patient Centric Solutions"/>
        <s v="Patient Resource LLC"/>
        <s v="Peter Muir Household"/>
        <s v="Pfizer"/>
        <s v="Pharmaceuticals &amp; Medical Devices Agency"/>
        <s v="Philips Healthcare"/>
        <s v="PointClickCare"/>
        <s v="Prasanna Muthukrishnan Lakshmipathy Household"/>
        <s v="Premier Healthcare Alliance"/>
        <s v="Professional Laboratory Management, Inc."/>
        <s v="Prometheus Computing LLC"/>
        <s v="Purplelab"/>
        <s v="Quest Diagnostics, Incorporated"/>
        <s v="RTI International"/>
        <s v="Rachel Foerster Household"/>
        <s v="Rachel Richesson Household"/>
        <s v="Rady Children's Hospital"/>
        <s v="Ready Computing LLC"/>
        <s v="Redington-Fairview Hospital"/>
        <s v="Reed Gelzer Household"/>
        <s v="Reed Technology and Information Services Inc."/>
        <s v="Regenstrief Institute, Inc."/>
        <s v="Registry Clearinghouse"/>
        <s v="Remo Health"/>
        <s v="RevDoc, LLC"/>
        <s v="Rhapsody"/>
        <s v="Richard Miles Household"/>
        <s v="Robert Jenders Household"/>
        <s v="Roche Diagnostics International Ltd."/>
        <s v="Rosch Visionary Systems"/>
        <s v="Runyu Wu Household"/>
        <s v="Ryan Hess Household"/>
        <s v="Ryan Howells Household"/>
        <s v="SLI Compliance"/>
        <s v="SMART Health IT"/>
        <s v="Safe Health Systems, Inc."/>
        <s v="Safe Software Inc."/>
        <s v="Sam Schifman Household"/>
        <s v="Samvit Solutions"/>
        <s v="Scott Fradkin Household"/>
        <s v="Seqster"/>
        <s v="ServiceNow"/>
        <s v="Shay Downey-Forsythe Household"/>
        <s v="Skyward IT Solutions"/>
        <s v="SoftDev Incorporated"/>
        <s v="Solventum"/>
        <s v="Sonrisa Consulting"/>
        <s v="Stan Huff Household"/>
        <s v="Stanford Children's Health"/>
        <s v="StationMD, PC"/>
        <s v="Stedi"/>
        <s v="Stefania Paperini Household"/>
        <s v="Steven Krchniak Household"/>
        <s v="Stratevora"/>
        <s v="Surescripts"/>
        <s v="Susan Matney Household"/>
        <s v="Technology &amp; Transformation, HSE"/>
        <s v="Telligen"/>
        <s v="Tennessee Department of Health"/>
        <s v="TerraFrame, Inc."/>
        <s v="Tetra Fields LLC"/>
        <s v="Texas Department of State Health Services"/>
        <s v="The CBORD Group, Inc"/>
        <s v="The Joint Commission"/>
        <s v="The SIMI Group, Inc."/>
        <s v="The Sequoia Project"/>
        <s v="Therap Services LLC"/>
        <s v="Topology Health"/>
        <s v="Tracy Kovalchik Household"/>
        <s v="Trisotech"/>
        <s v="U.S. Department of Veterans Affairs"/>
        <s v="UC Davis Health"/>
        <s v="UK HealthCare"/>
        <s v="UNC School of Medicine"/>
        <s v="USAging"/>
        <s v="USC/CHLA"/>
        <s v="UW Medicine Information Technology Services"/>
        <s v="United Physicians"/>
        <s v="Univ of TX Health Science Center San Antonio"/>
        <s v="University of AL at Birmingham"/>
        <s v="University of Illinois at Chicago Medical Center"/>
        <s v="University of Minnesota"/>
        <s v="University of Missouri"/>
        <s v="University of Nebraska Medical Center"/>
        <s v="University of Utah Health Care"/>
        <s v="VICO Open Modeling"/>
        <s v="Varian Medical Systems, Inc."/>
        <s v="Veeva Systems"/>
        <s v="Veradigm"/>
        <s v="Verily"/>
        <s v="Vermonster"/>
        <s v="Vernetzt, LLC"/>
        <s v="Virginia Lorenzi Household"/>
        <s v="WAYSTAR"/>
        <s v="WI Department of Health Services"/>
        <s v="WNY HEALTHeLINK"/>
        <s v="WPS Health Solutions"/>
        <s v="WSO2"/>
        <s v="Washington State Department of Health"/>
        <s v="WaveOne Associates Inc."/>
        <s v="West Coast Informatics"/>
        <s v="Westat"/>
        <s v="Wolters Kluwer Health"/>
        <s v="WorldVistA"/>
        <s v="XIFIN, Inc."/>
        <s v="XchangeWorx"/>
        <s v="Yanick Gaudet Household"/>
        <s v="Yardi Systems, Inc."/>
        <s v="Zocdoc"/>
        <s v="Zus Health"/>
        <s v="athenahealth"/>
        <s v="eClinicalWorks"/>
        <s v="ezEMRx"/>
        <s v="tantustech"/>
        <s v="tuuthfairy, Inc."/>
        <s v="Duke Clinical &amp; Translational Science Institute" u="1"/>
        <s v="HL7 Central America &amp; Dominican Republic" u="1"/>
        <s v="HL7 Ecuador" u="1"/>
        <s v="HL7 Peru" u="1"/>
        <s v="HL7 Singapore" u="1"/>
        <s v="Aetna" u="1"/>
      </sharedItems>
    </cacheField>
    <cacheField name="Total" numFmtId="0">
      <sharedItems containsSemiMixedTypes="0" containsString="0" containsNumber="1" minValue="75" maxValue="38100"/>
    </cacheField>
    <cacheField name="Posted Date" numFmtId="14">
      <sharedItems containsSemiMixedTypes="0" containsNonDate="0" containsDate="1" containsString="0" minDate="2025-01-02T00:00:00" maxDate="2025-11-27T00:00:00" count="206">
        <d v="2025-07-11T00:00:00"/>
        <d v="2025-09-05T00:00:00"/>
        <d v="2025-08-15T00:00:00"/>
        <d v="2025-04-01T00:00:00"/>
        <d v="2025-08-22T00:00:00"/>
        <d v="2025-11-14T00:00:00"/>
        <d v="2025-02-14T00:00:00"/>
        <d v="2025-09-17T00:00:00"/>
        <d v="2025-03-14T00:00:00"/>
        <d v="2025-04-22T00:00:00"/>
        <d v="2025-07-08T00:00:00"/>
        <d v="2025-08-21T00:00:00"/>
        <d v="2025-10-01T00:00:00"/>
        <d v="2025-07-28T00:00:00"/>
        <d v="2025-04-11T00:00:00"/>
        <d v="2025-04-03T00:00:00"/>
        <d v="2025-03-06T00:00:00"/>
        <d v="2025-05-23T00:00:00"/>
        <d v="2025-09-02T00:00:00"/>
        <d v="2025-03-28T00:00:00"/>
        <d v="2025-11-03T00:00:00"/>
        <d v="2025-07-16T00:00:00"/>
        <d v="2025-03-29T00:00:00"/>
        <d v="2025-08-06T00:00:00"/>
        <d v="2025-03-12T00:00:00"/>
        <d v="2025-09-11T00:00:00"/>
        <d v="2025-10-08T00:00:00"/>
        <d v="2025-06-03T00:00:00"/>
        <d v="2025-10-10T00:00:00"/>
        <d v="2025-08-20T00:00:00"/>
        <d v="2025-01-27T00:00:00"/>
        <d v="2025-01-07T00:00:00"/>
        <d v="2025-09-10T00:00:00"/>
        <d v="2025-03-18T00:00:00"/>
        <d v="2025-04-21T00:00:00"/>
        <d v="2025-07-31T00:00:00"/>
        <d v="2025-01-09T00:00:00"/>
        <d v="2025-03-24T00:00:00"/>
        <d v="2025-05-07T00:00:00"/>
        <d v="2025-10-24T00:00:00"/>
        <d v="2025-10-17T00:00:00"/>
        <d v="2025-08-09T00:00:00"/>
        <d v="2025-06-19T00:00:00"/>
        <d v="2025-01-17T00:00:00"/>
        <d v="2025-01-24T00:00:00"/>
        <d v="2025-06-20T00:00:00"/>
        <d v="2025-02-19T00:00:00"/>
        <d v="2025-11-17T00:00:00"/>
        <d v="2025-07-25T00:00:00"/>
        <d v="2025-05-22T00:00:00"/>
        <d v="2025-10-16T00:00:00"/>
        <d v="2025-10-31T00:00:00"/>
        <d v="2025-01-06T00:00:00"/>
        <d v="2025-05-27T00:00:00"/>
        <d v="2025-09-01T00:00:00"/>
        <d v="2025-05-05T00:00:00"/>
        <d v="2025-07-07T00:00:00"/>
        <d v="2025-07-29T00:00:00"/>
        <d v="2025-08-31T00:00:00"/>
        <d v="2025-06-05T00:00:00"/>
        <d v="2025-06-08T00:00:00"/>
        <d v="2025-01-14T00:00:00"/>
        <d v="2025-08-28T00:00:00"/>
        <d v="2025-02-27T00:00:00"/>
        <d v="2025-07-17T00:00:00"/>
        <d v="2025-11-24T00:00:00"/>
        <d v="2025-06-13T00:00:00"/>
        <d v="2025-01-13T00:00:00"/>
        <d v="2025-09-12T00:00:00"/>
        <d v="2025-02-16T00:00:00"/>
        <d v="2025-02-18T00:00:00"/>
        <d v="2025-01-29T00:00:00"/>
        <d v="2025-02-25T00:00:00"/>
        <d v="2025-11-26T00:00:00"/>
        <d v="2025-03-26T00:00:00"/>
        <d v="2025-09-29T00:00:00"/>
        <d v="2025-10-07T00:00:00"/>
        <d v="2025-01-31T00:00:00"/>
        <d v="2025-11-21T00:00:00"/>
        <d v="2025-06-09T00:00:00"/>
        <d v="2025-09-03T00:00:00"/>
        <d v="2025-01-20T00:00:00"/>
        <d v="2025-10-03T00:00:00"/>
        <d v="2025-11-19T00:00:00"/>
        <d v="2025-05-30T00:00:00"/>
        <d v="2025-07-23T00:00:00"/>
        <d v="2025-08-25T00:00:00"/>
        <d v="2025-01-12T00:00:00"/>
        <d v="2025-06-25T00:00:00"/>
        <d v="2025-04-14T00:00:00"/>
        <d v="2025-01-21T00:00:00"/>
        <d v="2025-01-30T00:00:00"/>
        <d v="2025-08-01T00:00:00"/>
        <d v="2025-09-21T00:00:00"/>
        <d v="2025-07-03T00:00:00"/>
        <d v="2025-08-12T00:00:00"/>
        <d v="2025-05-26T00:00:00"/>
        <d v="2025-03-20T00:00:00"/>
        <d v="2025-02-04T00:00:00"/>
        <d v="2025-01-08T00:00:00"/>
        <d v="2025-05-20T00:00:00"/>
        <d v="2025-03-27T00:00:00"/>
        <d v="2025-10-02T00:00:00"/>
        <d v="2025-04-08T00:00:00"/>
        <d v="2025-03-21T00:00:00"/>
        <d v="2025-06-11T00:00:00"/>
        <d v="2025-03-25T00:00:00"/>
        <d v="2025-04-15T00:00:00"/>
        <d v="2025-03-31T00:00:00"/>
        <d v="2025-02-24T00:00:00"/>
        <d v="2025-05-28T00:00:00"/>
        <d v="2025-04-29T00:00:00"/>
        <d v="2025-04-04T00:00:00"/>
        <d v="2025-06-23T00:00:00"/>
        <d v="2025-08-04T00:00:00"/>
        <d v="2025-04-02T00:00:00"/>
        <d v="2025-02-07T00:00:00"/>
        <d v="2025-07-02T00:00:00"/>
        <d v="2025-05-16T00:00:00"/>
        <d v="2025-10-29T00:00:00"/>
        <d v="2025-05-12T00:00:00"/>
        <d v="2025-02-26T00:00:00"/>
        <d v="2025-11-11T00:00:00"/>
        <d v="2025-06-12T00:00:00"/>
        <d v="2025-06-26T00:00:00"/>
        <d v="2025-09-18T00:00:00"/>
        <d v="2025-04-30T00:00:00"/>
        <d v="2025-08-05T00:00:00"/>
        <d v="2025-03-07T00:00:00"/>
        <d v="2025-03-04T00:00:00"/>
        <d v="2025-05-08T00:00:00"/>
        <d v="2025-04-18T00:00:00"/>
        <d v="2025-10-20T00:00:00"/>
        <d v="2025-06-22T00:00:00"/>
        <d v="2025-03-19T00:00:00"/>
        <d v="2025-01-10T00:00:00"/>
        <d v="2025-07-30T00:00:00"/>
        <d v="2025-08-29T00:00:00"/>
        <d v="2025-02-06T00:00:00"/>
        <d v="2025-11-07T00:00:00"/>
        <d v="2025-07-24T00:00:00"/>
        <d v="2025-02-20T00:00:00"/>
        <d v="2025-01-28T00:00:00"/>
        <d v="2025-08-26T00:00:00"/>
        <d v="2025-05-24T00:00:00"/>
        <d v="2025-11-13T00:00:00"/>
        <d v="2025-09-16T00:00:00"/>
        <d v="2025-04-20T00:00:00"/>
        <d v="2025-11-02T00:00:00"/>
        <d v="2025-02-17T00:00:00"/>
        <d v="2025-05-09T00:00:00"/>
        <d v="2025-04-16T00:00:00"/>
        <d v="2025-06-10T00:00:00"/>
        <d v="2025-02-11T00:00:00"/>
        <d v="2025-07-18T00:00:00"/>
        <d v="2025-10-06T00:00:00"/>
        <d v="2025-07-01T00:00:00"/>
        <d v="2025-02-21T00:00:00"/>
        <d v="2025-11-12T00:00:00"/>
        <d v="2025-05-29T00:00:00"/>
        <d v="2025-08-11T00:00:00"/>
        <d v="2025-05-14T00:00:00"/>
        <d v="2025-07-26T00:00:00"/>
        <d v="2025-02-12T00:00:00"/>
        <d v="2025-01-25T00:00:00"/>
        <d v="2025-06-06T00:00:00"/>
        <d v="2025-03-22T00:00:00"/>
        <d v="2025-07-14T00:00:00"/>
        <d v="2025-03-11T00:00:00"/>
        <d v="2025-11-18T00:00:00"/>
        <d v="2025-04-09T00:00:00"/>
        <d v="2025-06-30T00:00:00"/>
        <d v="2025-11-05T00:00:00"/>
        <d v="2025-01-16T00:00:00"/>
        <d v="2025-10-09T00:00:00"/>
        <d v="2025-11-20T00:00:00"/>
        <d v="2025-03-10T00:00:00"/>
        <d v="2025-05-01T00:00:00"/>
        <d v="2025-03-05T00:00:00"/>
        <d v="2025-07-22T00:00:00"/>
        <d v="2025-11-10T00:00:00"/>
        <d v="2025-09-23T00:00:00"/>
        <d v="2025-06-04T00:00:00"/>
        <d v="2025-08-19T00:00:00"/>
        <d v="2025-05-21T00:00:00"/>
        <d v="2025-09-08T00:00:00"/>
        <d v="2025-11-04T00:00:00"/>
        <d v="2025-03-17T00:00:00"/>
        <d v="2025-07-15T00:00:00"/>
        <d v="2025-10-14T00:00:00"/>
        <d v="2025-01-22T00:00:00"/>
        <d v="2025-10-21T00:00:00"/>
        <d v="2025-09-24T00:00:00"/>
        <d v="2025-06-27T00:00:00"/>
        <d v="2025-03-09T00:00:00"/>
        <d v="2025-01-03T00:00:00"/>
        <d v="2025-06-17T00:00:00"/>
        <d v="2025-01-02T00:00:00"/>
        <d v="2025-05-19T00:00:00"/>
        <d v="2025-04-07T00:00:00"/>
        <d v="2025-05-02T00:00:00"/>
        <d v="2025-11-06T00:00:00"/>
        <d v="2025-02-10T00:00:00"/>
        <d v="2025-10-28T00:00:00"/>
        <d v="2025-04-28T00:00:00"/>
        <d v="2025-07-04T00:00:00" u="1"/>
      </sharedItems>
      <fieldGroup par="11"/>
    </cacheField>
    <cacheField name="Receipt Number" numFmtId="0">
      <sharedItems containsSemiMixedTypes="0" containsString="0" containsNumber="1" containsInteger="1" minValue="13732" maxValue="17858"/>
    </cacheField>
    <cacheField name="Receipt Line ID" numFmtId="0">
      <sharedItems containsSemiMixedTypes="0" containsString="0" containsNumber="1" containsInteger="1" minValue="35083" maxValue="43622"/>
    </cacheField>
    <cacheField name="Member Since" numFmtId="14">
      <sharedItems containsSemiMixedTypes="0" containsNonDate="0" containsDate="1" containsString="0" minDate="1987-01-01T00:00:00" maxDate="2025-11-22T00:00:00"/>
    </cacheField>
    <cacheField name="Account Category" numFmtId="0">
      <sharedItems/>
    </cacheField>
    <cacheField name="Billing Country" numFmtId="0">
      <sharedItems/>
    </cacheField>
    <cacheField name="Item Name" numFmtId="0">
      <sharedItems count="7">
        <s v="Organizational Membership"/>
        <s v="Gold Membership"/>
        <s v="Individual Membership"/>
        <s v="Benefactor Membership"/>
        <s v="Retiree Membership"/>
        <s v="Student Membership"/>
        <s v="Affiliate Membership"/>
      </sharedItems>
    </cacheField>
    <cacheField name="Paid_Month" numFmtId="0">
      <sharedItems containsSemiMixedTypes="0" containsString="0" containsNumber="1" containsInteger="1" minValue="1" maxValue="11"/>
    </cacheField>
    <cacheField name="Days (Posted Date)" numFmtId="0" databaseField="0">
      <fieldGroup base="2">
        <rangePr groupBy="days" startDate="2025-01-02T00:00:00" endDate="2025-11-27T00:00:00"/>
        <groupItems count="368">
          <s v="&lt;1/2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/27/2025"/>
        </groupItems>
      </fieldGroup>
    </cacheField>
    <cacheField name="Months (Posted Date)" numFmtId="0" databaseField="0">
      <fieldGroup base="2">
        <rangePr groupBy="months" startDate="2025-01-02T00:00:00" endDate="2025-11-27T00:00:00"/>
        <groupItems count="14">
          <s v="&lt;1/2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2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nn Laakso" refreshedDate="45992.440206481479" createdVersion="8" refreshedVersion="8" minRefreshableVersion="3" recordCount="118" xr:uid="{C8EFC42E-61DF-4935-964B-0132AE937AF3}">
  <cacheSource type="worksheet">
    <worksheetSource name="Individual"/>
  </cacheSource>
  <cacheFields count="10">
    <cacheField name="Account Name" numFmtId="0">
      <sharedItems/>
    </cacheField>
    <cacheField name="Total" numFmtId="0">
      <sharedItems containsSemiMixedTypes="0" containsString="0" containsNumber="1" containsInteger="1" minValue="75" maxValue="775"/>
    </cacheField>
    <cacheField name="Posted Date" numFmtId="14">
      <sharedItems containsSemiMixedTypes="0" containsNonDate="0" containsDate="1" containsString="0" minDate="2025-01-07T00:00:00" maxDate="2025-11-27T00:00:00"/>
    </cacheField>
    <cacheField name="Receipt Number" numFmtId="0">
      <sharedItems containsSemiMixedTypes="0" containsString="0" containsNumber="1" containsInteger="1" minValue="13794" maxValue="17847"/>
    </cacheField>
    <cacheField name="Receipt Line ID" numFmtId="0">
      <sharedItems containsSemiMixedTypes="0" containsString="0" containsNumber="1" containsInteger="1" minValue="35152" maxValue="43612"/>
    </cacheField>
    <cacheField name="Member Since" numFmtId="14">
      <sharedItems containsSemiMixedTypes="0" containsNonDate="0" containsDate="1" containsString="0" minDate="1996-08-15T00:00:00" maxDate="2025-11-22T00:00:00"/>
    </cacheField>
    <cacheField name="Account Category" numFmtId="0">
      <sharedItems/>
    </cacheField>
    <cacheField name="Billing Country" numFmtId="0">
      <sharedItems/>
    </cacheField>
    <cacheField name="Item Name" numFmtId="0">
      <sharedItems count="3">
        <s v="Individual Membership"/>
        <s v="Retiree Membership"/>
        <s v="Student Membership"/>
      </sharedItems>
    </cacheField>
    <cacheField name="Paid_Month" numFmtId="0">
      <sharedItems containsSemiMixedTypes="0" containsString="0" containsNumber="1" containsInteger="1" minValue="1" maxValue="12" count="12">
        <n v="8"/>
        <n v="9"/>
        <n v="7"/>
        <n v="11"/>
        <n v="3"/>
        <n v="1"/>
        <n v="6"/>
        <n v="2"/>
        <n v="10"/>
        <n v="4"/>
        <n v="5"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ynn Laakso" refreshedDate="45992.440331944446" backgroundQuery="1" createdVersion="8" refreshedVersion="8" minRefreshableVersion="3" recordCount="0" supportSubquery="1" supportAdvancedDrill="1" xr:uid="{6934E0F6-796E-4171-AB11-8F75B59856AC}">
  <cacheSource type="external" connectionId="5"/>
  <cacheFields count="2">
    <cacheField name="[Processed].[Paid_Month].[Paid_Month]" caption="Paid_Month" numFmtId="0" hierarchy="19" level="1">
      <sharedItems containsSemiMixedTypes="0" containsString="0" containsNumber="1" containsInteger="1" minValue="1" maxValue="11" count="11">
        <n v="1"/>
        <n v="2"/>
        <n v="3"/>
        <n v="4"/>
        <n v="5"/>
        <n v="6"/>
        <n v="7"/>
        <n v="8"/>
        <n v="9"/>
        <n v="10"/>
        <n v="11"/>
      </sharedItems>
      <extLst>
        <ext xmlns:x15="http://schemas.microsoft.com/office/spreadsheetml/2010/11/main" uri="{4F2E5C28-24EA-4eb8-9CBF-B6C8F9C3D259}">
          <x15:cachedUniqueNames>
            <x15:cachedUniqueName index="0" name="[Processed].[Paid_Month].&amp;[1]"/>
            <x15:cachedUniqueName index="1" name="[Processed].[Paid_Month].&amp;[2]"/>
            <x15:cachedUniqueName index="2" name="[Processed].[Paid_Month].&amp;[3]"/>
            <x15:cachedUniqueName index="3" name="[Processed].[Paid_Month].&amp;[4]"/>
            <x15:cachedUniqueName index="4" name="[Processed].[Paid_Month].&amp;[5]"/>
            <x15:cachedUniqueName index="5" name="[Processed].[Paid_Month].&amp;[6]"/>
            <x15:cachedUniqueName index="6" name="[Processed].[Paid_Month].&amp;[7]"/>
            <x15:cachedUniqueName index="7" name="[Processed].[Paid_Month].&amp;[8]"/>
            <x15:cachedUniqueName index="8" name="[Processed].[Paid_Month].&amp;[9]"/>
            <x15:cachedUniqueName index="9" name="[Processed].[Paid_Month].&amp;[10]"/>
            <x15:cachedUniqueName index="10" name="[Processed].[Paid_Month].&amp;[11]"/>
          </x15:cachedUniqueNames>
        </ext>
      </extLst>
    </cacheField>
    <cacheField name="[Measures].[Sum of Total]" caption="Sum of Total" numFmtId="0" hierarchy="23" level="32767"/>
  </cacheFields>
  <cacheHierarchies count="26">
    <cacheHierarchy uniqueName="[Accounts_with_Mem_and_Receipts].[Account Name]" caption="Account Name" attribute="1" defaultMemberUniqueName="[Accounts_with_Mem_and_Receipts].[Account Name].[All]" allUniqueName="[Accounts_with_Mem_and_Receipts].[Account Name].[All]" dimensionUniqueName="[Accounts_with_Mem_and_Receipts]" displayFolder="" count="0" memberValueDatatype="130" unbalanced="0"/>
    <cacheHierarchy uniqueName="[Accounts_with_Mem_and_Receipts].[Total]" caption="Total" attribute="1" defaultMemberUniqueName="[Accounts_with_Mem_and_Receipts].[Total].[All]" allUniqueName="[Accounts_with_Mem_and_Receipts].[Total].[All]" dimensionUniqueName="[Accounts_with_Mem_and_Receipts]" displayFolder="" count="0" memberValueDatatype="5" unbalanced="0"/>
    <cacheHierarchy uniqueName="[Accounts_with_Mem_and_Receipts].[Posted Date]" caption="Posted Date" attribute="1" time="1" defaultMemberUniqueName="[Accounts_with_Mem_and_Receipts].[Posted Date].[All]" allUniqueName="[Accounts_with_Mem_and_Receipts].[Posted Date].[All]" dimensionUniqueName="[Accounts_with_Mem_and_Receipts]" displayFolder="" count="0" memberValueDatatype="7" unbalanced="0"/>
    <cacheHierarchy uniqueName="[Accounts_with_Mem_and_Receipts].[Receipt Number]" caption="Receipt Number" attribute="1" defaultMemberUniqueName="[Accounts_with_Mem_and_Receipts].[Receipt Number].[All]" allUniqueName="[Accounts_with_Mem_and_Receipts].[Receipt Number].[All]" dimensionUniqueName="[Accounts_with_Mem_and_Receipts]" displayFolder="" count="0" memberValueDatatype="20" unbalanced="0"/>
    <cacheHierarchy uniqueName="[Accounts_with_Mem_and_Receipts].[Receipt Line ID]" caption="Receipt Line ID" attribute="1" defaultMemberUniqueName="[Accounts_with_Mem_and_Receipts].[Receipt Line ID].[All]" allUniqueName="[Accounts_with_Mem_and_Receipts].[Receipt Line ID].[All]" dimensionUniqueName="[Accounts_with_Mem_and_Receipts]" displayFolder="" count="0" memberValueDatatype="20" unbalanced="0"/>
    <cacheHierarchy uniqueName="[Accounts_with_Mem_and_Receipts].[Member Since]" caption="Member Since" attribute="1" time="1" defaultMemberUniqueName="[Accounts_with_Mem_and_Receipts].[Member Since].[All]" allUniqueName="[Accounts_with_Mem_and_Receipts].[Member Since].[All]" dimensionUniqueName="[Accounts_with_Mem_and_Receipts]" displayFolder="" count="0" memberValueDatatype="7" unbalanced="0"/>
    <cacheHierarchy uniqueName="[Accounts_with_Mem_and_Receipts].[Account Category]" caption="Account Category" attribute="1" defaultMemberUniqueName="[Accounts_with_Mem_and_Receipts].[Account Category].[All]" allUniqueName="[Accounts_with_Mem_and_Receipts].[Account Category].[All]" dimensionUniqueName="[Accounts_with_Mem_and_Receipts]" displayFolder="" count="0" memberValueDatatype="130" unbalanced="0"/>
    <cacheHierarchy uniqueName="[Accounts_with_Mem_and_Receipts].[Billing Country]" caption="Billing Country" attribute="1" defaultMemberUniqueName="[Accounts_with_Mem_and_Receipts].[Billing Country].[All]" allUniqueName="[Accounts_with_Mem_and_Receipts].[Billing Country].[All]" dimensionUniqueName="[Accounts_with_Mem_and_Receipts]" displayFolder="" count="0" memberValueDatatype="130" unbalanced="0"/>
    <cacheHierarchy uniqueName="[Accounts_with_Mem_and_Receipts].[Item Name]" caption="Item Name" attribute="1" defaultMemberUniqueName="[Accounts_with_Mem_and_Receipts].[Item Name].[All]" allUniqueName="[Accounts_with_Mem_and_Receipts].[Item Name].[All]" dimensionUniqueName="[Accounts_with_Mem_and_Receipts]" displayFolder="" count="0" memberValueDatatype="130" unbalanced="0"/>
    <cacheHierarchy uniqueName="[Accounts_with_Mem_and_Receipts].[Paid_Month]" caption="Paid_Month" attribute="1" defaultMemberUniqueName="[Accounts_with_Mem_and_Receipts].[Paid_Month].[All]" allUniqueName="[Accounts_with_Mem_and_Receipts].[Paid_Month].[All]" dimensionUniqueName="[Accounts_with_Mem_and_Receipts]" displayFolder="" count="0" memberValueDatatype="20" unbalanced="0"/>
    <cacheHierarchy uniqueName="[Processed].[Account Name]" caption="Account Name" attribute="1" defaultMemberUniqueName="[Processed].[Account Name].[All]" allUniqueName="[Processed].[Account Name].[All]" dimensionUniqueName="[Processed]" displayFolder="" count="0" memberValueDatatype="130" unbalanced="0"/>
    <cacheHierarchy uniqueName="[Processed].[Total]" caption="Total" attribute="1" defaultMemberUniqueName="[Processed].[Total].[All]" allUniqueName="[Processed].[Total].[All]" dimensionUniqueName="[Processed]" displayFolder="" count="0" memberValueDatatype="20" unbalanced="0"/>
    <cacheHierarchy uniqueName="[Processed].[Posted Date]" caption="Posted Date" attribute="1" time="1" defaultMemberUniqueName="[Processed].[Posted Date].[All]" allUniqueName="[Processed].[Posted Date].[All]" dimensionUniqueName="[Processed]" displayFolder="" count="0" memberValueDatatype="7" unbalanced="0"/>
    <cacheHierarchy uniqueName="[Processed].[Receipt Number]" caption="Receipt Number" attribute="1" defaultMemberUniqueName="[Processed].[Receipt Number].[All]" allUniqueName="[Processed].[Receipt Number].[All]" dimensionUniqueName="[Processed]" displayFolder="" count="0" memberValueDatatype="20" unbalanced="0"/>
    <cacheHierarchy uniqueName="[Processed].[Receipt Line ID]" caption="Receipt Line ID" attribute="1" defaultMemberUniqueName="[Processed].[Receipt Line ID].[All]" allUniqueName="[Processed].[Receipt Line ID].[All]" dimensionUniqueName="[Processed]" displayFolder="" count="0" memberValueDatatype="20" unbalanced="0"/>
    <cacheHierarchy uniqueName="[Processed].[Member Since]" caption="Member Since" attribute="1" time="1" defaultMemberUniqueName="[Processed].[Member Since].[All]" allUniqueName="[Processed].[Member Since].[All]" dimensionUniqueName="[Processed]" displayFolder="" count="0" memberValueDatatype="7" unbalanced="0"/>
    <cacheHierarchy uniqueName="[Processed].[Account Category]" caption="Account Category" attribute="1" defaultMemberUniqueName="[Processed].[Account Category].[All]" allUniqueName="[Processed].[Account Category].[All]" dimensionUniqueName="[Processed]" displayFolder="" count="0" memberValueDatatype="130" unbalanced="0"/>
    <cacheHierarchy uniqueName="[Processed].[Billing Country]" caption="Billing Country" attribute="1" defaultMemberUniqueName="[Processed].[Billing Country].[All]" allUniqueName="[Processed].[Billing Country].[All]" dimensionUniqueName="[Processed]" displayFolder="" count="0" memberValueDatatype="130" unbalanced="0"/>
    <cacheHierarchy uniqueName="[Processed].[Item Name]" caption="Item Name" attribute="1" defaultMemberUniqueName="[Processed].[Item Name].[All]" allUniqueName="[Processed].[Item Name].[All]" dimensionUniqueName="[Processed]" displayFolder="" count="0" memberValueDatatype="130" unbalanced="0"/>
    <cacheHierarchy uniqueName="[Processed].[Paid_Month]" caption="Paid_Month" attribute="1" defaultMemberUniqueName="[Processed].[Paid_Month].[All]" allUniqueName="[Processed].[Paid_Month].[All]" dimensionUniqueName="[Processed]" displayFolder="" count="2" memberValueDatatype="20" unbalanced="0">
      <fieldsUsage count="2">
        <fieldUsage x="-1"/>
        <fieldUsage x="0"/>
      </fieldsUsage>
    </cacheHierarchy>
    <cacheHierarchy uniqueName="[Measures].[__XL_Count Processed]" caption="__XL_Count Processed" measure="1" displayFolder="" measureGroup="Processed" count="0" hidden="1"/>
    <cacheHierarchy uniqueName="[Measures].[__XL_Count Accounts_with_Mem_and_Receipts]" caption="__XL_Count Accounts_with_Mem_and_Receipts" measure="1" displayFolder="" measureGroup="Accounts_with_Mem_and_Receipts" count="0" hidden="1"/>
    <cacheHierarchy uniqueName="[Measures].[__No measures defined]" caption="__No measures defined" measure="1" displayFolder="" count="0" hidden="1"/>
    <cacheHierarchy uniqueName="[Measures].[Sum of Total]" caption="Sum of Total" measure="1" displayFolder="" measureGroup="Processe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id_Month]" caption="Sum of Paid_Month" measure="1" displayFolder="" measureGroup="Processed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2]" caption="Sum of Total 2" measure="1" displayFolder="" measureGroup="Accounts_with_Mem_and_Receip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name="Accounts_with_Mem_and_Receipts" uniqueName="[Accounts_with_Mem_and_Receipts]" caption="Accounts_with_Mem_and_Receipts"/>
    <dimension measure="1" name="Measures" uniqueName="[Measures]" caption="Measures"/>
    <dimension name="Processed" uniqueName="[Processed]" caption="Processed"/>
  </dimensions>
  <measureGroups count="2">
    <measureGroup name="Accounts_with_Mem_and_Receipts" caption="Accounts_with_Mem_and_Receipts"/>
    <measureGroup name="Processed" caption="Processed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ynn Laakso" refreshedDate="45992.440332754632" backgroundQuery="1" createdVersion="8" refreshedVersion="8" minRefreshableVersion="3" recordCount="0" supportSubquery="1" supportAdvancedDrill="1" xr:uid="{254D038B-BA73-4D38-8141-CCBDC6BAB1B4}">
  <cacheSource type="external" connectionId="5"/>
  <cacheFields count="2">
    <cacheField name="[Processed].[Item Name].[Item Name]" caption="Item Name" numFmtId="0" hierarchy="18" level="1">
      <sharedItems count="3">
        <s v="Benefactor Membership"/>
        <s v="Gold Membership"/>
        <s v="Organizational Membership"/>
      </sharedItems>
    </cacheField>
    <cacheField name="[Measures].[Sum of Total]" caption="Sum of Total" numFmtId="0" hierarchy="23" level="32767"/>
  </cacheFields>
  <cacheHierarchies count="26">
    <cacheHierarchy uniqueName="[Accounts_with_Mem_and_Receipts].[Account Name]" caption="Account Name" attribute="1" defaultMemberUniqueName="[Accounts_with_Mem_and_Receipts].[Account Name].[All]" allUniqueName="[Accounts_with_Mem_and_Receipts].[Account Name].[All]" dimensionUniqueName="[Accounts_with_Mem_and_Receipts]" displayFolder="" count="0" memberValueDatatype="130" unbalanced="0"/>
    <cacheHierarchy uniqueName="[Accounts_with_Mem_and_Receipts].[Total]" caption="Total" attribute="1" defaultMemberUniqueName="[Accounts_with_Mem_and_Receipts].[Total].[All]" allUniqueName="[Accounts_with_Mem_and_Receipts].[Total].[All]" dimensionUniqueName="[Accounts_with_Mem_and_Receipts]" displayFolder="" count="0" memberValueDatatype="5" unbalanced="0"/>
    <cacheHierarchy uniqueName="[Accounts_with_Mem_and_Receipts].[Posted Date]" caption="Posted Date" attribute="1" time="1" defaultMemberUniqueName="[Accounts_with_Mem_and_Receipts].[Posted Date].[All]" allUniqueName="[Accounts_with_Mem_and_Receipts].[Posted Date].[All]" dimensionUniqueName="[Accounts_with_Mem_and_Receipts]" displayFolder="" count="0" memberValueDatatype="7" unbalanced="0"/>
    <cacheHierarchy uniqueName="[Accounts_with_Mem_and_Receipts].[Receipt Number]" caption="Receipt Number" attribute="1" defaultMemberUniqueName="[Accounts_with_Mem_and_Receipts].[Receipt Number].[All]" allUniqueName="[Accounts_with_Mem_and_Receipts].[Receipt Number].[All]" dimensionUniqueName="[Accounts_with_Mem_and_Receipts]" displayFolder="" count="0" memberValueDatatype="20" unbalanced="0"/>
    <cacheHierarchy uniqueName="[Accounts_with_Mem_and_Receipts].[Receipt Line ID]" caption="Receipt Line ID" attribute="1" defaultMemberUniqueName="[Accounts_with_Mem_and_Receipts].[Receipt Line ID].[All]" allUniqueName="[Accounts_with_Mem_and_Receipts].[Receipt Line ID].[All]" dimensionUniqueName="[Accounts_with_Mem_and_Receipts]" displayFolder="" count="0" memberValueDatatype="20" unbalanced="0"/>
    <cacheHierarchy uniqueName="[Accounts_with_Mem_and_Receipts].[Member Since]" caption="Member Since" attribute="1" time="1" defaultMemberUniqueName="[Accounts_with_Mem_and_Receipts].[Member Since].[All]" allUniqueName="[Accounts_with_Mem_and_Receipts].[Member Since].[All]" dimensionUniqueName="[Accounts_with_Mem_and_Receipts]" displayFolder="" count="0" memberValueDatatype="7" unbalanced="0"/>
    <cacheHierarchy uniqueName="[Accounts_with_Mem_and_Receipts].[Account Category]" caption="Account Category" attribute="1" defaultMemberUniqueName="[Accounts_with_Mem_and_Receipts].[Account Category].[All]" allUniqueName="[Accounts_with_Mem_and_Receipts].[Account Category].[All]" dimensionUniqueName="[Accounts_with_Mem_and_Receipts]" displayFolder="" count="0" memberValueDatatype="130" unbalanced="0"/>
    <cacheHierarchy uniqueName="[Accounts_with_Mem_and_Receipts].[Billing Country]" caption="Billing Country" attribute="1" defaultMemberUniqueName="[Accounts_with_Mem_and_Receipts].[Billing Country].[All]" allUniqueName="[Accounts_with_Mem_and_Receipts].[Billing Country].[All]" dimensionUniqueName="[Accounts_with_Mem_and_Receipts]" displayFolder="" count="0" memberValueDatatype="130" unbalanced="0"/>
    <cacheHierarchy uniqueName="[Accounts_with_Mem_and_Receipts].[Item Name]" caption="Item Name" attribute="1" defaultMemberUniqueName="[Accounts_with_Mem_and_Receipts].[Item Name].[All]" allUniqueName="[Accounts_with_Mem_and_Receipts].[Item Name].[All]" dimensionUniqueName="[Accounts_with_Mem_and_Receipts]" displayFolder="" count="0" memberValueDatatype="130" unbalanced="0"/>
    <cacheHierarchy uniqueName="[Accounts_with_Mem_and_Receipts].[Paid_Month]" caption="Paid_Month" attribute="1" defaultMemberUniqueName="[Accounts_with_Mem_and_Receipts].[Paid_Month].[All]" allUniqueName="[Accounts_with_Mem_and_Receipts].[Paid_Month].[All]" dimensionUniqueName="[Accounts_with_Mem_and_Receipts]" displayFolder="" count="0" memberValueDatatype="20" unbalanced="0"/>
    <cacheHierarchy uniqueName="[Processed].[Account Name]" caption="Account Name" attribute="1" defaultMemberUniqueName="[Processed].[Account Name].[All]" allUniqueName="[Processed].[Account Name].[All]" dimensionUniqueName="[Processed]" displayFolder="" count="0" memberValueDatatype="130" unbalanced="0"/>
    <cacheHierarchy uniqueName="[Processed].[Total]" caption="Total" attribute="1" defaultMemberUniqueName="[Processed].[Total].[All]" allUniqueName="[Processed].[Total].[All]" dimensionUniqueName="[Processed]" displayFolder="" count="0" memberValueDatatype="20" unbalanced="0"/>
    <cacheHierarchy uniqueName="[Processed].[Posted Date]" caption="Posted Date" attribute="1" time="1" defaultMemberUniqueName="[Processed].[Posted Date].[All]" allUniqueName="[Processed].[Posted Date].[All]" dimensionUniqueName="[Processed]" displayFolder="" count="0" memberValueDatatype="7" unbalanced="0"/>
    <cacheHierarchy uniqueName="[Processed].[Receipt Number]" caption="Receipt Number" attribute="1" defaultMemberUniqueName="[Processed].[Receipt Number].[All]" allUniqueName="[Processed].[Receipt Number].[All]" dimensionUniqueName="[Processed]" displayFolder="" count="0" memberValueDatatype="20" unbalanced="0"/>
    <cacheHierarchy uniqueName="[Processed].[Receipt Line ID]" caption="Receipt Line ID" attribute="1" defaultMemberUniqueName="[Processed].[Receipt Line ID].[All]" allUniqueName="[Processed].[Receipt Line ID].[All]" dimensionUniqueName="[Processed]" displayFolder="" count="0" memberValueDatatype="20" unbalanced="0"/>
    <cacheHierarchy uniqueName="[Processed].[Member Since]" caption="Member Since" attribute="1" time="1" defaultMemberUniqueName="[Processed].[Member Since].[All]" allUniqueName="[Processed].[Member Since].[All]" dimensionUniqueName="[Processed]" displayFolder="" count="0" memberValueDatatype="7" unbalanced="0"/>
    <cacheHierarchy uniqueName="[Processed].[Account Category]" caption="Account Category" attribute="1" defaultMemberUniqueName="[Processed].[Account Category].[All]" allUniqueName="[Processed].[Account Category].[All]" dimensionUniqueName="[Processed]" displayFolder="" count="0" memberValueDatatype="130" unbalanced="0"/>
    <cacheHierarchy uniqueName="[Processed].[Billing Country]" caption="Billing Country" attribute="1" defaultMemberUniqueName="[Processed].[Billing Country].[All]" allUniqueName="[Processed].[Billing Country].[All]" dimensionUniqueName="[Processed]" displayFolder="" count="0" memberValueDatatype="130" unbalanced="0"/>
    <cacheHierarchy uniqueName="[Processed].[Item Name]" caption="Item Name" attribute="1" defaultMemberUniqueName="[Processed].[Item Name].[All]" allUniqueName="[Processed].[Item Name].[All]" dimensionUniqueName="[Processed]" displayFolder="" count="2" memberValueDatatype="130" unbalanced="0">
      <fieldsUsage count="2">
        <fieldUsage x="-1"/>
        <fieldUsage x="0"/>
      </fieldsUsage>
    </cacheHierarchy>
    <cacheHierarchy uniqueName="[Processed].[Paid_Month]" caption="Paid_Month" attribute="1" defaultMemberUniqueName="[Processed].[Paid_Month].[All]" allUniqueName="[Processed].[Paid_Month].[All]" dimensionUniqueName="[Processed]" displayFolder="" count="0" memberValueDatatype="20" unbalanced="0"/>
    <cacheHierarchy uniqueName="[Measures].[__XL_Count Processed]" caption="__XL_Count Processed" measure="1" displayFolder="" measureGroup="Processed" count="0" hidden="1"/>
    <cacheHierarchy uniqueName="[Measures].[__XL_Count Accounts_with_Mem_and_Receipts]" caption="__XL_Count Accounts_with_Mem_and_Receipts" measure="1" displayFolder="" measureGroup="Accounts_with_Mem_and_Receipts" count="0" hidden="1"/>
    <cacheHierarchy uniqueName="[Measures].[__No measures defined]" caption="__No measures defined" measure="1" displayFolder="" count="0" hidden="1"/>
    <cacheHierarchy uniqueName="[Measures].[Sum of Total]" caption="Sum of Total" measure="1" displayFolder="" measureGroup="Processe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id_Month]" caption="Sum of Paid_Month" measure="1" displayFolder="" measureGroup="Processed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2]" caption="Sum of Total 2" measure="1" displayFolder="" measureGroup="Accounts_with_Mem_and_Receip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name="Accounts_with_Mem_and_Receipts" uniqueName="[Accounts_with_Mem_and_Receipts]" caption="Accounts_with_Mem_and_Receipts"/>
    <dimension measure="1" name="Measures" uniqueName="[Measures]" caption="Measures"/>
    <dimension name="Processed" uniqueName="[Processed]" caption="Processed"/>
  </dimensions>
  <measureGroups count="2">
    <measureGroup name="Accounts_with_Mem_and_Receipts" caption="Accounts_with_Mem_and_Receipts"/>
    <measureGroup name="Processed" caption="Processed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nn Laakso" refreshedDate="45992.440431481482" createdVersion="8" refreshedVersion="8" minRefreshableVersion="3" recordCount="272" xr:uid="{57E158F3-5AA3-44B4-96AE-D05E0D608F4F}">
  <cacheSource type="worksheet">
    <worksheetSource name="Orgs"/>
  </cacheSource>
  <cacheFields count="10">
    <cacheField name="Account Name" numFmtId="0">
      <sharedItems/>
    </cacheField>
    <cacheField name="Total" numFmtId="0">
      <sharedItems containsSemiMixedTypes="0" containsString="0" containsNumber="1" containsInteger="1" minValue="360" maxValue="38100"/>
    </cacheField>
    <cacheField name="Posted Date" numFmtId="14">
      <sharedItems containsSemiMixedTypes="0" containsNonDate="0" containsDate="1" containsString="0" minDate="2025-01-02T00:00:00" maxDate="2025-11-27T00:00:00"/>
    </cacheField>
    <cacheField name="Receipt Number" numFmtId="0">
      <sharedItems containsSemiMixedTypes="0" containsString="0" containsNumber="1" containsInteger="1" minValue="13732" maxValue="17858"/>
    </cacheField>
    <cacheField name="Receipt Line ID" numFmtId="0">
      <sharedItems containsSemiMixedTypes="0" containsString="0" containsNumber="1" containsInteger="1" minValue="35083" maxValue="43622"/>
    </cacheField>
    <cacheField name="Member Since" numFmtId="14">
      <sharedItems containsSemiMixedTypes="0" containsNonDate="0" containsDate="1" containsString="0" minDate="1987-01-01T00:00:00" maxDate="2025-10-10T00:00:00"/>
    </cacheField>
    <cacheField name="Account Category" numFmtId="0">
      <sharedItems/>
    </cacheField>
    <cacheField name="Billing Country" numFmtId="0">
      <sharedItems/>
    </cacheField>
    <cacheField name="Item Name" numFmtId="0">
      <sharedItems count="3">
        <s v="Organizational Membership"/>
        <s v="Gold Membership"/>
        <s v="Benefactor Membership"/>
      </sharedItems>
    </cacheField>
    <cacheField name="Paid_Month" numFmtId="0">
      <sharedItems containsSemiMixedTypes="0" containsString="0" containsNumber="1" containsInteger="1" minValue="1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ynn Laakso" refreshedDate="45992.440599074071" backgroundQuery="1" createdVersion="8" refreshedVersion="8" minRefreshableVersion="3" recordCount="0" supportSubquery="1" supportAdvancedDrill="1" xr:uid="{3F7D1F73-C59D-4C83-93E5-F04B253C42FE}">
  <cacheSource type="external" connectionId="5"/>
  <cacheFields count="2">
    <cacheField name="[Accounts_with_Mem_and_Receipts].[Account Category].[Account Category]" caption="Account Category" numFmtId="0" hierarchy="6" level="1">
      <sharedItems count="4">
        <s v="Consultant"/>
        <s v="Government/Professional Associations/Academic Institution"/>
        <s v="Provider"/>
        <s v="Supplier/Vendor"/>
      </sharedItems>
    </cacheField>
    <cacheField name="[Measures].[Sum of Total 2]" caption="Sum of Total 2" numFmtId="0" hierarchy="25" level="32767"/>
  </cacheFields>
  <cacheHierarchies count="26">
    <cacheHierarchy uniqueName="[Accounts_with_Mem_and_Receipts].[Account Name]" caption="Account Name" attribute="1" defaultMemberUniqueName="[Accounts_with_Mem_and_Receipts].[Account Name].[All]" allUniqueName="[Accounts_with_Mem_and_Receipts].[Account Name].[All]" dimensionUniqueName="[Accounts_with_Mem_and_Receipts]" displayFolder="" count="0" memberValueDatatype="130" unbalanced="0"/>
    <cacheHierarchy uniqueName="[Accounts_with_Mem_and_Receipts].[Total]" caption="Total" attribute="1" defaultMemberUniqueName="[Accounts_with_Mem_and_Receipts].[Total].[All]" allUniqueName="[Accounts_with_Mem_and_Receipts].[Total].[All]" dimensionUniqueName="[Accounts_with_Mem_and_Receipts]" displayFolder="" count="0" memberValueDatatype="5" unbalanced="0"/>
    <cacheHierarchy uniqueName="[Accounts_with_Mem_and_Receipts].[Posted Date]" caption="Posted Date" attribute="1" time="1" defaultMemberUniqueName="[Accounts_with_Mem_and_Receipts].[Posted Date].[All]" allUniqueName="[Accounts_with_Mem_and_Receipts].[Posted Date].[All]" dimensionUniqueName="[Accounts_with_Mem_and_Receipts]" displayFolder="" count="0" memberValueDatatype="7" unbalanced="0"/>
    <cacheHierarchy uniqueName="[Accounts_with_Mem_and_Receipts].[Receipt Number]" caption="Receipt Number" attribute="1" defaultMemberUniqueName="[Accounts_with_Mem_and_Receipts].[Receipt Number].[All]" allUniqueName="[Accounts_with_Mem_and_Receipts].[Receipt Number].[All]" dimensionUniqueName="[Accounts_with_Mem_and_Receipts]" displayFolder="" count="0" memberValueDatatype="20" unbalanced="0"/>
    <cacheHierarchy uniqueName="[Accounts_with_Mem_and_Receipts].[Receipt Line ID]" caption="Receipt Line ID" attribute="1" defaultMemberUniqueName="[Accounts_with_Mem_and_Receipts].[Receipt Line ID].[All]" allUniqueName="[Accounts_with_Mem_and_Receipts].[Receipt Line ID].[All]" dimensionUniqueName="[Accounts_with_Mem_and_Receipts]" displayFolder="" count="0" memberValueDatatype="20" unbalanced="0"/>
    <cacheHierarchy uniqueName="[Accounts_with_Mem_and_Receipts].[Member Since]" caption="Member Since" attribute="1" time="1" defaultMemberUniqueName="[Accounts_with_Mem_and_Receipts].[Member Since].[All]" allUniqueName="[Accounts_with_Mem_and_Receipts].[Member Since].[All]" dimensionUniqueName="[Accounts_with_Mem_and_Receipts]" displayFolder="" count="0" memberValueDatatype="7" unbalanced="0"/>
    <cacheHierarchy uniqueName="[Accounts_with_Mem_and_Receipts].[Account Category]" caption="Account Category" attribute="1" defaultMemberUniqueName="[Accounts_with_Mem_and_Receipts].[Account Category].[All]" allUniqueName="[Accounts_with_Mem_and_Receipts].[Account Category].[All]" dimensionUniqueName="[Accounts_with_Mem_and_Receipts]" displayFolder="" count="2" memberValueDatatype="130" unbalanced="0">
      <fieldsUsage count="2">
        <fieldUsage x="-1"/>
        <fieldUsage x="0"/>
      </fieldsUsage>
    </cacheHierarchy>
    <cacheHierarchy uniqueName="[Accounts_with_Mem_and_Receipts].[Billing Country]" caption="Billing Country" attribute="1" defaultMemberUniqueName="[Accounts_with_Mem_and_Receipts].[Billing Country].[All]" allUniqueName="[Accounts_with_Mem_and_Receipts].[Billing Country].[All]" dimensionUniqueName="[Accounts_with_Mem_and_Receipts]" displayFolder="" count="0" memberValueDatatype="130" unbalanced="0"/>
    <cacheHierarchy uniqueName="[Accounts_with_Mem_and_Receipts].[Item Name]" caption="Item Name" attribute="1" defaultMemberUniqueName="[Accounts_with_Mem_and_Receipts].[Item Name].[All]" allUniqueName="[Accounts_with_Mem_and_Receipts].[Item Name].[All]" dimensionUniqueName="[Accounts_with_Mem_and_Receipts]" displayFolder="" count="0" memberValueDatatype="130" unbalanced="0"/>
    <cacheHierarchy uniqueName="[Accounts_with_Mem_and_Receipts].[Paid_Month]" caption="Paid_Month" attribute="1" defaultMemberUniqueName="[Accounts_with_Mem_and_Receipts].[Paid_Month].[All]" allUniqueName="[Accounts_with_Mem_and_Receipts].[Paid_Month].[All]" dimensionUniqueName="[Accounts_with_Mem_and_Receipts]" displayFolder="" count="0" memberValueDatatype="20" unbalanced="0"/>
    <cacheHierarchy uniqueName="[Processed].[Account Name]" caption="Account Name" attribute="1" defaultMemberUniqueName="[Processed].[Account Name].[All]" allUniqueName="[Processed].[Account Name].[All]" dimensionUniqueName="[Processed]" displayFolder="" count="0" memberValueDatatype="130" unbalanced="0"/>
    <cacheHierarchy uniqueName="[Processed].[Total]" caption="Total" attribute="1" defaultMemberUniqueName="[Processed].[Total].[All]" allUniqueName="[Processed].[Total].[All]" dimensionUniqueName="[Processed]" displayFolder="" count="0" memberValueDatatype="20" unbalanced="0"/>
    <cacheHierarchy uniqueName="[Processed].[Posted Date]" caption="Posted Date" attribute="1" time="1" defaultMemberUniqueName="[Processed].[Posted Date].[All]" allUniqueName="[Processed].[Posted Date].[All]" dimensionUniqueName="[Processed]" displayFolder="" count="0" memberValueDatatype="7" unbalanced="0"/>
    <cacheHierarchy uniqueName="[Processed].[Receipt Number]" caption="Receipt Number" attribute="1" defaultMemberUniqueName="[Processed].[Receipt Number].[All]" allUniqueName="[Processed].[Receipt Number].[All]" dimensionUniqueName="[Processed]" displayFolder="" count="0" memberValueDatatype="20" unbalanced="0"/>
    <cacheHierarchy uniqueName="[Processed].[Receipt Line ID]" caption="Receipt Line ID" attribute="1" defaultMemberUniqueName="[Processed].[Receipt Line ID].[All]" allUniqueName="[Processed].[Receipt Line ID].[All]" dimensionUniqueName="[Processed]" displayFolder="" count="0" memberValueDatatype="20" unbalanced="0"/>
    <cacheHierarchy uniqueName="[Processed].[Member Since]" caption="Member Since" attribute="1" time="1" defaultMemberUniqueName="[Processed].[Member Since].[All]" allUniqueName="[Processed].[Member Since].[All]" dimensionUniqueName="[Processed]" displayFolder="" count="0" memberValueDatatype="7" unbalanced="0"/>
    <cacheHierarchy uniqueName="[Processed].[Account Category]" caption="Account Category" attribute="1" defaultMemberUniqueName="[Processed].[Account Category].[All]" allUniqueName="[Processed].[Account Category].[All]" dimensionUniqueName="[Processed]" displayFolder="" count="0" memberValueDatatype="130" unbalanced="0"/>
    <cacheHierarchy uniqueName="[Processed].[Billing Country]" caption="Billing Country" attribute="1" defaultMemberUniqueName="[Processed].[Billing Country].[All]" allUniqueName="[Processed].[Billing Country].[All]" dimensionUniqueName="[Processed]" displayFolder="" count="0" memberValueDatatype="130" unbalanced="0"/>
    <cacheHierarchy uniqueName="[Processed].[Item Name]" caption="Item Name" attribute="1" defaultMemberUniqueName="[Processed].[Item Name].[All]" allUniqueName="[Processed].[Item Name].[All]" dimensionUniqueName="[Processed]" displayFolder="" count="0" memberValueDatatype="130" unbalanced="0"/>
    <cacheHierarchy uniqueName="[Processed].[Paid_Month]" caption="Paid_Month" attribute="1" defaultMemberUniqueName="[Processed].[Paid_Month].[All]" allUniqueName="[Processed].[Paid_Month].[All]" dimensionUniqueName="[Processed]" displayFolder="" count="0" memberValueDatatype="20" unbalanced="0"/>
    <cacheHierarchy uniqueName="[Measures].[__XL_Count Processed]" caption="__XL_Count Processed" measure="1" displayFolder="" measureGroup="Processed" count="0" hidden="1"/>
    <cacheHierarchy uniqueName="[Measures].[__XL_Count Accounts_with_Mem_and_Receipts]" caption="__XL_Count Accounts_with_Mem_and_Receipts" measure="1" displayFolder="" measureGroup="Accounts_with_Mem_and_Receipts" count="0" hidden="1"/>
    <cacheHierarchy uniqueName="[Measures].[__No measures defined]" caption="__No measures defined" measure="1" displayFolder="" count="0" hidden="1"/>
    <cacheHierarchy uniqueName="[Measures].[Sum of Total]" caption="Sum of Total" measure="1" displayFolder="" measureGroup="Processe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id_Month]" caption="Sum of Paid_Month" measure="1" displayFolder="" measureGroup="Processed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2]" caption="Sum of Total 2" measure="1" displayFolder="" measureGroup="Accounts_with_Mem_and_Receip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name="Accounts_with_Mem_and_Receipts" uniqueName="[Accounts_with_Mem_and_Receipts]" caption="Accounts_with_Mem_and_Receipts"/>
    <dimension measure="1" name="Measures" uniqueName="[Measures]" caption="Measures"/>
    <dimension name="Processed" uniqueName="[Processed]" caption="Processed"/>
  </dimensions>
  <measureGroups count="2">
    <measureGroup name="Accounts_with_Mem_and_Receipts" caption="Accounts_with_Mem_and_Receipts"/>
    <measureGroup name="Processed" caption="Processed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nn Laakso" refreshedDate="45992.440679398147" createdVersion="8" refreshedVersion="8" minRefreshableVersion="3" recordCount="3" xr:uid="{18BA5DB4-C019-4CEE-9D98-AE783960781B}">
  <cacheSource type="worksheet">
    <worksheetSource name="Table10"/>
  </cacheSource>
  <cacheFields count="2">
    <cacheField name="Membership Class" numFmtId="0">
      <sharedItems count="3">
        <s v="Affiliate Memberships"/>
        <s v="Individual Memberships"/>
        <s v="Organizational Memberships"/>
      </sharedItems>
    </cacheField>
    <cacheField name="2025 Dues Total" numFmtId="0">
      <sharedItems containsSemiMixedTypes="0" containsString="0" containsNumber="1" minValue="84650" maxValue="2339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281453.33"/>
  </r>
  <r>
    <x v="1"/>
    <n v="281453.33"/>
  </r>
  <r>
    <x v="2"/>
    <n v="281453.33"/>
  </r>
  <r>
    <x v="3"/>
    <n v="281453.33"/>
  </r>
  <r>
    <x v="4"/>
    <n v="281453.33"/>
  </r>
  <r>
    <x v="5"/>
    <n v="281453.33"/>
  </r>
  <r>
    <x v="6"/>
    <n v="281453.33"/>
  </r>
  <r>
    <x v="7"/>
    <n v="281453.33"/>
  </r>
  <r>
    <x v="8"/>
    <n v="281453.33"/>
  </r>
  <r>
    <x v="9"/>
    <n v="281453.33"/>
  </r>
  <r>
    <x v="10"/>
    <n v="281453.33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5">
  <r>
    <s v="HL7 Australia"/>
    <n v="0"/>
    <d v="2025-07-04T00:00:00"/>
    <n v="16139"/>
    <n v="39902"/>
    <d v="1997-01-01T00:00:00"/>
    <s v=""/>
    <s v="Australia"/>
    <s v="Affiliate Membership"/>
    <n v="7"/>
    <x v="0"/>
  </r>
  <r>
    <s v="HL7 Central America &amp; Dominican Republic"/>
    <n v="0"/>
    <d v="2025-07-04T00:00:00"/>
    <n v="16150"/>
    <n v="39913"/>
    <d v="2024-01-01T00:00:00"/>
    <s v=""/>
    <s v="Guatemala"/>
    <s v="Affiliate Membership"/>
    <n v="7"/>
    <x v="1"/>
  </r>
  <r>
    <s v="HL7 Ecuador"/>
    <n v="0"/>
    <d v="2025-07-04T00:00:00"/>
    <n v="16151"/>
    <n v="39914"/>
    <d v="2024-01-01T00:00:00"/>
    <s v=""/>
    <s v="Ecuador"/>
    <s v="Affiliate Membership"/>
    <n v="7"/>
    <x v="1"/>
  </r>
  <r>
    <s v="HL7 Peru"/>
    <n v="0"/>
    <d v="2025-07-04T00:00:00"/>
    <n v="16148"/>
    <n v="39911"/>
    <d v="2023-01-01T00:00:00"/>
    <s v=""/>
    <s v="Peru"/>
    <s v="Affiliate Membership"/>
    <n v="7"/>
    <x v="1"/>
  </r>
  <r>
    <s v="HL7 Romania"/>
    <n v="0"/>
    <d v="2025-07-04T00:00:00"/>
    <n v="16119"/>
    <n v="39882"/>
    <d v="2007-01-01T00:00:00"/>
    <s v=""/>
    <s v="Romania"/>
    <s v="Affiliate Membership"/>
    <n v="7"/>
    <x v="0"/>
  </r>
  <r>
    <s v="HL7 Saudi Arabia"/>
    <n v="0"/>
    <d v="2025-07-04T00:00:00"/>
    <n v="16122"/>
    <n v="39885"/>
    <d v="2019-01-01T00:00:00"/>
    <s v=""/>
    <s v="Saudi Arabia"/>
    <s v="Affiliate Membership"/>
    <n v="7"/>
    <x v="2"/>
  </r>
  <r>
    <s v="HL7 Singapore"/>
    <n v="0"/>
    <d v="2025-07-04T00:00:00"/>
    <n v="16145"/>
    <n v="39908"/>
    <d v="2008-01-01T00:00:00"/>
    <s v=""/>
    <s v="Singapore"/>
    <s v="Affiliate Membership"/>
    <n v="7"/>
    <x v="3"/>
  </r>
  <r>
    <s v="Harkarandeep Singh Bhandal Household"/>
    <n v="75"/>
    <d v="2025-03-27T00:00:00"/>
    <n v="14986"/>
    <n v="37036"/>
    <d v="2025-01-01T00:00:00"/>
    <s v=""/>
    <s v="United States"/>
    <s v="Student Membership"/>
    <n v="3"/>
    <x v="1"/>
  </r>
  <r>
    <s v="Brian Pech Household"/>
    <n v="100"/>
    <d v="2025-01-17T00:00:00"/>
    <n v="14126"/>
    <n v="35593"/>
    <d v="2025-01-01T00:00:00"/>
    <s v=""/>
    <s v="United States"/>
    <s v="Retiree Membership"/>
    <n v="1"/>
    <x v="1"/>
  </r>
  <r>
    <s v="Daniel Ries Household"/>
    <n v="100"/>
    <d v="2025-02-16T00:00:00"/>
    <n v="14470"/>
    <n v="36075"/>
    <d v="2023-01-01T00:00:00"/>
    <s v=""/>
    <s v="United States"/>
    <s v="Retiree Membership"/>
    <n v="2"/>
    <x v="1"/>
  </r>
  <r>
    <s v="Ken McCaslin Household"/>
    <n v="100"/>
    <d v="2025-03-26T00:00:00"/>
    <n v="14971"/>
    <n v="36986"/>
    <d v="1996-01-01T00:00:00"/>
    <s v=""/>
    <s v="United States"/>
    <s v="Retiree Membership"/>
    <n v="3"/>
    <x v="0"/>
  </r>
  <r>
    <s v="Lenel James Household"/>
    <n v="100"/>
    <d v="2025-05-22T00:00:00"/>
    <n v="15714"/>
    <n v="39243"/>
    <d v="2025-01-01T00:00:00"/>
    <s v=""/>
    <s v="United States"/>
    <s v="Retiree Membership"/>
    <n v="5"/>
    <x v="1"/>
  </r>
  <r>
    <s v="Medical Networks, LLC"/>
    <n v="100"/>
    <d v="2025-03-18T00:00:00"/>
    <n v="14828"/>
    <n v="36741"/>
    <d v="2022-01-01T00:00:00"/>
    <s v=""/>
    <s v="United States"/>
    <s v="Retiree Membership"/>
    <n v="3"/>
    <x v="1"/>
  </r>
  <r>
    <s v="Reed Gelzer Household"/>
    <n v="100"/>
    <d v="2025-03-20T00:00:00"/>
    <n v="14885"/>
    <n v="36841"/>
    <d v="2023-01-01T00:00:00"/>
    <s v=""/>
    <s v=""/>
    <s v="Retiree Membership"/>
    <n v="3"/>
    <x v="1"/>
  </r>
  <r>
    <s v="University of Minnesota"/>
    <n v="360"/>
    <d v="2025-01-02T00:00:00"/>
    <n v="13732"/>
    <n v="35083"/>
    <d v="2011-01-01T00:00:00"/>
    <s v="Government/Professional Associations/Academic Institution"/>
    <s v="United States"/>
    <s v="Gold Membership"/>
    <n v="1"/>
    <x v="3"/>
  </r>
  <r>
    <s v="Alex Dzeda Household"/>
    <n v="775"/>
    <d v="2025-07-08T00:00:00"/>
    <n v="16207"/>
    <n v="40001"/>
    <d v="2025-01-01T00:00:00"/>
    <s v=""/>
    <s v=""/>
    <s v="Individual Membership"/>
    <n v="7"/>
    <x v="1"/>
  </r>
  <r>
    <s v="Andrea Fourquet Household"/>
    <n v="775"/>
    <d v="2025-07-28T00:00:00"/>
    <n v="16405"/>
    <n v="40493"/>
    <d v="2022-01-01T00:00:00"/>
    <s v=""/>
    <s v=""/>
    <s v="Individual Membership"/>
    <n v="7"/>
    <x v="1"/>
  </r>
  <r>
    <s v="Andrew Zurn Household"/>
    <n v="775"/>
    <d v="2025-07-16T00:00:00"/>
    <n v="16278"/>
    <n v="40175"/>
    <d v="2024-01-01T00:00:00"/>
    <s v=""/>
    <s v="United States"/>
    <s v="Individual Membership"/>
    <n v="7"/>
    <x v="1"/>
  </r>
  <r>
    <s v="Aneesh Chopra Household"/>
    <n v="775"/>
    <d v="2025-03-29T00:00:00"/>
    <n v="15019"/>
    <n v="37086"/>
    <d v="2023-01-01T00:00:00"/>
    <s v=""/>
    <s v=""/>
    <s v="Individual Membership"/>
    <n v="3"/>
    <x v="1"/>
  </r>
  <r>
    <s v="Beata Piehl Household"/>
    <n v="775"/>
    <d v="2025-01-27T00:00:00"/>
    <n v="14257"/>
    <n v="35767"/>
    <d v="2024-01-01T00:00:00"/>
    <s v=""/>
    <s v=""/>
    <s v="Individual Membership"/>
    <n v="1"/>
    <x v="1"/>
  </r>
  <r>
    <s v="Bellese Technologies"/>
    <n v="775"/>
    <d v="2025-01-07T00:00:00"/>
    <n v="13806"/>
    <n v="35165"/>
    <d v="2021-01-01T00:00:00"/>
    <s v=""/>
    <s v="United States"/>
    <s v="Individual Membership"/>
    <n v="1"/>
    <x v="2"/>
  </r>
  <r>
    <s v="Bill G Lakenan Household"/>
    <n v="775"/>
    <d v="2025-07-31T00:00:00"/>
    <n v="16459"/>
    <n v="40633"/>
    <d v="2021-01-01T00:00:00"/>
    <s v=""/>
    <s v=""/>
    <s v="Individual Membership"/>
    <n v="7"/>
    <x v="2"/>
  </r>
  <r>
    <s v="Brian Handspicker Household"/>
    <n v="775"/>
    <d v="2025-06-19T00:00:00"/>
    <n v="15952"/>
    <n v="39627"/>
    <d v="2022-01-01T00:00:00"/>
    <s v=""/>
    <s v="United States"/>
    <s v="Individual Membership"/>
    <n v="6"/>
    <x v="1"/>
  </r>
  <r>
    <s v="Children's Mercy Hospitals and Clinics"/>
    <n v="775"/>
    <d v="2025-06-05T00:00:00"/>
    <n v="15813"/>
    <n v="39387"/>
    <d v="2011-01-01T00:00:00"/>
    <s v="Provider"/>
    <s v="United States"/>
    <s v="Individual Membership"/>
    <n v="6"/>
    <x v="3"/>
  </r>
  <r>
    <s v="Danielle Leighton Household"/>
    <n v="775"/>
    <d v="2025-01-14T00:00:00"/>
    <n v="14048"/>
    <n v="35481"/>
    <d v="2025-01-01T00:00:00"/>
    <s v=""/>
    <s v=""/>
    <s v="Individual Membership"/>
    <n v="1"/>
    <x v="1"/>
  </r>
  <r>
    <s v="Davera Gabriel Household"/>
    <n v="775"/>
    <d v="2025-01-29T00:00:00"/>
    <n v="14285"/>
    <n v="35820"/>
    <d v="2024-01-01T00:00:00"/>
    <s v=""/>
    <s v="Australia"/>
    <s v="Individual Membership"/>
    <n v="1"/>
    <x v="1"/>
  </r>
  <r>
    <s v="David Pyke Household"/>
    <n v="775"/>
    <d v="2025-02-25T00:00:00"/>
    <n v="14577"/>
    <n v="36245"/>
    <d v="2024-01-01T00:00:00"/>
    <s v=""/>
    <s v=""/>
    <s v="Individual Membership"/>
    <n v="2"/>
    <x v="1"/>
  </r>
  <r>
    <s v="Deloitte Consulting LLP"/>
    <n v="775"/>
    <d v="2025-03-26T00:00:00"/>
    <n v="14963"/>
    <n v="36964"/>
    <d v="2023-01-01T00:00:00"/>
    <s v="Consultant"/>
    <s v="United States"/>
    <s v="Individual Membership"/>
    <n v="3"/>
    <x v="1"/>
  </r>
  <r>
    <s v="Dmitry Maslennikov Household"/>
    <n v="775"/>
    <d v="2025-01-31T00:00:00"/>
    <n v="14307"/>
    <n v="35843"/>
    <d v="2025-01-01T00:00:00"/>
    <s v=""/>
    <s v="Montenegro"/>
    <s v="Individual Membership"/>
    <n v="1"/>
    <x v="1"/>
  </r>
  <r>
    <s v="Doug DeShazo Household"/>
    <n v="775"/>
    <d v="2025-06-08T00:00:00"/>
    <n v="15835"/>
    <n v="39412"/>
    <d v="2023-01-01T00:00:00"/>
    <s v=""/>
    <s v=""/>
    <s v="Individual Membership"/>
    <n v="6"/>
    <x v="1"/>
  </r>
  <r>
    <s v="Eden Muinamo Household"/>
    <n v="775"/>
    <d v="2025-01-20T00:00:00"/>
    <n v="14135"/>
    <n v="35601"/>
    <d v="2025-01-01T00:00:00"/>
    <s v=""/>
    <s v="United States"/>
    <s v="Individual Membership"/>
    <n v="1"/>
    <x v="1"/>
  </r>
  <r>
    <s v="EnableCare LLC"/>
    <n v="775"/>
    <d v="2025-07-31T00:00:00"/>
    <n v="16458"/>
    <n v="40632"/>
    <d v="2013-01-01T00:00:00"/>
    <s v="Consultant"/>
    <s v="United States"/>
    <s v="Individual Membership"/>
    <n v="7"/>
    <x v="4"/>
  </r>
  <r>
    <s v="Eva Keeling Household"/>
    <n v="775"/>
    <d v="2025-01-12T00:00:00"/>
    <n v="13977"/>
    <n v="35369"/>
    <d v="2025-01-01T00:00:00"/>
    <s v=""/>
    <s v=""/>
    <s v="Individual Membership"/>
    <n v="1"/>
    <x v="1"/>
  </r>
  <r>
    <s v="Fabian Merges Household"/>
    <n v="775"/>
    <d v="2025-04-14T00:00:00"/>
    <n v="15259"/>
    <n v="37948"/>
    <d v="2025-01-01T00:00:00"/>
    <s v=""/>
    <s v="United States"/>
    <s v="Individual Membership"/>
    <n v="4"/>
    <x v="1"/>
  </r>
  <r>
    <s v="Floyd Eisenberg Household"/>
    <n v="775"/>
    <d v="2025-08-01T00:00:00"/>
    <n v="16471"/>
    <n v="40655"/>
    <d v="2019-01-01T00:00:00"/>
    <s v=""/>
    <s v=""/>
    <s v="Individual Membership"/>
    <n v="8"/>
    <x v="2"/>
  </r>
  <r>
    <s v="Gail Winters Household"/>
    <n v="775"/>
    <d v="2025-05-26T00:00:00"/>
    <n v="15729"/>
    <n v="39258"/>
    <d v="2025-01-01T00:00:00"/>
    <s v=""/>
    <s v=""/>
    <s v="Individual Membership"/>
    <n v="5"/>
    <x v="1"/>
  </r>
  <r>
    <s v="Gary Blatt Household"/>
    <n v="775"/>
    <d v="2025-03-20T00:00:00"/>
    <n v="14898"/>
    <n v="36861"/>
    <d v="2023-01-01T00:00:00"/>
    <s v=""/>
    <s v=""/>
    <s v="Individual Membership"/>
    <n v="3"/>
    <x v="1"/>
  </r>
  <r>
    <s v="Goldbelt"/>
    <n v="775"/>
    <d v="2025-01-08T00:00:00"/>
    <n v="13825"/>
    <n v="35194"/>
    <d v="2025-01-01T00:00:00"/>
    <s v=""/>
    <s v=""/>
    <s v="Individual Membership"/>
    <n v="1"/>
    <x v="1"/>
  </r>
  <r>
    <s v="GoodRx"/>
    <n v="775"/>
    <d v="2025-01-14T00:00:00"/>
    <n v="14069"/>
    <n v="35508"/>
    <d v="2025-01-01T00:00:00"/>
    <s v=""/>
    <s v="United States"/>
    <s v="Individual Membership"/>
    <n v="1"/>
    <x v="1"/>
  </r>
  <r>
    <s v="Hausam Consulting LLC"/>
    <n v="775"/>
    <d v="2025-06-09T00:00:00"/>
    <n v="15844"/>
    <n v="39429"/>
    <d v="2023-01-01T00:00:00"/>
    <s v=""/>
    <s v="United States"/>
    <s v="Individual Membership"/>
    <n v="6"/>
    <x v="1"/>
  </r>
  <r>
    <s v="Holistic Healthcare Solutions, LLC."/>
    <n v="775"/>
    <d v="2025-02-26T00:00:00"/>
    <n v="14601"/>
    <n v="36283"/>
    <d v="2023-01-01T00:00:00"/>
    <s v=""/>
    <s v="United States"/>
    <s v="Individual Membership"/>
    <n v="2"/>
    <x v="1"/>
  </r>
  <r>
    <s v="Irina Angel Household"/>
    <n v="775"/>
    <d v="2025-01-14T00:00:00"/>
    <n v="14050"/>
    <n v="35483"/>
    <d v="2022-01-01T00:00:00"/>
    <s v=""/>
    <s v=""/>
    <s v="Individual Membership"/>
    <n v="1"/>
    <x v="1"/>
  </r>
  <r>
    <s v="Isaac Eigner Household"/>
    <n v="775"/>
    <d v="2025-06-22T00:00:00"/>
    <n v="15962"/>
    <n v="39638"/>
    <d v="2025-01-01T00:00:00"/>
    <s v=""/>
    <s v="United States"/>
    <s v="Individual Membership"/>
    <n v="6"/>
    <x v="1"/>
  </r>
  <r>
    <s v="Ivan Posthumus Household"/>
    <n v="775"/>
    <d v="2025-01-10T00:00:00"/>
    <n v="13943"/>
    <n v="35324"/>
    <d v="2022-01-01T00:00:00"/>
    <s v=""/>
    <s v=""/>
    <s v="Individual Membership"/>
    <n v="1"/>
    <x v="1"/>
  </r>
  <r>
    <s v="J. Marc Overhage Household"/>
    <n v="775"/>
    <d v="2025-07-07T00:00:00"/>
    <n v="16187"/>
    <n v="39964"/>
    <d v="2025-01-01T00:00:00"/>
    <s v=""/>
    <s v=""/>
    <s v="Individual Membership"/>
    <n v="7"/>
    <x v="1"/>
  </r>
  <r>
    <s v="Jalil Akhtar Household"/>
    <n v="775"/>
    <d v="2025-03-28T00:00:00"/>
    <n v="14995"/>
    <n v="37045"/>
    <d v="2025-01-01T00:00:00"/>
    <s v=""/>
    <s v=""/>
    <s v="Individual Membership"/>
    <n v="3"/>
    <x v="1"/>
  </r>
  <r>
    <s v="James Rollins Household"/>
    <n v="775"/>
    <d v="2025-01-08T00:00:00"/>
    <n v="13824"/>
    <n v="35193"/>
    <d v="2025-01-01T00:00:00"/>
    <s v=""/>
    <s v="United States"/>
    <s v="Individual Membership"/>
    <n v="1"/>
    <x v="1"/>
  </r>
  <r>
    <s v="Jeff Rochon Household"/>
    <n v="775"/>
    <d v="2025-07-30T00:00:00"/>
    <n v="16442"/>
    <n v="40563"/>
    <d v="2025-01-01T00:00:00"/>
    <s v=""/>
    <s v="United States"/>
    <s v="Individual Membership"/>
    <n v="7"/>
    <x v="1"/>
  </r>
  <r>
    <s v="Jennifer Herrmann Household"/>
    <n v="775"/>
    <d v="2025-05-22T00:00:00"/>
    <n v="15712"/>
    <n v="39241"/>
    <d v="2025-01-01T00:00:00"/>
    <s v=""/>
    <s v="United States"/>
    <s v="Individual Membership"/>
    <n v="5"/>
    <x v="1"/>
  </r>
  <r>
    <s v="Jennifer Marshall Household"/>
    <n v="775"/>
    <d v="2025-01-07T00:00:00"/>
    <n v="13794"/>
    <n v="35152"/>
    <d v="2025-01-01T00:00:00"/>
    <s v=""/>
    <s v="United States"/>
    <s v="Individual Membership"/>
    <n v="1"/>
    <x v="1"/>
  </r>
  <r>
    <s v="Johan Gangsås Hole Household"/>
    <n v="775"/>
    <d v="2025-02-06T00:00:00"/>
    <n v="14393"/>
    <n v="35956"/>
    <d v="2025-01-01T00:00:00"/>
    <s v=""/>
    <s v="United States"/>
    <s v="Individual Membership"/>
    <n v="2"/>
    <x v="1"/>
  </r>
  <r>
    <s v="John DAmore Household"/>
    <n v="775"/>
    <d v="2025-03-12T00:00:00"/>
    <n v="14737"/>
    <n v="36577"/>
    <d v="2021-01-01T00:00:00"/>
    <s v=""/>
    <s v=""/>
    <s v="Individual Membership"/>
    <n v="3"/>
    <x v="2"/>
  </r>
  <r>
    <s v="John Hatem Household"/>
    <n v="775"/>
    <d v="2025-05-05T00:00:00"/>
    <n v="15515"/>
    <n v="38843"/>
    <d v="2016-01-01T00:00:00"/>
    <s v=""/>
    <s v="United States"/>
    <s v="Individual Membership"/>
    <n v="5"/>
    <x v="4"/>
  </r>
  <r>
    <s v="John Hinch Household"/>
    <n v="775"/>
    <d v="2025-04-15T00:00:00"/>
    <n v="15266"/>
    <n v="37972"/>
    <d v="2025-01-01T00:00:00"/>
    <s v=""/>
    <s v="United States"/>
    <s v="Individual Membership"/>
    <n v="4"/>
    <x v="1"/>
  </r>
  <r>
    <s v="Jonathan Whitby Household"/>
    <n v="775"/>
    <d v="2025-02-24T00:00:00"/>
    <n v="14556"/>
    <n v="36197"/>
    <d v="2019-01-01T00:00:00"/>
    <s v=""/>
    <s v="United States"/>
    <s v="Individual Membership"/>
    <n v="2"/>
    <x v="2"/>
  </r>
  <r>
    <s v="Jonathan Zimmerling Household"/>
    <n v="775"/>
    <d v="2025-03-21T00:00:00"/>
    <n v="14917"/>
    <n v="36890"/>
    <d v="2023-01-01T00:00:00"/>
    <s v=""/>
    <s v=""/>
    <s v="Individual Membership"/>
    <n v="3"/>
    <x v="1"/>
  </r>
  <r>
    <s v="Kevin O'Donnell Household"/>
    <n v="775"/>
    <d v="2025-07-17T00:00:00"/>
    <n v="16287"/>
    <n v="40201"/>
    <d v="2024-01-01T00:00:00"/>
    <s v=""/>
    <s v=""/>
    <s v="Individual Membership"/>
    <n v="7"/>
    <x v="1"/>
  </r>
  <r>
    <s v="Laura Ozak Household"/>
    <n v="775"/>
    <d v="2025-01-24T00:00:00"/>
    <n v="14224"/>
    <n v="35734"/>
    <d v="2025-01-01T00:00:00"/>
    <s v=""/>
    <s v="United States"/>
    <s v="Individual Membership"/>
    <n v="1"/>
    <x v="1"/>
  </r>
  <r>
    <s v="Lauren Drobach Household"/>
    <n v="775"/>
    <d v="2025-03-07T00:00:00"/>
    <n v="14688"/>
    <n v="36501"/>
    <d v="2024-01-01T00:00:00"/>
    <s v=""/>
    <s v=""/>
    <s v="Individual Membership"/>
    <n v="3"/>
    <x v="1"/>
  </r>
  <r>
    <s v="Laurie Raske Household"/>
    <n v="775"/>
    <d v="2025-06-03T00:00:00"/>
    <n v="15788"/>
    <n v="39355"/>
    <d v="2024-01-01T00:00:00"/>
    <s v=""/>
    <s v=""/>
    <s v="Individual Membership"/>
    <n v="6"/>
    <x v="1"/>
  </r>
  <r>
    <s v="Li Hui-Lee Household"/>
    <n v="775"/>
    <d v="2025-05-24T00:00:00"/>
    <n v="15724"/>
    <n v="39253"/>
    <d v="2020-01-01T00:00:00"/>
    <s v=""/>
    <s v="United States"/>
    <s v="Individual Membership"/>
    <n v="5"/>
    <x v="2"/>
  </r>
  <r>
    <s v="Lindy Buhl Household"/>
    <n v="775"/>
    <d v="2025-06-19T00:00:00"/>
    <n v="15947"/>
    <n v="39621"/>
    <d v="2025-01-01T00:00:00"/>
    <s v=""/>
    <s v="United States"/>
    <s v="Individual Membership"/>
    <n v="6"/>
    <x v="1"/>
  </r>
  <r>
    <s v="Lisa Nelson Household"/>
    <n v="775"/>
    <d v="2025-03-25T00:00:00"/>
    <n v="14948"/>
    <n v="36939"/>
    <d v="2025-01-01T00:00:00"/>
    <s v=""/>
    <s v=""/>
    <s v="Individual Membership"/>
    <n v="3"/>
    <x v="1"/>
  </r>
  <r>
    <s v="MASAHARU NAKAYAMA Household"/>
    <n v="775"/>
    <d v="2025-04-20T00:00:00"/>
    <n v="15350"/>
    <n v="38390"/>
    <d v="2021-01-01T00:00:00"/>
    <s v=""/>
    <s v=""/>
    <s v="Individual Membership"/>
    <n v="4"/>
    <x v="2"/>
  </r>
  <r>
    <s v="Mamata Thakkar Household"/>
    <n v="775"/>
    <d v="2025-05-27T00:00:00"/>
    <n v="15733"/>
    <n v="39262"/>
    <d v="2025-01-01T00:00:00"/>
    <s v=""/>
    <s v="United States"/>
    <s v="Individual Membership"/>
    <n v="5"/>
    <x v="1"/>
  </r>
  <r>
    <s v="Manijeh Berenji Household"/>
    <n v="775"/>
    <d v="2025-03-24T00:00:00"/>
    <n v="14947"/>
    <n v="36938"/>
    <d v="2025-01-01T00:00:00"/>
    <s v=""/>
    <s v=""/>
    <s v="Individual Membership"/>
    <n v="3"/>
    <x v="1"/>
  </r>
  <r>
    <s v="Melva Peters Household"/>
    <n v="775"/>
    <d v="2025-02-26T00:00:00"/>
    <n v="14607"/>
    <n v="36304"/>
    <d v="2012-01-01T00:00:00"/>
    <s v=""/>
    <s v="Canada"/>
    <s v="Individual Membership"/>
    <n v="2"/>
    <x v="3"/>
  </r>
  <r>
    <s v="Michael Watkins Household"/>
    <n v="775"/>
    <d v="2025-06-09T00:00:00"/>
    <n v="15840"/>
    <n v="39417"/>
    <d v="2023-01-01T00:00:00"/>
    <s v=""/>
    <s v="United States"/>
    <s v="Individual Membership"/>
    <n v="6"/>
    <x v="1"/>
  </r>
  <r>
    <s v="Michele Trofatter Household"/>
    <n v="775"/>
    <d v="2025-05-22T00:00:00"/>
    <n v="15709"/>
    <n v="39238"/>
    <d v="2025-01-01T00:00:00"/>
    <s v=""/>
    <s v=""/>
    <s v="Individual Membership"/>
    <n v="5"/>
    <x v="1"/>
  </r>
  <r>
    <s v="Mladen Uzelac Household"/>
    <n v="775"/>
    <d v="2025-04-11T00:00:00"/>
    <n v="15208"/>
    <n v="37799"/>
    <d v="2025-01-01T00:00:00"/>
    <s v=""/>
    <s v="Croatia"/>
    <s v="Individual Membership"/>
    <n v="4"/>
    <x v="1"/>
  </r>
  <r>
    <s v="Nicole Miller Household"/>
    <n v="775"/>
    <d v="2025-03-22T00:00:00"/>
    <n v="14927"/>
    <n v="36905"/>
    <d v="2025-01-01T00:00:00"/>
    <s v=""/>
    <s v="United States"/>
    <s v="Individual Membership"/>
    <n v="3"/>
    <x v="1"/>
  </r>
  <r>
    <s v="Optimum eHealth"/>
    <n v="775"/>
    <d v="2025-03-11T00:00:00"/>
    <n v="14714"/>
    <n v="36537"/>
    <d v="2020-01-01T00:00:00"/>
    <s v=""/>
    <s v="United States"/>
    <s v="Individual Membership"/>
    <n v="3"/>
    <x v="2"/>
  </r>
  <r>
    <s v="Peter Muir Household"/>
    <n v="775"/>
    <d v="2025-05-24T00:00:00"/>
    <n v="15722"/>
    <n v="39251"/>
    <d v="2018-01-01T00:00:00"/>
    <s v=""/>
    <s v="United States"/>
    <s v="Individual Membership"/>
    <n v="5"/>
    <x v="2"/>
  </r>
  <r>
    <s v="Rachel Foerster Household"/>
    <n v="775"/>
    <d v="2025-07-11T00:00:00"/>
    <n v="16246"/>
    <n v="40109"/>
    <d v="2007-01-01T00:00:00"/>
    <s v=""/>
    <s v="United States"/>
    <s v="Individual Membership"/>
    <n v="7"/>
    <x v="0"/>
  </r>
  <r>
    <s v="Rachel Richesson Household"/>
    <n v="775"/>
    <d v="2025-06-13T00:00:00"/>
    <n v="15891"/>
    <n v="39517"/>
    <d v="2022-01-01T00:00:00"/>
    <s v=""/>
    <s v=""/>
    <s v="Individual Membership"/>
    <n v="6"/>
    <x v="1"/>
  </r>
  <r>
    <s v="Runyu Wu Household"/>
    <n v="775"/>
    <d v="2025-06-25T00:00:00"/>
    <n v="15994"/>
    <n v="39699"/>
    <d v="2025-01-01T00:00:00"/>
    <s v=""/>
    <s v="United States"/>
    <s v="Individual Membership"/>
    <n v="6"/>
    <x v="1"/>
  </r>
  <r>
    <s v="Ryan Howells Household"/>
    <n v="775"/>
    <d v="2025-04-01T00:00:00"/>
    <n v="15062"/>
    <n v="37185"/>
    <d v="2022-01-01T00:00:00"/>
    <s v=""/>
    <s v=""/>
    <s v="Individual Membership"/>
    <n v="4"/>
    <x v="1"/>
  </r>
  <r>
    <s v="Sam Schifman Household"/>
    <n v="775"/>
    <d v="2025-01-24T00:00:00"/>
    <n v="14220"/>
    <n v="35730"/>
    <d v="2025-01-01T00:00:00"/>
    <s v=""/>
    <s v=""/>
    <s v="Individual Membership"/>
    <n v="1"/>
    <x v="1"/>
  </r>
  <r>
    <s v="Shay Downey-Forsythe Household"/>
    <n v="775"/>
    <d v="2025-03-10T00:00:00"/>
    <n v="14708"/>
    <n v="36531"/>
    <d v="2024-01-01T00:00:00"/>
    <s v=""/>
    <s v="United States"/>
    <s v="Individual Membership"/>
    <n v="3"/>
    <x v="1"/>
  </r>
  <r>
    <s v="Stefania Paperini Household"/>
    <n v="775"/>
    <d v="2025-07-15T00:00:00"/>
    <n v="16265"/>
    <n v="40149"/>
    <d v="2025-01-01T00:00:00"/>
    <s v=""/>
    <s v=""/>
    <s v="Individual Membership"/>
    <n v="7"/>
    <x v="1"/>
  </r>
  <r>
    <s v="Steven Krchniak Household"/>
    <n v="775"/>
    <d v="2025-03-25T00:00:00"/>
    <n v="14958"/>
    <n v="36949"/>
    <d v="2024-01-01T00:00:00"/>
    <s v=""/>
    <s v=""/>
    <s v="Individual Membership"/>
    <n v="3"/>
    <x v="1"/>
  </r>
  <r>
    <s v="Susan Matney Household"/>
    <n v="775"/>
    <d v="2025-01-16T00:00:00"/>
    <n v="14109"/>
    <n v="35562"/>
    <d v="2022-01-01T00:00:00"/>
    <s v=""/>
    <s v="United States"/>
    <s v="Individual Membership"/>
    <n v="1"/>
    <x v="1"/>
  </r>
  <r>
    <s v="USC/CHLA"/>
    <n v="775"/>
    <d v="2025-03-25T00:00:00"/>
    <n v="14953"/>
    <n v="36944"/>
    <d v="2022-01-01T00:00:00"/>
    <s v=""/>
    <s v="United States"/>
    <s v="Individual Membership"/>
    <n v="3"/>
    <x v="1"/>
  </r>
  <r>
    <s v="University of Illinois at Chicago Medical Center"/>
    <n v="775"/>
    <d v="2025-02-16T00:00:00"/>
    <n v="14471"/>
    <n v="36076"/>
    <d v="2010-01-01T00:00:00"/>
    <s v="Provider"/>
    <s v="United States"/>
    <s v="Individual Membership"/>
    <n v="2"/>
    <x v="3"/>
  </r>
  <r>
    <s v="Virginia Lorenzi Household"/>
    <n v="775"/>
    <d v="2025-05-21T00:00:00"/>
    <n v="15705"/>
    <n v="39234"/>
    <d v="2025-01-01T00:00:00"/>
    <s v=""/>
    <s v="United States"/>
    <s v="Individual Membership"/>
    <n v="5"/>
    <x v="1"/>
  </r>
  <r>
    <s v="Yanick Gaudet Household"/>
    <n v="775"/>
    <d v="2025-05-21T00:00:00"/>
    <n v="15703"/>
    <n v="39232"/>
    <d v="2022-01-01T00:00:00"/>
    <s v=""/>
    <s v="United States"/>
    <s v="Individual Membership"/>
    <n v="5"/>
    <x v="1"/>
  </r>
  <r>
    <s v="HL7 Belgium"/>
    <n v="1000"/>
    <d v="2025-03-21T00:00:00"/>
    <n v="14940"/>
    <n v="36932"/>
    <d v="2020-01-01T00:00:00"/>
    <s v=""/>
    <s v="Belgium"/>
    <s v="Affiliate Membership"/>
    <n v="3"/>
    <x v="2"/>
  </r>
  <r>
    <s v="HL7 Brazil"/>
    <n v="1000"/>
    <d v="2025-06-11T00:00:00"/>
    <n v="15877"/>
    <n v="39499"/>
    <d v="2002-01-01T00:00:00"/>
    <s v=""/>
    <s v="Brazil"/>
    <s v="Affiliate Membership"/>
    <n v="6"/>
    <x v="0"/>
  </r>
  <r>
    <s v="HL7 Chile"/>
    <n v="1000"/>
    <d v="2025-04-01T00:00:00"/>
    <n v="15066"/>
    <n v="37189"/>
    <d v="2019-01-01T00:00:00"/>
    <s v=""/>
    <s v="Chile"/>
    <s v="Affiliate Membership"/>
    <n v="4"/>
    <x v="2"/>
  </r>
  <r>
    <s v="HL7 China"/>
    <n v="1000"/>
    <d v="2025-03-20T00:00:00"/>
    <n v="14895"/>
    <n v="36858"/>
    <d v="2000-01-01T00:00:00"/>
    <s v=""/>
    <s v="China"/>
    <s v="Affiliate Membership"/>
    <n v="3"/>
    <x v="0"/>
  </r>
  <r>
    <s v="HL7 Croatia"/>
    <n v="1000"/>
    <d v="2025-03-31T00:00:00"/>
    <n v="15063"/>
    <n v="37186"/>
    <d v="2002-01-01T00:00:00"/>
    <s v=""/>
    <s v="Croatia"/>
    <s v="Affiliate Membership"/>
    <n v="3"/>
    <x v="0"/>
  </r>
  <r>
    <s v="HL7 India"/>
    <n v="1000"/>
    <d v="2025-07-08T00:00:00"/>
    <n v="16212"/>
    <n v="40012"/>
    <d v="2000-01-01T00:00:00"/>
    <s v=""/>
    <s v="India"/>
    <s v="Affiliate Membership"/>
    <n v="7"/>
    <x v="0"/>
  </r>
  <r>
    <s v="HL7 Mexico"/>
    <n v="1000"/>
    <d v="2025-03-31T00:00:00"/>
    <n v="15064"/>
    <n v="37187"/>
    <d v="2021-01-01T00:00:00"/>
    <s v=""/>
    <s v="Mexico"/>
    <s v="Affiliate Membership"/>
    <n v="3"/>
    <x v="2"/>
  </r>
  <r>
    <s v="HL7 Philippines"/>
    <n v="1000"/>
    <d v="2025-05-05T00:00:00"/>
    <n v="15520"/>
    <n v="38860"/>
    <d v="2014-01-01T00:00:00"/>
    <s v=""/>
    <s v="Philippines"/>
    <s v="Affiliate Membership"/>
    <n v="5"/>
    <x v="4"/>
  </r>
  <r>
    <s v="HL7 Russia"/>
    <n v="1000"/>
    <d v="2025-04-15T00:00:00"/>
    <n v="15306"/>
    <n v="38191"/>
    <d v="2009-01-01T00:00:00"/>
    <s v=""/>
    <s v="Russian Federation"/>
    <s v="Affiliate Membership"/>
    <n v="4"/>
    <x v="3"/>
  </r>
  <r>
    <s v="HL7 Slovakia"/>
    <n v="1000"/>
    <d v="2025-04-02T00:00:00"/>
    <n v="15093"/>
    <n v="37297"/>
    <d v="2023-01-01T00:00:00"/>
    <s v=""/>
    <s v="Slovakia"/>
    <s v="Affiliate Membership"/>
    <n v="4"/>
    <x v="1"/>
  </r>
  <r>
    <s v="HL7 Slovenia"/>
    <n v="1000"/>
    <d v="2025-02-07T00:00:00"/>
    <n v="14422"/>
    <n v="36009"/>
    <d v="2014-01-01T00:00:00"/>
    <s v=""/>
    <s v="Slovenia"/>
    <s v="Affiliate Membership"/>
    <n v="2"/>
    <x v="4"/>
  </r>
  <r>
    <s v="HL7 UAE"/>
    <n v="1000"/>
    <d v="2025-05-27T00:00:00"/>
    <n v="15738"/>
    <n v="39267"/>
    <d v="2017-01-01T00:00:00"/>
    <s v=""/>
    <s v="United Arab Emirates"/>
    <s v="Affiliate Membership"/>
    <n v="5"/>
    <x v="4"/>
  </r>
  <r>
    <s v="HL7 Ukraine"/>
    <n v="1000"/>
    <d v="2025-05-16T00:00:00"/>
    <n v="15670"/>
    <n v="39200"/>
    <d v="2018-01-01T00:00:00"/>
    <s v=""/>
    <s v="Ukraine"/>
    <s v="Affiliate Membership"/>
    <n v="5"/>
    <x v="2"/>
  </r>
  <r>
    <s v="HL7 Argentina"/>
    <n v="1033"/>
    <d v="2025-03-27T00:00:00"/>
    <n v="15190"/>
    <n v="37731"/>
    <d v="2001-01-01T00:00:00"/>
    <s v=""/>
    <s v="Argentina"/>
    <s v="Affiliate Membership"/>
    <n v="3"/>
    <x v="0"/>
  </r>
  <r>
    <s v="HL7 Taiwan"/>
    <n v="1053.5"/>
    <d v="2025-03-20T00:00:00"/>
    <n v="14904"/>
    <n v="36867"/>
    <d v="2000-01-01T00:00:00"/>
    <s v=""/>
    <s v="Taiwan"/>
    <s v="Affiliate Membership"/>
    <n v="3"/>
    <x v="0"/>
  </r>
  <r>
    <s v="HL7 Greece"/>
    <n v="1242"/>
    <d v="2025-04-01T00:00:00"/>
    <n v="15079"/>
    <n v="37262"/>
    <d v="2003-01-01T00:00:00"/>
    <s v=""/>
    <s v="Greece"/>
    <s v="Affiliate Membership"/>
    <n v="4"/>
    <x v="0"/>
  </r>
  <r>
    <s v="HL7 Colombia"/>
    <n v="1308"/>
    <d v="2025-04-15T00:00:00"/>
    <n v="15327"/>
    <n v="38280"/>
    <d v="2022-01-01T00:00:00"/>
    <s v=""/>
    <s v="Colombia"/>
    <s v="Affiliate Membership"/>
    <n v="4"/>
    <x v="1"/>
  </r>
  <r>
    <s v="HL7 Korea"/>
    <n v="1359"/>
    <d v="2025-03-27T00:00:00"/>
    <n v="15001"/>
    <n v="37060"/>
    <d v="2000-01-01T00:00:00"/>
    <s v=""/>
    <s v="Korea, Republic of"/>
    <s v="Affiliate Membership"/>
    <n v="3"/>
    <x v="0"/>
  </r>
  <r>
    <s v="Agence eSante Luxembourg"/>
    <n v="1545"/>
    <d v="2025-04-22T00:00:00"/>
    <n v="15381"/>
    <n v="38442"/>
    <d v="2015-01-01T00:00:00"/>
    <s v="Government/Professional Associations/Academic Institution"/>
    <s v="Luxembourg"/>
    <s v="Organizational Membership"/>
    <n v="4"/>
    <x v="4"/>
  </r>
  <r>
    <s v="American College of Radiology"/>
    <n v="1545"/>
    <d v="2025-04-03T00:00:00"/>
    <n v="15100"/>
    <n v="37324"/>
    <d v="2003-01-01T00:00:00"/>
    <s v="Government/Professional Associations/Academic Institution"/>
    <s v="United States"/>
    <s v="Organizational Membership"/>
    <n v="4"/>
    <x v="0"/>
  </r>
  <r>
    <s v="American Dental Association"/>
    <n v="1545"/>
    <d v="2025-03-06T00:00:00"/>
    <n v="14689"/>
    <n v="36502"/>
    <d v="2012-01-01T00:00:00"/>
    <s v="Government/Professional Associations/Academic Institution"/>
    <s v="United States"/>
    <s v="Organizational Membership"/>
    <n v="3"/>
    <x v="3"/>
  </r>
  <r>
    <s v="Black Duck Software Oy"/>
    <n v="1545"/>
    <d v="2025-01-09T00:00:00"/>
    <n v="13918"/>
    <n v="35299"/>
    <d v="2016-01-01T00:00:00"/>
    <s v="Supplier/Vendor"/>
    <s v="Finland"/>
    <s v="Organizational Membership"/>
    <n v="1"/>
    <x v="4"/>
  </r>
  <r>
    <s v="CYSNET LLC"/>
    <n v="1545"/>
    <d v="2025-04-22T00:00:00"/>
    <n v="15378"/>
    <n v="38439"/>
    <d v="2024-01-01T00:00:00"/>
    <s v="Supplier/Vendor"/>
    <s v="United States"/>
    <s v="Organizational Membership"/>
    <n v="4"/>
    <x v="1"/>
  </r>
  <r>
    <s v="Caristix"/>
    <n v="1545"/>
    <d v="2025-01-06T00:00:00"/>
    <n v="13765"/>
    <n v="35119"/>
    <d v="2010-01-01T00:00:00"/>
    <s v="Supplier/Vendor"/>
    <s v="Canada"/>
    <s v="Organizational Membership"/>
    <n v="1"/>
    <x v="3"/>
  </r>
  <r>
    <s v="Coditas Solutions LLP"/>
    <n v="1545"/>
    <d v="2025-01-27T00:00:00"/>
    <n v="14244"/>
    <n v="35754"/>
    <d v="2025-01-01T00:00:00"/>
    <s v="Supplier/Vendor"/>
    <s v="United States"/>
    <s v="Organizational Membership"/>
    <n v="1"/>
    <x v="1"/>
  </r>
  <r>
    <s v="Dataware Sdn Bhd"/>
    <n v="1545"/>
    <d v="2025-02-18T00:00:00"/>
    <n v="14505"/>
    <n v="36131"/>
    <d v="2012-01-01T00:00:00"/>
    <s v="Supplier/Vendor"/>
    <s v="Malaysia"/>
    <s v="Organizational Membership"/>
    <n v="2"/>
    <x v="3"/>
  </r>
  <r>
    <s v="EMR Direct"/>
    <n v="1545"/>
    <d v="2025-06-09T00:00:00"/>
    <n v="15847"/>
    <n v="39444"/>
    <d v="2018-01-01T00:00:00"/>
    <s v="Supplier/Vendor"/>
    <s v="United States"/>
    <s v="Organizational Membership"/>
    <n v="6"/>
    <x v="2"/>
  </r>
  <r>
    <s v="GigaTECH LLC"/>
    <n v="1545"/>
    <d v="2025-02-04T00:00:00"/>
    <n v="14362"/>
    <n v="35913"/>
    <d v="2021-01-01T00:00:00"/>
    <s v="Consultant"/>
    <s v="United States"/>
    <s v="Organizational Membership"/>
    <n v="2"/>
    <x v="2"/>
  </r>
  <r>
    <s v="HealthLX"/>
    <n v="1545"/>
    <d v="2025-03-31T00:00:00"/>
    <n v="15039"/>
    <n v="37132"/>
    <d v="2014-01-01T00:00:00"/>
    <s v="Supplier/Vendor"/>
    <s v="United States"/>
    <s v="Organizational Membership"/>
    <n v="3"/>
    <x v="4"/>
  </r>
  <r>
    <s v="ICH"/>
    <n v="1545"/>
    <d v="2025-06-12T00:00:00"/>
    <n v="15874"/>
    <n v="39487"/>
    <d v="2012-01-01T00:00:00"/>
    <s v="Government/Professional Associations/Academic Institution"/>
    <s v="Switzerland"/>
    <s v="Organizational Membership"/>
    <n v="6"/>
    <x v="3"/>
  </r>
  <r>
    <s v="IPRO"/>
    <n v="1545"/>
    <d v="2025-04-30T00:00:00"/>
    <n v="15467"/>
    <n v="38682"/>
    <d v="2021-01-01T00:00:00"/>
    <s v="Government/Professional Associations/Academic Institution"/>
    <s v="United States"/>
    <s v="Organizational Membership"/>
    <n v="4"/>
    <x v="2"/>
  </r>
  <r>
    <s v="Isak Computing"/>
    <n v="1545"/>
    <d v="2025-03-19T00:00:00"/>
    <n v="14883"/>
    <n v="36839"/>
    <d v="2025-01-01T00:00:00"/>
    <s v="Supplier/Vendor"/>
    <s v="United States"/>
    <s v="Organizational Membership"/>
    <n v="3"/>
    <x v="1"/>
  </r>
  <r>
    <s v="J Michael Consulting, LLC"/>
    <n v="1545"/>
    <d v="2025-06-13T00:00:00"/>
    <n v="15892"/>
    <n v="39518"/>
    <d v="2018-01-01T00:00:00"/>
    <s v="Consultant"/>
    <s v="United States"/>
    <s v="Organizational Membership"/>
    <n v="6"/>
    <x v="2"/>
  </r>
  <r>
    <s v="KeyOn Inc."/>
    <n v="1545"/>
    <d v="2025-07-24T00:00:00"/>
    <n v="16362"/>
    <n v="40399"/>
    <d v="2025-01-01T00:00:00"/>
    <s v="Supplier/Vendor"/>
    <s v="United States"/>
    <s v="Organizational Membership"/>
    <n v="7"/>
    <x v="1"/>
  </r>
  <r>
    <s v="Kiser Healthcare Solutions, LLC"/>
    <n v="1545"/>
    <d v="2025-02-20T00:00:00"/>
    <n v="14524"/>
    <n v="36150"/>
    <d v="2023-01-01T00:00:00"/>
    <s v="Consultant"/>
    <s v="United States"/>
    <s v="Organizational Membership"/>
    <n v="2"/>
    <x v="1"/>
  </r>
  <r>
    <s v="KlearTrust"/>
    <n v="1545"/>
    <d v="2025-01-28T00:00:00"/>
    <n v="14273"/>
    <n v="35804"/>
    <d v="2024-01-01T00:00:00"/>
    <s v="Supplier/Vendor"/>
    <s v="United States"/>
    <s v="Organizational Membership"/>
    <n v="1"/>
    <x v="1"/>
  </r>
  <r>
    <s v="Mosaic Life Tech, LLC"/>
    <n v="1545"/>
    <d v="2025-07-01T00:00:00"/>
    <n v="16062"/>
    <n v="39802"/>
    <d v="2025-01-01T00:00:00"/>
    <s v="Consultant"/>
    <s v="United States"/>
    <s v="Organizational Membership"/>
    <n v="7"/>
    <x v="1"/>
  </r>
  <r>
    <s v="NAACCR"/>
    <n v="1545"/>
    <d v="2025-07-25T00:00:00"/>
    <n v="16384"/>
    <n v="40465"/>
    <d v="1997-01-01T00:00:00"/>
    <s v="Government/Professional Associations/Academic Institution"/>
    <s v="United States"/>
    <s v="Organizational Membership"/>
    <n v="7"/>
    <x v="0"/>
  </r>
  <r>
    <s v="NYCHHC - EITS"/>
    <n v="1545"/>
    <d v="2025-05-29T00:00:00"/>
    <n v="15757"/>
    <n v="39305"/>
    <d v="2025-01-01T00:00:00"/>
    <s v="Government/Professional Associations/Academic Institution"/>
    <s v="United States"/>
    <s v="Organizational Membership"/>
    <n v="5"/>
    <x v="1"/>
  </r>
  <r>
    <s v="National Association of Dental Plans"/>
    <n v="1545"/>
    <d v="2025-01-06T00:00:00"/>
    <n v="13776"/>
    <n v="35134"/>
    <d v="2006-01-01T00:00:00"/>
    <s v="Government/Professional Associations/Academic Institution"/>
    <s v="United States"/>
    <s v="Organizational Membership"/>
    <n v="1"/>
    <x v="0"/>
  </r>
  <r>
    <s v="OR.NET"/>
    <n v="1545"/>
    <d v="2025-04-02T00:00:00"/>
    <n v="15092"/>
    <n v="37296"/>
    <d v="2020-01-01T00:00:00"/>
    <s v="Government/Professional Associations/Academic Institution"/>
    <s v="Germany"/>
    <s v="Organizational Membership"/>
    <n v="4"/>
    <x v="2"/>
  </r>
  <r>
    <s v="Patient Centric Solutions"/>
    <n v="1545"/>
    <d v="2025-04-30T00:00:00"/>
    <n v="15464"/>
    <n v="38674"/>
    <d v="2025-01-01T00:00:00"/>
    <s v="Supplier/Vendor"/>
    <s v="United States"/>
    <s v="Organizational Membership"/>
    <n v="4"/>
    <x v="1"/>
  </r>
  <r>
    <s v="Patient Resource LLC"/>
    <n v="1545"/>
    <d v="2025-04-09T00:00:00"/>
    <n v="15193"/>
    <n v="37734"/>
    <d v="2012-01-01T00:00:00"/>
    <s v="Supplier/Vendor"/>
    <s v="United States"/>
    <s v="Organizational Membership"/>
    <n v="4"/>
    <x v="3"/>
  </r>
  <r>
    <s v="Professional Laboratory Management, Inc."/>
    <n v="1545"/>
    <d v="2025-01-06T00:00:00"/>
    <n v="13773"/>
    <n v="35131"/>
    <d v="2010-01-01T00:00:00"/>
    <s v="Consultant"/>
    <s v="United States"/>
    <s v="Organizational Membership"/>
    <n v="1"/>
    <x v="3"/>
  </r>
  <r>
    <s v="Registry Clearinghouse"/>
    <n v="1545"/>
    <d v="2025-03-05T00:00:00"/>
    <n v="14670"/>
    <n v="36450"/>
    <d v="2019-01-01T00:00:00"/>
    <s v="Supplier/Vendor"/>
    <s v="United States"/>
    <s v="Organizational Membership"/>
    <n v="3"/>
    <x v="2"/>
  </r>
  <r>
    <s v="RevDoc, LLC"/>
    <n v="1545"/>
    <d v="2025-07-22T00:00:00"/>
    <n v="16339"/>
    <n v="40319"/>
    <d v="2023-01-01T00:00:00"/>
    <s v="Supplier/Vendor"/>
    <s v="United States"/>
    <s v="Organizational Membership"/>
    <n v="7"/>
    <x v="1"/>
  </r>
  <r>
    <s v="SLI Compliance"/>
    <n v="1545"/>
    <d v="2025-01-20T00:00:00"/>
    <n v="14144"/>
    <n v="35616"/>
    <d v="2013-01-01T00:00:00"/>
    <s v="Government/Professional Associations/Academic Institution"/>
    <s v="United States"/>
    <s v="Organizational Membership"/>
    <n v="1"/>
    <x v="4"/>
  </r>
  <r>
    <s v="Safe Software Inc."/>
    <n v="1545"/>
    <d v="2025-01-30T00:00:00"/>
    <n v="14312"/>
    <n v="35848"/>
    <d v="2024-01-01T00:00:00"/>
    <s v="Supplier/Vendor"/>
    <s v="Canada"/>
    <s v="Organizational Membership"/>
    <n v="1"/>
    <x v="1"/>
  </r>
  <r>
    <s v="Stedi"/>
    <n v="1545"/>
    <d v="2025-03-17T00:00:00"/>
    <n v="14823"/>
    <n v="36736"/>
    <d v="2021-01-01T00:00:00"/>
    <s v="Supplier/Vendor"/>
    <s v="United States"/>
    <s v="Organizational Membership"/>
    <n v="3"/>
    <x v="2"/>
  </r>
  <r>
    <s v="Stratevora"/>
    <n v="1545"/>
    <d v="2025-05-14T00:00:00"/>
    <n v="15635"/>
    <n v="39152"/>
    <d v="2025-01-01T00:00:00"/>
    <s v="Consultant"/>
    <s v="United States"/>
    <s v="Organizational Membership"/>
    <n v="5"/>
    <x v="1"/>
  </r>
  <r>
    <s v="Tetra Fields LLC"/>
    <n v="1545"/>
    <d v="2025-01-22T00:00:00"/>
    <n v="14170"/>
    <n v="35654"/>
    <d v="2025-01-01T00:00:00"/>
    <s v="Supplier/Vendor"/>
    <s v="United States"/>
    <s v="Organizational Membership"/>
    <n v="1"/>
    <x v="1"/>
  </r>
  <r>
    <s v="University of Missouri"/>
    <n v="1545"/>
    <d v="2025-07-28T00:00:00"/>
    <n v="16415"/>
    <n v="40518"/>
    <d v="2022-01-01T00:00:00"/>
    <s v="Government/Professional Associations/Academic Institution"/>
    <s v="United States"/>
    <s v="Organizational Membership"/>
    <n v="7"/>
    <x v="1"/>
  </r>
  <r>
    <s v="Veeva Systems"/>
    <n v="1545"/>
    <d v="2025-03-18T00:00:00"/>
    <n v="14830"/>
    <n v="36743"/>
    <d v="2025-01-01T00:00:00"/>
    <s v="Supplier/Vendor"/>
    <s v="United States"/>
    <s v="Organizational Membership"/>
    <n v="3"/>
    <x v="1"/>
  </r>
  <r>
    <s v="WNY HEALTHeLINK"/>
    <n v="1545"/>
    <d v="2025-02-10T00:00:00"/>
    <n v="14419"/>
    <n v="36006"/>
    <d v="2011-01-01T00:00:00"/>
    <s v="Government/Professional Associations/Academic Institution"/>
    <s v="United States"/>
    <s v="Organizational Membership"/>
    <n v="2"/>
    <x v="3"/>
  </r>
  <r>
    <s v="WaveOne Associates Inc."/>
    <n v="1545"/>
    <d v="2025-04-02T00:00:00"/>
    <n v="15075"/>
    <n v="37243"/>
    <d v="2013-01-01T00:00:00"/>
    <s v="Consultant"/>
    <s v="United States"/>
    <s v="Organizational Membership"/>
    <n v="4"/>
    <x v="4"/>
  </r>
  <r>
    <s v="Westat"/>
    <n v="1545"/>
    <d v="2025-03-26T00:00:00"/>
    <n v="14965"/>
    <n v="36975"/>
    <d v="2010-01-01T00:00:00"/>
    <s v="Government/Professional Associations/Academic Institution"/>
    <s v="United States"/>
    <s v="Organizational Membership"/>
    <n v="3"/>
    <x v="3"/>
  </r>
  <r>
    <s v="Zus Health"/>
    <n v="1545"/>
    <d v="2025-02-07T00:00:00"/>
    <n v="14410"/>
    <n v="35988"/>
    <d v="2024-01-01T00:00:00"/>
    <s v="Supplier/Vendor"/>
    <s v="United States"/>
    <s v="Organizational Membership"/>
    <n v="2"/>
    <x v="1"/>
  </r>
  <r>
    <s v="ezEMRx"/>
    <n v="1545"/>
    <d v="2025-04-28T00:00:00"/>
    <n v="15442"/>
    <n v="38611"/>
    <d v="2009-01-01T00:00:00"/>
    <s v="Supplier/Vendor"/>
    <s v="United States"/>
    <s v="Organizational Membership"/>
    <n v="4"/>
    <x v="3"/>
  </r>
  <r>
    <s v="HL7 Spain"/>
    <n v="1590.58"/>
    <d v="2025-07-02T00:00:00"/>
    <n v="16075"/>
    <n v="39823"/>
    <d v="2003-01-01T00:00:00"/>
    <s v=""/>
    <s v="Spain"/>
    <s v="Affiliate Membership"/>
    <n v="7"/>
    <x v="0"/>
  </r>
  <r>
    <s v="HL7 Czech Republic"/>
    <n v="1643.74"/>
    <d v="2025-02-24T00:00:00"/>
    <n v="14586"/>
    <n v="36254"/>
    <d v="2001-01-01T00:00:00"/>
    <s v=""/>
    <s v="Czech Republic"/>
    <s v="Affiliate Membership"/>
    <n v="2"/>
    <x v="0"/>
  </r>
  <r>
    <s v="ARUP Laboratories, Inc."/>
    <n v="1650"/>
    <d v="2025-04-01T00:00:00"/>
    <n v="15065"/>
    <n v="37188"/>
    <d v="2002-01-01T00:00:00"/>
    <s v="Provider"/>
    <s v="United States"/>
    <s v="Organizational Membership"/>
    <n v="4"/>
    <x v="0"/>
  </r>
  <r>
    <s v="Best Option Healthcare PR"/>
    <n v="1650"/>
    <d v="2025-04-21T00:00:00"/>
    <n v="15371"/>
    <n v="38426"/>
    <d v="2022-01-01T00:00:00"/>
    <s v="Provider"/>
    <s v="United States"/>
    <s v="Organizational Membership"/>
    <n v="4"/>
    <x v="1"/>
  </r>
  <r>
    <s v="Mediclinic Southern Africa"/>
    <n v="1650"/>
    <d v="2025-04-03T00:00:00"/>
    <n v="15084"/>
    <n v="37267"/>
    <d v="2016-01-01T00:00:00"/>
    <s v="Provider"/>
    <s v="South Africa"/>
    <s v="Organizational Membership"/>
    <n v="4"/>
    <x v="4"/>
  </r>
  <r>
    <s v="StationMD, PC"/>
    <n v="1650"/>
    <d v="2025-07-07T00:00:00"/>
    <n v="16184"/>
    <n v="39955"/>
    <d v="2021-01-01T00:00:00"/>
    <s v="Provider"/>
    <s v="United States"/>
    <s v="Organizational Membership"/>
    <n v="7"/>
    <x v="2"/>
  </r>
  <r>
    <s v="University of Nebraska Medical Center"/>
    <n v="1650"/>
    <d v="2025-03-17T00:00:00"/>
    <n v="14812"/>
    <n v="36725"/>
    <d v="2002-01-01T00:00:00"/>
    <s v="Provider"/>
    <s v="United States"/>
    <s v="Organizational Membership"/>
    <n v="3"/>
    <x v="0"/>
  </r>
  <r>
    <s v="Acre Security"/>
    <n v="1905"/>
    <d v="2025-02-14T00:00:00"/>
    <n v="14482"/>
    <n v="36087"/>
    <d v="2022-01-01T00:00:00"/>
    <s v="Supplier/Vendor"/>
    <s v="United States"/>
    <s v="Gold Membership"/>
    <n v="2"/>
    <x v="1"/>
  </r>
  <r>
    <s v="Altarum"/>
    <n v="1905"/>
    <d v="2025-07-28T00:00:00"/>
    <n v="16411"/>
    <n v="40502"/>
    <d v="2014-01-01T00:00:00"/>
    <s v="Consultant"/>
    <s v="United States"/>
    <s v="Gold Membership"/>
    <n v="7"/>
    <x v="4"/>
  </r>
  <r>
    <s v="American College of Physicians"/>
    <n v="1905"/>
    <d v="2025-04-11T00:00:00"/>
    <n v="15216"/>
    <n v="37814"/>
    <d v="2013-01-01T00:00:00"/>
    <s v="Government/Professional Associations/Academic Institution"/>
    <s v="United States"/>
    <s v="Gold Membership"/>
    <n v="4"/>
    <x v="4"/>
  </r>
  <r>
    <s v="American Heart Association"/>
    <n v="1905"/>
    <d v="2025-05-23T00:00:00"/>
    <n v="15717"/>
    <n v="39246"/>
    <d v="2021-01-01T00:00:00"/>
    <s v="Government/Professional Associations/Academic Institution"/>
    <s v="United States"/>
    <s v="Gold Membership"/>
    <n v="5"/>
    <x v="2"/>
  </r>
  <r>
    <s v="Blue Cross Blue Shield Association"/>
    <n v="1905"/>
    <d v="2025-05-07T00:00:00"/>
    <n v="15561"/>
    <n v="38970"/>
    <d v="1999-01-01T00:00:00"/>
    <s v="Government/Professional Associations/Academic Institution"/>
    <s v="United States"/>
    <s v="Gold Membership"/>
    <n v="5"/>
    <x v="0"/>
  </r>
  <r>
    <s v="CAL2CAL Corporation"/>
    <n v="1905"/>
    <d v="2025-02-19T00:00:00"/>
    <n v="14507"/>
    <n v="36134"/>
    <d v="2003-01-01T00:00:00"/>
    <s v="Supplier/Vendor"/>
    <s v="United States"/>
    <s v="Gold Membership"/>
    <n v="2"/>
    <x v="0"/>
  </r>
  <r>
    <s v="CU Anschutz Medical Campus"/>
    <n v="1905"/>
    <d v="2025-01-09T00:00:00"/>
    <n v="13881"/>
    <n v="35253"/>
    <d v="2021-01-01T00:00:00"/>
    <s v="Government/Professional Associations/Academic Institution"/>
    <s v="United States"/>
    <s v="Gold Membership"/>
    <n v="1"/>
    <x v="2"/>
  </r>
  <r>
    <s v="Carradora Health, Inc."/>
    <n v="1905"/>
    <d v="2025-05-27T00:00:00"/>
    <n v="15734"/>
    <n v="39263"/>
    <d v="2018-01-01T00:00:00"/>
    <s v="Consultant"/>
    <s v="United States"/>
    <s v="Gold Membership"/>
    <n v="5"/>
    <x v="2"/>
  </r>
  <r>
    <s v="Computable Publishing LLC"/>
    <n v="1905"/>
    <d v="2025-02-27T00:00:00"/>
    <n v="14617"/>
    <n v="36333"/>
    <d v="2020-01-01T00:00:00"/>
    <s v="Consultant"/>
    <s v="United States"/>
    <s v="Gold Membership"/>
    <n v="2"/>
    <x v="2"/>
  </r>
  <r>
    <s v="Firely USA"/>
    <n v="1905"/>
    <d v="2025-01-21T00:00:00"/>
    <n v="14154"/>
    <n v="35633"/>
    <d v="2024-01-01T00:00:00"/>
    <s v="Supplier/Vendor"/>
    <s v="United States"/>
    <s v="Gold Membership"/>
    <n v="1"/>
    <x v="1"/>
  </r>
  <r>
    <s v="HIMSS"/>
    <n v="1905"/>
    <d v="2025-01-24T00:00:00"/>
    <n v="14260"/>
    <n v="35770"/>
    <d v="2009-01-01T00:00:00"/>
    <s v="Government/Professional Associations/Academic Institution"/>
    <s v="United States"/>
    <s v="Gold Membership"/>
    <n v="1"/>
    <x v="3"/>
  </r>
  <r>
    <s v="ICHOM"/>
    <n v="1905"/>
    <d v="2025-06-26T00:00:00"/>
    <n v="16015"/>
    <n v="39726"/>
    <d v="2021-01-01T00:00:00"/>
    <s v="Government/Professional Associations/Academic Institution"/>
    <s v="United States"/>
    <s v="Gold Membership"/>
    <n v="6"/>
    <x v="2"/>
  </r>
  <r>
    <s v="Massachusetts Health Data Consortium"/>
    <n v="1905"/>
    <d v="2025-04-16T00:00:00"/>
    <n v="15282"/>
    <n v="38056"/>
    <d v="2020-01-01T00:00:00"/>
    <s v="Government/Professional Associations/Academic Institution"/>
    <s v="United States"/>
    <s v="Gold Membership"/>
    <n v="4"/>
    <x v="2"/>
  </r>
  <r>
    <s v="MedCom"/>
    <n v="1905"/>
    <d v="2025-05-28T00:00:00"/>
    <n v="15744"/>
    <n v="39273"/>
    <d v="2022-01-01T00:00:00"/>
    <s v="Government/Professional Associations/Academic Institution"/>
    <s v="Denmark"/>
    <s v="Gold Membership"/>
    <n v="5"/>
    <x v="1"/>
  </r>
  <r>
    <s v="National Marrow Donor Program"/>
    <n v="1905"/>
    <d v="2025-07-26T00:00:00"/>
    <n v="16394"/>
    <n v="40480"/>
    <d v="2011-01-01T00:00:00"/>
    <s v="Government/Professional Associations/Academic Institution"/>
    <s v="United States"/>
    <s v="Gold Membership"/>
    <n v="7"/>
    <x v="3"/>
  </r>
  <r>
    <s v="SMART Health IT"/>
    <n v="1905"/>
    <d v="2025-06-04T00:00:00"/>
    <n v="15800"/>
    <n v="39370"/>
    <d v="2018-01-01T00:00:00"/>
    <s v="Government/Professional Associations/Academic Institution"/>
    <s v="United States"/>
    <s v="Gold Membership"/>
    <n v="6"/>
    <x v="2"/>
  </r>
  <r>
    <s v="The Sequoia Project"/>
    <n v="1905"/>
    <d v="2025-07-17T00:00:00"/>
    <n v="16284"/>
    <n v="40198"/>
    <d v="2015-01-01T00:00:00"/>
    <s v="Government/Professional Associations/Academic Institution"/>
    <s v="United States"/>
    <s v="Gold Membership"/>
    <n v="7"/>
    <x v="4"/>
  </r>
  <r>
    <s v="UC Davis Health"/>
    <n v="1905"/>
    <d v="2025-06-27T00:00:00"/>
    <n v="16014"/>
    <n v="39725"/>
    <d v="2013-01-01T00:00:00"/>
    <s v="Government/Professional Associations/Academic Institution"/>
    <s v="United States"/>
    <s v="Gold Membership"/>
    <n v="6"/>
    <x v="4"/>
  </r>
  <r>
    <s v="UNC School of Medicine"/>
    <n v="1905"/>
    <d v="2025-05-28T00:00:00"/>
    <n v="15749"/>
    <n v="39289"/>
    <d v="2011-01-01T00:00:00"/>
    <s v="Government/Professional Associations/Academic Institution"/>
    <s v="United States"/>
    <s v="Gold Membership"/>
    <n v="5"/>
    <x v="3"/>
  </r>
  <r>
    <s v="USAging"/>
    <n v="1905"/>
    <d v="2025-03-09T00:00:00"/>
    <n v="14697"/>
    <n v="36520"/>
    <d v="2022-01-01T00:00:00"/>
    <s v="Government/Professional Associations/Academic Institution"/>
    <s v="United States"/>
    <s v="Gold Membership"/>
    <n v="3"/>
    <x v="1"/>
  </r>
  <r>
    <s v="Univ of TX Health Science Center San Antonio"/>
    <n v="1905"/>
    <d v="2025-01-03T00:00:00"/>
    <n v="13747"/>
    <n v="35098"/>
    <d v="2020-01-01T00:00:00"/>
    <s v="Government/Professional Associations/Academic Institution"/>
    <s v="United States"/>
    <s v="Gold Membership"/>
    <n v="1"/>
    <x v="2"/>
  </r>
  <r>
    <s v="VICO Open Modeling"/>
    <n v="1905"/>
    <d v="2025-08-01T00:00:00"/>
    <n v="16466"/>
    <n v="40644"/>
    <d v="2020-01-01T00:00:00"/>
    <s v="Consultant"/>
    <s v="Spain"/>
    <s v="Gold Membership"/>
    <n v="8"/>
    <x v="2"/>
  </r>
  <r>
    <s v="WSO2"/>
    <n v="1905"/>
    <d v="2025-03-05T00:00:00"/>
    <n v="14673"/>
    <n v="36453"/>
    <d v="2021-01-01T00:00:00"/>
    <s v="Supplier/Vendor"/>
    <s v="United States"/>
    <s v="Gold Membership"/>
    <n v="3"/>
    <x v="2"/>
  </r>
  <r>
    <s v="HL7 Canada"/>
    <n v="2033"/>
    <d v="2025-03-25T00:00:00"/>
    <n v="14966"/>
    <n v="36976"/>
    <d v="1996-01-01T00:00:00"/>
    <s v=""/>
    <s v="Canada"/>
    <s v="Affiliate Membership"/>
    <n v="3"/>
    <x v="0"/>
  </r>
  <r>
    <s v="HL7 Sweden"/>
    <n v="2160"/>
    <d v="2025-02-19T00:00:00"/>
    <n v="14530"/>
    <n v="36155"/>
    <d v="2006-01-01T00:00:00"/>
    <s v=""/>
    <s v="Sweden"/>
    <s v="Affiliate Membership"/>
    <n v="2"/>
    <x v="0"/>
  </r>
  <r>
    <s v="Regenstrief Institute, Inc."/>
    <n v="2160"/>
    <d v="2025-05-01T00:00:00"/>
    <n v="15478"/>
    <n v="38710"/>
    <d v="1998-01-01T00:00:00"/>
    <s v="Provider"/>
    <s v="United States"/>
    <s v="Gold Membership"/>
    <n v="5"/>
    <x v="0"/>
  </r>
  <r>
    <s v="Remo Health"/>
    <n v="2160"/>
    <d v="2025-03-28T00:00:00"/>
    <n v="15011"/>
    <n v="37072"/>
    <d v="2024-01-01T00:00:00"/>
    <s v="Provider"/>
    <s v="United States"/>
    <s v="Gold Membership"/>
    <n v="3"/>
    <x v="1"/>
  </r>
  <r>
    <s v="Apelon, Inc."/>
    <n v="2370"/>
    <d v="2025-03-12T00:00:00"/>
    <n v="14744"/>
    <n v="36595"/>
    <d v="2003-01-01T00:00:00"/>
    <s v="Supplier/Vendor"/>
    <s v="United States"/>
    <s v="Organizational Membership"/>
    <n v="3"/>
    <x v="0"/>
  </r>
  <r>
    <s v="Applied Research Works"/>
    <n v="2370"/>
    <d v="2025-06-03T00:00:00"/>
    <n v="15791"/>
    <n v="39358"/>
    <d v="2019-01-01T00:00:00"/>
    <s v="Supplier/Vendor"/>
    <s v="United States"/>
    <s v="Organizational Membership"/>
    <n v="6"/>
    <x v="2"/>
  </r>
  <r>
    <s v="Clinical Architecture LLC"/>
    <n v="2370"/>
    <d v="2025-06-08T00:00:00"/>
    <n v="15832"/>
    <n v="39409"/>
    <d v="2011-01-01T00:00:00"/>
    <s v="Supplier/Vendor"/>
    <s v="United States"/>
    <s v="Organizational Membership"/>
    <n v="6"/>
    <x v="3"/>
  </r>
  <r>
    <s v="Elimu Informatics Inc."/>
    <n v="2370"/>
    <d v="2025-05-30T00:00:00"/>
    <n v="15759"/>
    <n v="39307"/>
    <d v="2017-01-01T00:00:00"/>
    <s v="Consultant"/>
    <s v="United States"/>
    <s v="Organizational Membership"/>
    <n v="5"/>
    <x v="4"/>
  </r>
  <r>
    <s v="Healthcare Logistics Ltd"/>
    <n v="2370"/>
    <d v="2025-05-12T00:00:00"/>
    <n v="15601"/>
    <n v="39088"/>
    <d v="2025-01-01T00:00:00"/>
    <s v="Supplier/Vendor"/>
    <s v="Malta"/>
    <s v="Organizational Membership"/>
    <n v="5"/>
    <x v="1"/>
  </r>
  <r>
    <s v="InductiveHealth Informatics"/>
    <n v="2370"/>
    <d v="2025-01-24T00:00:00"/>
    <n v="14204"/>
    <n v="35686"/>
    <d v="2023-01-01T00:00:00"/>
    <s v="Consultant"/>
    <s v="United States"/>
    <s v="Organizational Membership"/>
    <n v="1"/>
    <x v="1"/>
  </r>
  <r>
    <s v="MedicaSoft"/>
    <n v="2370"/>
    <d v="2025-02-04T00:00:00"/>
    <n v="14365"/>
    <n v="35916"/>
    <d v="2014-01-01T00:00:00"/>
    <s v="Supplier/Vendor"/>
    <s v="United States"/>
    <s v="Organizational Membership"/>
    <n v="2"/>
    <x v="4"/>
  </r>
  <r>
    <s v="Medicomp Systems, Inc."/>
    <n v="2370"/>
    <d v="2025-02-24T00:00:00"/>
    <n v="14564"/>
    <n v="36212"/>
    <d v="2013-01-01T00:00:00"/>
    <s v="Supplier/Vendor"/>
    <s v="United States"/>
    <s v="Organizational Membership"/>
    <n v="2"/>
    <x v="4"/>
  </r>
  <r>
    <s v="Reed Technology and Information Services Inc."/>
    <n v="2370"/>
    <d v="2025-03-10T00:00:00"/>
    <n v="14701"/>
    <n v="36524"/>
    <d v="2005-01-01T00:00:00"/>
    <s v="Supplier/Vendor"/>
    <s v="United States"/>
    <s v="Organizational Membership"/>
    <n v="3"/>
    <x v="0"/>
  </r>
  <r>
    <s v="Safe Health Systems, Inc."/>
    <n v="2370"/>
    <d v="2025-03-18T00:00:00"/>
    <n v="14860"/>
    <n v="36779"/>
    <d v="2023-01-01T00:00:00"/>
    <s v="Supplier/Vendor"/>
    <s v="United States"/>
    <s v="Organizational Membership"/>
    <n v="3"/>
    <x v="1"/>
  </r>
  <r>
    <s v="Seqster"/>
    <n v="2370"/>
    <d v="2025-07-30T00:00:00"/>
    <n v="16434"/>
    <n v="40553"/>
    <d v="2024-01-01T00:00:00"/>
    <s v="Supplier/Vendor"/>
    <s v="United States"/>
    <s v="Organizational Membership"/>
    <n v="7"/>
    <x v="1"/>
  </r>
  <r>
    <s v="SoftDev Incorporated"/>
    <n v="2370"/>
    <d v="2025-04-21T00:00:00"/>
    <n v="15364"/>
    <n v="38405"/>
    <d v="2022-01-01T00:00:00"/>
    <s v="Supplier/Vendor"/>
    <s v="United States"/>
    <s v="Organizational Membership"/>
    <n v="4"/>
    <x v="1"/>
  </r>
  <r>
    <s v="The SIMI Group, Inc."/>
    <n v="2370"/>
    <d v="2025-01-24T00:00:00"/>
    <n v="14214"/>
    <n v="35724"/>
    <d v="2010-01-01T00:00:00"/>
    <s v="Consultant"/>
    <s v="United States"/>
    <s v="Organizational Membership"/>
    <n v="1"/>
    <x v="3"/>
  </r>
  <r>
    <s v="Vermonster"/>
    <n v="2370"/>
    <d v="2025-05-02T00:00:00"/>
    <n v="15503"/>
    <n v="38817"/>
    <d v="2024-01-01T00:00:00"/>
    <s v="Consultant"/>
    <s v="United States"/>
    <s v="Organizational Membership"/>
    <n v="5"/>
    <x v="1"/>
  </r>
  <r>
    <s v="HL7 Portugal"/>
    <n v="2536"/>
    <d v="2025-05-30T00:00:00"/>
    <n v="15772"/>
    <n v="39331"/>
    <d v="2018-01-01T00:00:00"/>
    <s v=""/>
    <s v="Portugal"/>
    <s v="Affiliate Membership"/>
    <n v="5"/>
    <x v="2"/>
  </r>
  <r>
    <s v="Benedictine Health System"/>
    <n v="2680"/>
    <d v="2025-03-18T00:00:00"/>
    <n v="14837"/>
    <n v="36750"/>
    <d v="2019-01-01T00:00:00"/>
    <s v="Provider"/>
    <s v="United States"/>
    <s v="Organizational Membership"/>
    <n v="3"/>
    <x v="2"/>
  </r>
  <r>
    <s v="Blessing Hospital"/>
    <n v="2680"/>
    <d v="2025-03-24T00:00:00"/>
    <n v="14939"/>
    <n v="36931"/>
    <d v="2009-01-01T00:00:00"/>
    <s v="Provider"/>
    <s v="United States"/>
    <s v="Organizational Membership"/>
    <n v="3"/>
    <x v="3"/>
  </r>
  <r>
    <s v="CA Department of Public Health"/>
    <n v="2680"/>
    <d v="2025-06-20T00:00:00"/>
    <n v="15958"/>
    <n v="39633"/>
    <d v="2011-01-01T00:00:00"/>
    <s v="Government/Professional Associations/Academic Institution"/>
    <s v="United States"/>
    <s v="Organizational Membership"/>
    <n v="6"/>
    <x v="3"/>
  </r>
  <r>
    <s v="CRISP Shared Services"/>
    <n v="2680"/>
    <d v="2025-07-25T00:00:00"/>
    <n v="16375"/>
    <n v="40446"/>
    <d v="2019-01-01T00:00:00"/>
    <s v="Government/Professional Associations/Academic Institution"/>
    <s v="United States"/>
    <s v="Organizational Membership"/>
    <n v="7"/>
    <x v="2"/>
  </r>
  <r>
    <s v="Cedars-Sinai Medical Center"/>
    <n v="2680"/>
    <d v="2025-07-31T00:00:00"/>
    <n v="16451"/>
    <n v="40596"/>
    <d v="1992-01-01T00:00:00"/>
    <s v="Provider"/>
    <s v="United States"/>
    <s v="Organizational Membership"/>
    <n v="7"/>
    <x v="0"/>
  </r>
  <r>
    <s v="Contexture"/>
    <n v="2680"/>
    <d v="2025-06-13T00:00:00"/>
    <n v="15903"/>
    <n v="39530"/>
    <d v="2009-01-01T00:00:00"/>
    <s v="Government/Professional Associations/Academic Institution"/>
    <s v="United States"/>
    <s v="Organizational Membership"/>
    <n v="6"/>
    <x v="3"/>
  </r>
  <r>
    <s v="Minnesota Department of Health"/>
    <n v="2680"/>
    <d v="2025-07-18T00:00:00"/>
    <n v="16330"/>
    <n v="40308"/>
    <d v="2005-01-01T00:00:00"/>
    <s v="Government/Professional Associations/Academic Institution"/>
    <s v="United States"/>
    <s v="Organizational Membership"/>
    <n v="7"/>
    <x v="0"/>
  </r>
  <r>
    <s v="New York State Department of Health"/>
    <n v="2680"/>
    <d v="2025-07-16T00:00:00"/>
    <n v="16275"/>
    <n v="40172"/>
    <d v="2010-01-01T00:00:00"/>
    <s v="Government/Professional Associations/Academic Institution"/>
    <s v="United States"/>
    <s v="Organizational Membership"/>
    <n v="7"/>
    <x v="3"/>
  </r>
  <r>
    <s v="Oklahoma State Department of Health"/>
    <n v="2680"/>
    <d v="2025-07-14T00:00:00"/>
    <n v="16256"/>
    <n v="40136"/>
    <d v="2011-01-01T00:00:00"/>
    <s v="Government/Professional Associations/Academic Institution"/>
    <s v="United States"/>
    <s v="Organizational Membership"/>
    <n v="7"/>
    <x v="3"/>
  </r>
  <r>
    <s v="Tennessee Department of Health"/>
    <n v="2680"/>
    <d v="2025-01-17T00:00:00"/>
    <n v="14123"/>
    <n v="35590"/>
    <d v="2001-01-01T00:00:00"/>
    <s v="Government/Professional Associations/Academic Institution"/>
    <s v="United States"/>
    <s v="Organizational Membership"/>
    <n v="1"/>
    <x v="0"/>
  </r>
  <r>
    <s v="Texas Department of State Health Services"/>
    <n v="2680"/>
    <d v="2025-03-17T00:00:00"/>
    <n v="14811"/>
    <n v="36724"/>
    <d v="2009-01-01T00:00:00"/>
    <s v="Government/Professional Associations/Academic Institution"/>
    <s v="United States"/>
    <s v="Organizational Membership"/>
    <n v="3"/>
    <x v="3"/>
  </r>
  <r>
    <s v="WI Department of Health Services"/>
    <n v="2680"/>
    <d v="2025-05-12T00:00:00"/>
    <n v="15604"/>
    <n v="39096"/>
    <d v="2017-01-01T00:00:00"/>
    <s v="Government/Professional Associations/Academic Institution"/>
    <s v="United States"/>
    <s v="Organizational Membership"/>
    <n v="5"/>
    <x v="4"/>
  </r>
  <r>
    <s v="HL7 New Zealand"/>
    <n v="2765.38"/>
    <d v="2025-06-23T00:00:00"/>
    <n v="15985"/>
    <n v="39671"/>
    <d v="1996-01-01T00:00:00"/>
    <s v=""/>
    <s v="New Zealand"/>
    <s v="Affiliate Membership"/>
    <n v="6"/>
    <x v="0"/>
  </r>
  <r>
    <s v="HL7 Finland"/>
    <n v="2946.69"/>
    <d v="2025-05-28T00:00:00"/>
    <n v="15745"/>
    <n v="39274"/>
    <d v="1998-01-01T00:00:00"/>
    <s v=""/>
    <s v="Finland"/>
    <s v="Affiliate Membership"/>
    <n v="5"/>
    <x v="0"/>
  </r>
  <r>
    <s v="Computrition, Inc."/>
    <n v="2990"/>
    <d v="2025-07-17T00:00:00"/>
    <n v="16286"/>
    <n v="40200"/>
    <d v="1995-01-01T00:00:00"/>
    <s v="Supplier/Vendor"/>
    <s v="United States"/>
    <s v="Gold Membership"/>
    <n v="7"/>
    <x v="0"/>
  </r>
  <r>
    <s v="New Fields Technologies LLC"/>
    <n v="2990"/>
    <d v="2025-01-25T00:00:00"/>
    <n v="14229"/>
    <n v="35739"/>
    <d v="2025-01-01T00:00:00"/>
    <s v="Supplier/Vendor"/>
    <s v="United States"/>
    <s v="Gold Membership"/>
    <n v="1"/>
    <x v="1"/>
  </r>
  <r>
    <s v="Next Level Health Innovations"/>
    <n v="2990"/>
    <d v="2025-06-06T00:00:00"/>
    <n v="15823"/>
    <n v="39395"/>
    <d v="2023-01-01T00:00:00"/>
    <s v="Consultant"/>
    <s v="United States"/>
    <s v="Gold Membership"/>
    <n v="6"/>
    <x v="1"/>
  </r>
  <r>
    <s v="Purplelab"/>
    <n v="2990"/>
    <d v="2025-01-10T00:00:00"/>
    <n v="13924"/>
    <n v="35305"/>
    <d v="2025-01-01T00:00:00"/>
    <s v="Supplier/Vendor"/>
    <s v="United States"/>
    <s v="Gold Membership"/>
    <n v="1"/>
    <x v="1"/>
  </r>
  <r>
    <s v="tuuthfairy, Inc."/>
    <n v="2990"/>
    <d v="2025-04-30T00:00:00"/>
    <n v="15475"/>
    <n v="38701"/>
    <d v="2025-01-01T00:00:00"/>
    <s v="Supplier/Vendor"/>
    <s v="United States"/>
    <s v="Gold Membership"/>
    <n v="4"/>
    <x v="1"/>
  </r>
  <r>
    <s v="Connecticut Department of Public Health"/>
    <n v="3400"/>
    <d v="2025-01-14T00:00:00"/>
    <n v="14073"/>
    <n v="35517"/>
    <d v="2012-01-01T00:00:00"/>
    <s v="Government/Professional Associations/Academic Institution"/>
    <s v="United States"/>
    <s v="Gold Membership"/>
    <n v="1"/>
    <x v="3"/>
  </r>
  <r>
    <s v="Washington State Department of Health"/>
    <n v="3400"/>
    <d v="2025-08-01T00:00:00"/>
    <n v="16474"/>
    <n v="40664"/>
    <d v="2009-01-01T00:00:00"/>
    <s v="Government/Professional Associations/Academic Institution"/>
    <s v="United States"/>
    <s v="Gold Membership"/>
    <n v="8"/>
    <x v="3"/>
  </r>
  <r>
    <s v="Michigan Department of Health and Human Services"/>
    <n v="3455"/>
    <d v="2025-02-11T00:00:00"/>
    <n v="14441"/>
    <n v="36032"/>
    <d v="2024-01-01T00:00:00"/>
    <s v="Government/Professional Associations/Academic Institution"/>
    <s v="United States"/>
    <s v="Organizational Membership"/>
    <n v="2"/>
    <x v="1"/>
  </r>
  <r>
    <s v="HL7 Poland"/>
    <n v="3600"/>
    <d v="2025-05-30T00:00:00"/>
    <n v="15773"/>
    <n v="39332"/>
    <d v="2017-01-01T00:00:00"/>
    <s v=""/>
    <s v="Poland"/>
    <s v="Affiliate Membership"/>
    <n v="5"/>
    <x v="4"/>
  </r>
  <r>
    <s v="Agence du Numérique en Santé (ANS)"/>
    <n v="5460"/>
    <d v="2025-03-14T00:00:00"/>
    <n v="14782"/>
    <n v="36662"/>
    <d v="2012-01-01T00:00:00"/>
    <s v="Government/Professional Associations/Academic Institution"/>
    <s v="France"/>
    <s v="Organizational Membership"/>
    <n v="3"/>
    <x v="3"/>
  </r>
  <r>
    <s v="Centers for Medicare &amp; Medicaid Services"/>
    <n v="5460"/>
    <d v="2025-07-07T00:00:00"/>
    <n v="16171"/>
    <n v="39935"/>
    <d v="2010-01-01T00:00:00"/>
    <s v="Government/Professional Associations/Academic Institution"/>
    <s v="United States"/>
    <s v="Organizational Membership"/>
    <n v="7"/>
    <x v="3"/>
  </r>
  <r>
    <s v="Centrum e-Zdrowia (e-Health Centre)"/>
    <n v="5460"/>
    <d v="2025-07-29T00:00:00"/>
    <n v="16439"/>
    <n v="40560"/>
    <d v="2013-01-01T00:00:00"/>
    <s v="Government/Professional Associations/Academic Institution"/>
    <s v="Poland"/>
    <s v="Organizational Membership"/>
    <n v="7"/>
    <x v="4"/>
  </r>
  <r>
    <s v="Health and Welfare Information Systems Centre"/>
    <n v="5460"/>
    <d v="2025-04-01T00:00:00"/>
    <n v="15080"/>
    <n v="37263"/>
    <d v="2017-01-01T00:00:00"/>
    <s v="Government/Professional Associations/Academic Institution"/>
    <s v="Estonia"/>
    <s v="Organizational Membership"/>
    <n v="4"/>
    <x v="4"/>
  </r>
  <r>
    <s v="Indian Health Service"/>
    <n v="5460"/>
    <d v="2025-01-31T00:00:00"/>
    <n v="14314"/>
    <n v="35850"/>
    <d v="2009-01-01T00:00:00"/>
    <s v="Government/Professional Associations/Academic Institution"/>
    <s v="United States"/>
    <s v="Organizational Membership"/>
    <n v="1"/>
    <x v="3"/>
  </r>
  <r>
    <s v="National Institute of Standards and Technology"/>
    <n v="5460"/>
    <d v="2025-06-25T00:00:00"/>
    <n v="15993"/>
    <n v="39698"/>
    <d v="2002-01-01T00:00:00"/>
    <s v="Government/Professional Associations/Academic Institution"/>
    <s v="United States"/>
    <s v="Organizational Membership"/>
    <n v="6"/>
    <x v="0"/>
  </r>
  <r>
    <s v="National Library of Medicine"/>
    <n v="5460"/>
    <d v="2025-05-14T00:00:00"/>
    <n v="15633"/>
    <n v="39150"/>
    <d v="1992-01-01T00:00:00"/>
    <s v="Government/Professional Associations/Academic Institution"/>
    <s v="United States"/>
    <s v="Organizational Membership"/>
    <n v="5"/>
    <x v="0"/>
  </r>
  <r>
    <s v="Nava"/>
    <n v="5460"/>
    <d v="2025-02-12T00:00:00"/>
    <n v="14446"/>
    <n v="36044"/>
    <d v="2023-01-01T00:00:00"/>
    <s v="Government/Professional Associations/Academic Institution"/>
    <s v="United States"/>
    <s v="Organizational Membership"/>
    <n v="2"/>
    <x v="1"/>
  </r>
  <r>
    <s v="Pharmaceuticals &amp; Medical Devices Agency"/>
    <n v="5460"/>
    <d v="2025-06-30T00:00:00"/>
    <n v="16060"/>
    <n v="39800"/>
    <d v="2007-01-01T00:00:00"/>
    <s v="Government/Professional Associations/Academic Institution"/>
    <s v="Japan"/>
    <s v="Organizational Membership"/>
    <n v="6"/>
    <x v="0"/>
  </r>
  <r>
    <s v="By Light Professional IT Services LLC"/>
    <n v="5770"/>
    <d v="2025-01-24T00:00:00"/>
    <n v="14208"/>
    <n v="35690"/>
    <d v="2018-01-01T00:00:00"/>
    <s v="Supplier/Vendor"/>
    <s v="United States"/>
    <s v="Organizational Membership"/>
    <n v="1"/>
    <x v="2"/>
  </r>
  <r>
    <s v="Envi"/>
    <n v="5770"/>
    <d v="2025-07-23T00:00:00"/>
    <n v="16349"/>
    <n v="40353"/>
    <d v="2020-01-01T00:00:00"/>
    <s v="Supplier/Vendor"/>
    <s v="United States"/>
    <s v="Organizational Membership"/>
    <n v="7"/>
    <x v="2"/>
  </r>
  <r>
    <s v="WPS Health Solutions"/>
    <n v="5770"/>
    <d v="2025-04-11T00:00:00"/>
    <n v="15239"/>
    <n v="37885"/>
    <d v="2003-01-01T00:00:00"/>
    <s v="Payer"/>
    <s v="United States"/>
    <s v="Organizational Membership"/>
    <n v="4"/>
    <x v="0"/>
  </r>
  <r>
    <s v="HL7 Denmark"/>
    <n v="6673"/>
    <d v="2025-03-18T00:00:00"/>
    <n v="14864"/>
    <n v="36792"/>
    <d v="2015-01-01T00:00:00"/>
    <s v=""/>
    <s v="Denmark"/>
    <s v="Affiliate Membership"/>
    <n v="3"/>
    <x v="4"/>
  </r>
  <r>
    <s v="Intelligent Medical Objects (IMO)"/>
    <n v="7200"/>
    <d v="2025-03-04T00:00:00"/>
    <n v="14662"/>
    <n v="36435"/>
    <d v="2012-01-01T00:00:00"/>
    <s v="Supplier/Vendor"/>
    <s v="United States"/>
    <s v="Gold Membership"/>
    <n v="3"/>
    <x v="3"/>
  </r>
  <r>
    <s v="Intrepid Ascent"/>
    <n v="7200"/>
    <d v="2025-04-18T00:00:00"/>
    <n v="15333"/>
    <n v="38296"/>
    <d v="2025-01-01T00:00:00"/>
    <s v="Consultant"/>
    <s v="United States"/>
    <s v="Gold Membership"/>
    <n v="4"/>
    <x v="1"/>
  </r>
  <r>
    <s v="CyncHealth"/>
    <n v="7210"/>
    <d v="2025-01-13T00:00:00"/>
    <n v="14070"/>
    <n v="35509"/>
    <d v="2023-01-01T00:00:00"/>
    <s v="Provider"/>
    <s v="United States"/>
    <s v="Organizational Membership"/>
    <n v="1"/>
    <x v="1"/>
  </r>
  <r>
    <s v="University of Utah Health Care"/>
    <n v="7210"/>
    <d v="2025-04-30T00:00:00"/>
    <n v="15474"/>
    <n v="38700"/>
    <d v="2006-01-01T00:00:00"/>
    <s v="Provider"/>
    <s v="United States"/>
    <s v="Organizational Membership"/>
    <n v="4"/>
    <x v="0"/>
  </r>
  <r>
    <s v="HL7 Hong Kong"/>
    <n v="8056"/>
    <d v="2025-03-24T00:00:00"/>
    <n v="14951"/>
    <n v="36942"/>
    <d v="2009-01-01T00:00:00"/>
    <s v=""/>
    <s v="China"/>
    <s v="Affiliate Membership"/>
    <n v="3"/>
    <x v="3"/>
  </r>
  <r>
    <s v="HL7 UK"/>
    <n v="9469.4599999999991"/>
    <d v="2025-02-24T00:00:00"/>
    <n v="14585"/>
    <n v="36253"/>
    <d v="1999-01-01T00:00:00"/>
    <s v=""/>
    <s v="United Kingdom"/>
    <s v="Affiliate Membership"/>
    <n v="2"/>
    <x v="0"/>
  </r>
  <r>
    <s v="HL7 Norway"/>
    <n v="9553.6"/>
    <d v="2025-05-23T00:00:00"/>
    <n v="15736"/>
    <n v="39265"/>
    <d v="2010-01-01T00:00:00"/>
    <s v=""/>
    <s v="Norway"/>
    <s v="Affiliate Membership"/>
    <n v="5"/>
    <x v="3"/>
  </r>
  <r>
    <s v="1upHealth"/>
    <n v="9685"/>
    <d v="2025-07-11T00:00:00"/>
    <n v="16260"/>
    <n v="40140"/>
    <d v="2023-01-01T00:00:00"/>
    <s v="Supplier/Vendor"/>
    <s v="United States"/>
    <s v="Organizational Membership"/>
    <n v="7"/>
    <x v="1"/>
  </r>
  <r>
    <s v="Cloud Software Group"/>
    <n v="9685"/>
    <d v="2025-05-22T00:00:00"/>
    <n v="15719"/>
    <n v="39248"/>
    <d v="2011-01-01T00:00:00"/>
    <s v="Supplier/Vendor"/>
    <s v="United States"/>
    <s v="Organizational Membership"/>
    <n v="5"/>
    <x v="3"/>
  </r>
  <r>
    <s v="Flatiron Health"/>
    <n v="9685"/>
    <d v="2025-01-30T00:00:00"/>
    <n v="14313"/>
    <n v="35849"/>
    <d v="2015-01-01T00:00:00"/>
    <s v="Supplier/Vendor"/>
    <s v="United States"/>
    <s v="Organizational Membership"/>
    <n v="1"/>
    <x v="4"/>
  </r>
  <r>
    <s v="HealthTrio, LLC"/>
    <n v="9685"/>
    <d v="2025-05-27T00:00:00"/>
    <n v="15739"/>
    <n v="39268"/>
    <d v="2009-01-01T00:00:00"/>
    <s v="Supplier/Vendor"/>
    <s v="United States"/>
    <s v="Organizational Membership"/>
    <n v="5"/>
    <x v="3"/>
  </r>
  <r>
    <s v="Infor(US), LLC"/>
    <n v="9685"/>
    <d v="2025-03-07T00:00:00"/>
    <n v="14704"/>
    <n v="36527"/>
    <d v="2010-01-01T00:00:00"/>
    <s v="Supplier/Vendor"/>
    <s v="United States"/>
    <s v="Organizational Membership"/>
    <n v="3"/>
    <x v="3"/>
  </r>
  <r>
    <s v="Lantana Consulting Group"/>
    <n v="9685"/>
    <d v="2025-07-23T00:00:00"/>
    <n v="16354"/>
    <n v="40367"/>
    <d v="2009-01-01T00:00:00"/>
    <s v="Consultant"/>
    <s v="United States"/>
    <s v="Organizational Membership"/>
    <n v="7"/>
    <x v="3"/>
  </r>
  <r>
    <s v="ServiceNow"/>
    <n v="9685"/>
    <d v="2025-05-21T00:00:00"/>
    <n v="15708"/>
    <n v="39237"/>
    <d v="2023-01-01T00:00:00"/>
    <s v="Supplier/Vendor"/>
    <s v="United States"/>
    <s v="Organizational Membership"/>
    <n v="5"/>
    <x v="1"/>
  </r>
  <r>
    <s v="The CBORD Group, Inc"/>
    <n v="9685"/>
    <d v="2025-04-03T00:00:00"/>
    <n v="15105"/>
    <n v="37339"/>
    <d v="2007-01-01T00:00:00"/>
    <s v="Supplier/Vendor"/>
    <s v="United States"/>
    <s v="Organizational Membership"/>
    <n v="4"/>
    <x v="0"/>
  </r>
  <r>
    <s v="Yardi Systems, Inc."/>
    <n v="9685"/>
    <d v="2025-03-17T00:00:00"/>
    <n v="14810"/>
    <n v="36723"/>
    <d v="2018-01-01T00:00:00"/>
    <s v="Supplier/Vendor"/>
    <s v="United States"/>
    <s v="Organizational Membership"/>
    <n v="3"/>
    <x v="2"/>
  </r>
  <r>
    <s v="HL7 Germany"/>
    <n v="9979"/>
    <d v="2025-03-27T00:00:00"/>
    <n v="15003"/>
    <n v="37062"/>
    <d v="1995-01-01T00:00:00"/>
    <s v=""/>
    <s v="Germany"/>
    <s v="Affiliate Membership"/>
    <n v="3"/>
    <x v="0"/>
  </r>
  <r>
    <s v="Children's Hospital of Philadelphia"/>
    <n v="9990"/>
    <d v="2025-01-09T00:00:00"/>
    <n v="13902"/>
    <n v="35282"/>
    <d v="2009-01-01T00:00:00"/>
    <s v="Provider"/>
    <s v="United States"/>
    <s v="Organizational Membership"/>
    <n v="1"/>
    <x v="3"/>
  </r>
  <r>
    <s v="HL7 Austria"/>
    <n v="10172.5"/>
    <d v="2025-04-08T00:00:00"/>
    <n v="15189"/>
    <n v="37730"/>
    <d v="2007-01-01T00:00:00"/>
    <s v=""/>
    <s v="Austria"/>
    <s v="Affiliate Membership"/>
    <n v="4"/>
    <x v="0"/>
  </r>
  <r>
    <s v="HL7 Japan"/>
    <n v="10383.120000000001"/>
    <d v="2025-06-13T00:00:00"/>
    <n v="15904"/>
    <n v="39531"/>
    <d v="1998-01-01T00:00:00"/>
    <s v=""/>
    <s v="Japan"/>
    <s v="Affiliate Membership"/>
    <n v="6"/>
    <x v="0"/>
  </r>
  <r>
    <s v="Therap Services LLC"/>
    <n v="12050"/>
    <d v="2025-04-08T00:00:00"/>
    <n v="15180"/>
    <n v="37708"/>
    <d v="2009-01-01T00:00:00"/>
    <s v="Supplier/Vendor"/>
    <s v="United States"/>
    <s v="Gold Membership"/>
    <n v="4"/>
    <x v="3"/>
  </r>
  <r>
    <s v="HL7 France"/>
    <n v="12342.16"/>
    <d v="2025-04-29T00:00:00"/>
    <n v="15473"/>
    <n v="38699"/>
    <d v="2004-01-01T00:00:00"/>
    <s v=""/>
    <s v="France"/>
    <s v="Affiliate Membership"/>
    <n v="4"/>
    <x v="0"/>
  </r>
  <r>
    <s v="HL7 Italy"/>
    <n v="12767.33"/>
    <d v="2025-03-26T00:00:00"/>
    <n v="15191"/>
    <n v="37732"/>
    <d v="2003-01-01T00:00:00"/>
    <s v=""/>
    <s v="Italy"/>
    <s v="Affiliate Membership"/>
    <n v="3"/>
    <x v="0"/>
  </r>
  <r>
    <s v="HL7 Switzerland"/>
    <n v="13570.6"/>
    <d v="2025-03-20T00:00:00"/>
    <n v="14906"/>
    <n v="36869"/>
    <d v="2000-01-01T00:00:00"/>
    <s v=""/>
    <s v="Switzerland"/>
    <s v="Affiliate Membership"/>
    <n v="3"/>
    <x v="0"/>
  </r>
  <r>
    <s v="Johns Hopkins Hospital"/>
    <n v="14420"/>
    <d v="2025-04-03T00:00:00"/>
    <n v="15106"/>
    <n v="37340"/>
    <d v="2003-01-01T00:00:00"/>
    <s v="Provider"/>
    <s v="United States"/>
    <s v="Organizational Membership"/>
    <n v="4"/>
    <x v="0"/>
  </r>
  <r>
    <s v="Laboratory Corporation of America"/>
    <n v="14420"/>
    <d v="2025-07-31T00:00:00"/>
    <n v="16450"/>
    <n v="40595"/>
    <d v="2010-01-01T00:00:00"/>
    <s v="Provider"/>
    <s v="United States"/>
    <s v="Organizational Membership"/>
    <n v="7"/>
    <x v="3"/>
  </r>
  <r>
    <s v="Mayo Clinic"/>
    <n v="14420"/>
    <d v="2025-01-29T00:00:00"/>
    <n v="14284"/>
    <n v="35819"/>
    <d v="1992-01-01T00:00:00"/>
    <s v="Provider"/>
    <s v="United States"/>
    <s v="Organizational Membership"/>
    <n v="1"/>
    <x v="0"/>
  </r>
  <r>
    <s v="New York-Presbyterian Hospital"/>
    <n v="14420"/>
    <d v="2025-06-12T00:00:00"/>
    <n v="15873"/>
    <n v="39486"/>
    <d v="1993-01-01T00:00:00"/>
    <s v="Provider"/>
    <s v="United States"/>
    <s v="Organizational Membership"/>
    <n v="6"/>
    <x v="0"/>
  </r>
  <r>
    <s v="Stanford Children's Health"/>
    <n v="14420"/>
    <d v="2025-05-16T00:00:00"/>
    <n v="15652"/>
    <n v="39172"/>
    <d v="2001-01-01T00:00:00"/>
    <s v="Provider"/>
    <s v="United States"/>
    <s v="Organizational Membership"/>
    <n v="5"/>
    <x v="0"/>
  </r>
  <r>
    <s v="Clinicomp, Intl"/>
    <n v="16175"/>
    <d v="2025-01-14T00:00:00"/>
    <n v="14075"/>
    <n v="35519"/>
    <d v="2010-01-01T00:00:00"/>
    <s v="Supplier/Vendor"/>
    <s v="United States"/>
    <s v="Organizational Membership"/>
    <n v="1"/>
    <x v="3"/>
  </r>
  <r>
    <s v="Greenway Health"/>
    <n v="16175"/>
    <d v="2025-05-07T00:00:00"/>
    <n v="15554"/>
    <n v="38950"/>
    <d v="2014-01-01T00:00:00"/>
    <s v="Supplier/Vendor"/>
    <s v="United States"/>
    <s v="Organizational Membership"/>
    <n v="5"/>
    <x v="4"/>
  </r>
  <r>
    <s v="MEDENT"/>
    <n v="16175"/>
    <d v="2025-02-17T00:00:00"/>
    <n v="14479"/>
    <n v="36084"/>
    <d v="2010-01-01T00:00:00"/>
    <s v="Supplier/Vendor"/>
    <s v="United States"/>
    <s v="Organizational Membership"/>
    <n v="2"/>
    <x v="3"/>
  </r>
  <r>
    <s v="Rhapsody"/>
    <n v="16175"/>
    <d v="2025-04-04T00:00:00"/>
    <n v="15149"/>
    <n v="37585"/>
    <d v="1998-01-01T00:00:00"/>
    <s v="Supplier/Vendor"/>
    <s v="United States"/>
    <s v="Organizational Membership"/>
    <n v="4"/>
    <x v="0"/>
  </r>
  <r>
    <s v="Cambia Health Solutions"/>
    <n v="16180"/>
    <d v="2025-05-22T00:00:00"/>
    <n v="15720"/>
    <n v="39249"/>
    <d v="2013-01-01T00:00:00"/>
    <s v="Payer"/>
    <s v="United States"/>
    <s v="Organizational Membership"/>
    <n v="5"/>
    <x v="4"/>
  </r>
  <r>
    <s v="NICTIZ"/>
    <n v="16480"/>
    <d v="2025-02-21T00:00:00"/>
    <n v="14560"/>
    <n v="36208"/>
    <d v="2000-01-01T00:00:00"/>
    <s v="Government/Professional Associations/Academic Institution"/>
    <s v="Netherlands"/>
    <s v="Gold Membership"/>
    <n v="2"/>
    <x v="0"/>
  </r>
  <r>
    <s v="American Medical Association"/>
    <n v="16500"/>
    <d v="2025-03-28T00:00:00"/>
    <n v="15034"/>
    <n v="37127"/>
    <d v="2009-01-01T00:00:00"/>
    <s v="Government/Professional Associations/Academic Institution"/>
    <s v="United States"/>
    <s v="Benefactor Membership"/>
    <n v="3"/>
    <x v="3"/>
  </r>
  <r>
    <s v="NCQA"/>
    <n v="16500"/>
    <d v="2025-03-04T00:00:00"/>
    <n v="14663"/>
    <n v="36436"/>
    <d v="2012-01-01T00:00:00"/>
    <s v="Government/Professional Associations/Academic Institution"/>
    <s v="United States"/>
    <s v="Benefactor Membership"/>
    <n v="3"/>
    <x v="3"/>
  </r>
  <r>
    <s v="Northwestern Medicine"/>
    <n v="18025"/>
    <d v="2025-02-18T00:00:00"/>
    <n v="14494"/>
    <n v="36099"/>
    <d v="2020-01-01T00:00:00"/>
    <s v="Provider"/>
    <s v="United States"/>
    <s v="Gold Membership"/>
    <n v="2"/>
    <x v="2"/>
  </r>
  <r>
    <s v="NextGen Healthcare Information Systems, Inc."/>
    <n v="18700"/>
    <d v="2025-07-25T00:00:00"/>
    <n v="16385"/>
    <n v="40466"/>
    <d v="2010-01-01T00:00:00"/>
    <s v="Supplier/Vendor"/>
    <s v="United States"/>
    <s v="Organizational Membership"/>
    <n v="7"/>
    <x v="3"/>
  </r>
  <r>
    <s v="Telligen"/>
    <n v="18950"/>
    <d v="2025-01-17T00:00:00"/>
    <n v="14140"/>
    <n v="35607"/>
    <d v="2005-01-01T00:00:00"/>
    <s v="Consultant"/>
    <s v="United States"/>
    <s v="Organizational Membership"/>
    <n v="1"/>
    <x v="0"/>
  </r>
  <r>
    <s v="XIFIN, Inc."/>
    <n v="18950"/>
    <d v="2025-03-14T00:00:00"/>
    <n v="14790"/>
    <n v="36678"/>
    <d v="1999-01-01T00:00:00"/>
    <s v="Supplier/Vendor"/>
    <s v="United States"/>
    <s v="Organizational Membership"/>
    <n v="3"/>
    <x v="0"/>
  </r>
  <r>
    <s v="Ready Computing LLC"/>
    <n v="21630"/>
    <d v="2025-03-07T00:00:00"/>
    <n v="14694"/>
    <n v="36517"/>
    <d v="2015-01-01T00:00:00"/>
    <s v="Supplier/Vendor"/>
    <s v="United States"/>
    <s v="Benefactor Membership"/>
    <n v="3"/>
    <x v="4"/>
  </r>
  <r>
    <s v="HF Management Services"/>
    <n v="21640"/>
    <d v="2025-05-20T00:00:00"/>
    <n v="15700"/>
    <n v="39229"/>
    <d v="2024-01-01T00:00:00"/>
    <s v="Payer"/>
    <s v="United States"/>
    <s v="Benefactor Membership"/>
    <n v="5"/>
    <x v="1"/>
  </r>
  <r>
    <s v="Cedar Cares, Inc."/>
    <n v="23375"/>
    <d v="2025-05-05T00:00:00"/>
    <n v="15533"/>
    <n v="38901"/>
    <d v="2025-01-01T00:00:00"/>
    <s v="Supplier/Vendor"/>
    <s v="United States"/>
    <s v="Organizational Membership"/>
    <n v="5"/>
    <x v="1"/>
  </r>
  <r>
    <s v="GE Healthcare"/>
    <n v="23375"/>
    <d v="2025-07-03T00:00:00"/>
    <n v="16190"/>
    <n v="39970"/>
    <d v="2002-01-01T00:00:00"/>
    <s v="Supplier/Vendor"/>
    <s v="United States"/>
    <s v="Organizational Membership"/>
    <n v="7"/>
    <x v="0"/>
  </r>
  <r>
    <s v="Leidos, Inc."/>
    <n v="23375"/>
    <d v="2025-04-04T00:00:00"/>
    <n v="15148"/>
    <n v="37584"/>
    <d v="2003-01-01T00:00:00"/>
    <s v="Supplier/Vendor"/>
    <s v="United States"/>
    <s v="Organizational Membership"/>
    <n v="4"/>
    <x v="0"/>
  </r>
  <r>
    <s v="MEDITECH, Inc"/>
    <n v="23375"/>
    <d v="2025-01-31T00:00:00"/>
    <n v="14349"/>
    <n v="35900"/>
    <d v="2011-01-01T00:00:00"/>
    <s v="Supplier/Vendor"/>
    <s v="United States"/>
    <s v="Organizational Membership"/>
    <n v="1"/>
    <x v="3"/>
  </r>
  <r>
    <s v="Mathematica Policy Research"/>
    <n v="23375"/>
    <d v="2025-05-27T00:00:00"/>
    <n v="15735"/>
    <n v="39264"/>
    <d v="2018-01-01T00:00:00"/>
    <s v="Consultant"/>
    <s v="United States"/>
    <s v="Organizational Membership"/>
    <n v="5"/>
    <x v="2"/>
  </r>
  <r>
    <s v="McKesson Corporation"/>
    <n v="23375"/>
    <d v="2025-01-09T00:00:00"/>
    <n v="13901"/>
    <n v="35281"/>
    <d v="2003-01-01T00:00:00"/>
    <s v="Supplier/Vendor"/>
    <s v="United States"/>
    <s v="Organizational Membership"/>
    <n v="1"/>
    <x v="0"/>
  </r>
  <r>
    <s v="Medtronic"/>
    <n v="23375"/>
    <d v="2025-06-10T00:00:00"/>
    <n v="15858"/>
    <n v="39470"/>
    <d v="2005-01-01T00:00:00"/>
    <s v="Supplier/Vendor"/>
    <s v="United States"/>
    <s v="Organizational Membership"/>
    <n v="6"/>
    <x v="0"/>
  </r>
  <r>
    <s v="Merck &amp; Co. Inc."/>
    <n v="23375"/>
    <d v="2025-06-12T00:00:00"/>
    <n v="15875"/>
    <n v="39488"/>
    <d v="2002-01-01T00:00:00"/>
    <s v="Pharmaceutical"/>
    <s v="United States"/>
    <s v="Organizational Membership"/>
    <n v="6"/>
    <x v="0"/>
  </r>
  <r>
    <s v="Premier Healthcare Alliance"/>
    <n v="23375"/>
    <d v="2025-03-14T00:00:00"/>
    <n v="14807"/>
    <n v="36714"/>
    <d v="2011-01-01T00:00:00"/>
    <s v="Supplier/Vendor"/>
    <s v="United States"/>
    <s v="Organizational Membership"/>
    <n v="3"/>
    <x v="3"/>
  </r>
  <r>
    <s v="Roche Diagnostics International Ltd."/>
    <n v="23375"/>
    <d v="2025-01-10T00:00:00"/>
    <n v="14004"/>
    <n v="35416"/>
    <d v="2013-01-01T00:00:00"/>
    <s v="Supplier/Vendor"/>
    <s v="Switzerland"/>
    <s v="Organizational Membership"/>
    <n v="1"/>
    <x v="4"/>
  </r>
  <r>
    <s v="Surescripts"/>
    <n v="23375"/>
    <d v="2025-03-21T00:00:00"/>
    <n v="14909"/>
    <n v="36880"/>
    <d v="2002-01-01T00:00:00"/>
    <s v="Supplier/Vendor"/>
    <s v="United States"/>
    <s v="Organizational Membership"/>
    <n v="3"/>
    <x v="0"/>
  </r>
  <r>
    <s v="Verily"/>
    <n v="23375"/>
    <d v="2025-04-07T00:00:00"/>
    <n v="15170"/>
    <n v="37672"/>
    <d v="2025-01-01T00:00:00"/>
    <s v="Supplier/Vendor"/>
    <s v="United States"/>
    <s v="Organizational Membership"/>
    <n v="4"/>
    <x v="1"/>
  </r>
  <r>
    <s v="WAYSTAR"/>
    <n v="23375"/>
    <d v="2025-05-20T00:00:00"/>
    <n v="15692"/>
    <n v="39221"/>
    <d v="2023-01-01T00:00:00"/>
    <s v="Supplier/Vendor"/>
    <s v="United States"/>
    <s v="Organizational Membership"/>
    <n v="5"/>
    <x v="1"/>
  </r>
  <r>
    <s v="Wolters Kluwer Health"/>
    <n v="23375"/>
    <d v="2025-07-25T00:00:00"/>
    <n v="16399"/>
    <n v="40485"/>
    <d v="2008-01-01T00:00:00"/>
    <s v="Supplier/Vendor"/>
    <s v="United States"/>
    <s v="Organizational Membership"/>
    <n v="7"/>
    <x v="3"/>
  </r>
  <r>
    <s v="athenahealth"/>
    <n v="23375"/>
    <d v="2025-06-23T00:00:00"/>
    <n v="15984"/>
    <n v="39670"/>
    <d v="2013-01-01T00:00:00"/>
    <s v="Supplier/Vendor"/>
    <s v="United States"/>
    <s v="Organizational Membership"/>
    <n v="6"/>
    <x v="4"/>
  </r>
  <r>
    <s v="eClinicalWorks"/>
    <n v="23375"/>
    <d v="2025-03-10T00:00:00"/>
    <n v="14709"/>
    <n v="36532"/>
    <d v="2013-01-01T00:00:00"/>
    <s v="Supplier/Vendor"/>
    <s v="United States"/>
    <s v="Organizational Membership"/>
    <n v="3"/>
    <x v="4"/>
  </r>
  <r>
    <s v="HL7 Netherlands"/>
    <n v="23472"/>
    <d v="2025-04-04T00:00:00"/>
    <n v="15150"/>
    <n v="37586"/>
    <d v="1996-01-01T00:00:00"/>
    <s v=""/>
    <s v="Netherlands"/>
    <s v="Affiliate Membership"/>
    <n v="4"/>
    <x v="0"/>
  </r>
  <r>
    <s v="Humana Inc."/>
    <n v="23700"/>
    <d v="2025-05-30T00:00:00"/>
    <n v="15758"/>
    <n v="39306"/>
    <d v="2018-01-01T00:00:00"/>
    <s v="Payer"/>
    <s v="United States"/>
    <s v="Organizational Membership"/>
    <n v="5"/>
    <x v="2"/>
  </r>
  <r>
    <s v="Healthmap Solutions"/>
    <n v="27025"/>
    <d v="2025-01-08T00:00:00"/>
    <n v="13830"/>
    <n v="35199"/>
    <d v="2025-01-01T00:00:00"/>
    <s v="Supplier/Vendor"/>
    <s v="United States"/>
    <s v="Benefactor Membership"/>
    <n v="1"/>
    <x v="1"/>
  </r>
  <r>
    <s v="Evernorth"/>
    <n v="29250"/>
    <d v="2025-06-25T00:00:00"/>
    <n v="16005"/>
    <n v="39713"/>
    <d v="2021-01-01T00:00:00"/>
    <s v="Payer"/>
    <s v="United States"/>
    <s v="Gold Membership"/>
    <n v="6"/>
    <x v="2"/>
  </r>
  <r>
    <s v="Kaiser Permanente"/>
    <n v="30290"/>
    <d v="2025-01-24T00:00:00"/>
    <n v="14261"/>
    <n v="35771"/>
    <d v="2006-01-01T00:00:00"/>
    <s v="Provider"/>
    <s v="United States"/>
    <s v="Benefactor Membership"/>
    <n v="1"/>
    <x v="0"/>
  </r>
  <r>
    <s v="Mass General Brigham"/>
    <n v="30290"/>
    <d v="2025-05-09T00:00:00"/>
    <n v="15576"/>
    <n v="39000"/>
    <d v="2003-01-01T00:00:00"/>
    <s v="Provider"/>
    <s v="United States"/>
    <s v="Benefactor Membership"/>
    <n v="5"/>
    <x v="0"/>
  </r>
  <r>
    <s v="Quest Diagnostics, Incorporated"/>
    <n v="30290"/>
    <d v="2025-01-16T00:00:00"/>
    <n v="14118"/>
    <n v="35580"/>
    <d v="1996-01-01T00:00:00"/>
    <s v="Provider"/>
    <s v="United States"/>
    <s v="Benefactor Membership"/>
    <n v="1"/>
    <x v="0"/>
  </r>
  <r>
    <s v="Office of the National Coordinator for Health IT"/>
    <n v="36050"/>
    <d v="2025-02-07T00:00:00"/>
    <n v="14418"/>
    <n v="36005"/>
    <d v="2010-01-01T00:00:00"/>
    <s v="Government/Professional Associations/Academic Institution"/>
    <s v="United States"/>
    <s v="Benefactor Membership"/>
    <n v="2"/>
    <x v="3"/>
  </r>
  <r>
    <s v="U.S. Department of Veterans Affairs"/>
    <n v="36050"/>
    <d v="2025-06-20T00:00:00"/>
    <n v="15959"/>
    <n v="39634"/>
    <d v="1996-01-01T00:00:00"/>
    <s v="Government/Professional Associations/Academic Institution"/>
    <s v="United States"/>
    <s v="Benefactor Membership"/>
    <n v="6"/>
    <x v="0"/>
  </r>
  <r>
    <s v="Aetna"/>
    <n v="37900"/>
    <d v="2025-07-31T00:00:00"/>
    <n v="16460"/>
    <n v="40634"/>
    <d v="2012-01-01T00:00:00"/>
    <s v="Payer"/>
    <s v="United States"/>
    <s v="Benefactor Membership"/>
    <n v="7"/>
    <x v="3"/>
  </r>
  <r>
    <s v="Accenture"/>
    <n v="38100"/>
    <d v="2025-02-14T00:00:00"/>
    <n v="14481"/>
    <n v="36086"/>
    <d v="1987-01-01T00:00:00"/>
    <s v="Consultant"/>
    <s v="United States"/>
    <s v="Benefactor Membership"/>
    <n v="2"/>
    <x v="0"/>
  </r>
  <r>
    <s v="Google"/>
    <n v="38100"/>
    <d v="2025-07-25T00:00:00"/>
    <n v="16398"/>
    <n v="40484"/>
    <d v="2018-01-01T00:00:00"/>
    <s v="Supplier/Vendor"/>
    <s v="United States"/>
    <s v="Benefactor Membership"/>
    <n v="7"/>
    <x v="2"/>
  </r>
  <r>
    <s v="InterSystems"/>
    <n v="38100"/>
    <d v="2025-05-08T00:00:00"/>
    <n v="15607"/>
    <n v="39103"/>
    <d v="2009-01-01T00:00:00"/>
    <s v="Supplier/Vendor"/>
    <s v="United States"/>
    <s v="Benefactor Membership"/>
    <n v="5"/>
    <x v="3"/>
  </r>
  <r>
    <s v="Oracle"/>
    <n v="38100"/>
    <d v="2025-07-25T00:00:00"/>
    <n v="16397"/>
    <n v="40483"/>
    <d v="2009-01-01T00:00:00"/>
    <s v="Supplier/Vendor"/>
    <s v="United States"/>
    <s v="Benefactor Membership"/>
    <n v="7"/>
    <x v="3"/>
  </r>
  <r>
    <s v="Pfizer"/>
    <n v="38100"/>
    <d v="2025-06-25T00:00:00"/>
    <n v="16008"/>
    <n v="39716"/>
    <d v="2004-01-01T00:00:00"/>
    <s v="Pharmaceutical"/>
    <s v="United States"/>
    <s v="Benefactor Membership"/>
    <n v="6"/>
    <x v="0"/>
  </r>
  <r>
    <s v="Philips Healthcare"/>
    <n v="38100"/>
    <d v="2025-06-09T00:00:00"/>
    <n v="15838"/>
    <n v="39415"/>
    <d v="2003-01-01T00:00:00"/>
    <s v="Supplier/Vendor"/>
    <s v="United States"/>
    <s v="Benefactor Membership"/>
    <n v="6"/>
    <x v="0"/>
  </r>
  <r>
    <s v="Veradigm"/>
    <n v="38100"/>
    <d v="2025-05-19T00:00:00"/>
    <n v="15688"/>
    <n v="39217"/>
    <d v="2010-01-01T00:00:00"/>
    <s v="Supplier/Vendor"/>
    <s v="United States"/>
    <s v="Benefactor Membership"/>
    <n v="5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4">
  <r>
    <x v="0"/>
    <n v="9685"/>
    <x v="0"/>
    <n v="16260"/>
    <n v="40140"/>
    <d v="2023-05-22T00:00:00"/>
    <s v="Supplier/Vendor"/>
    <s v="United States"/>
    <x v="0"/>
    <n v="7"/>
  </r>
  <r>
    <x v="1"/>
    <n v="9645"/>
    <x v="1"/>
    <n v="17080"/>
    <n v="42715"/>
    <d v="2010-05-24T00:00:00"/>
    <s v="Consultant"/>
    <s v="United States"/>
    <x v="0"/>
    <n v="9"/>
  </r>
  <r>
    <x v="2"/>
    <n v="1905"/>
    <x v="2"/>
    <n v="16683"/>
    <n v="41862"/>
    <d v="2025-08-15T00:00:00"/>
    <s v="Supplier/Vendor"/>
    <s v="United States"/>
    <x v="1"/>
    <n v="8"/>
  </r>
  <r>
    <x v="3"/>
    <n v="1650"/>
    <x v="3"/>
    <n v="15065"/>
    <n v="37188"/>
    <d v="2002-07-23T00:00:00"/>
    <s v="Provider"/>
    <s v="United States"/>
    <x v="0"/>
    <n v="4"/>
  </r>
  <r>
    <x v="4"/>
    <n v="775"/>
    <x v="4"/>
    <n v="16865"/>
    <n v="42315"/>
    <d v="2025-08-22T00:00:00"/>
    <s v=""/>
    <s v="United States"/>
    <x v="2"/>
    <n v="8"/>
  </r>
  <r>
    <x v="5"/>
    <n v="1905"/>
    <x v="5"/>
    <n v="17729"/>
    <n v="43491"/>
    <d v="2011-01-19T00:00:00"/>
    <s v="Government/Professional Associations/Academic Institution"/>
    <s v="United States"/>
    <x v="1"/>
    <n v="11"/>
  </r>
  <r>
    <x v="6"/>
    <n v="38100"/>
    <x v="6"/>
    <n v="14481"/>
    <n v="36086"/>
    <d v="1987-01-01T00:00:00"/>
    <s v="Consultant"/>
    <s v="United States"/>
    <x v="3"/>
    <n v="2"/>
  </r>
  <r>
    <x v="7"/>
    <n v="1905"/>
    <x v="6"/>
    <n v="14482"/>
    <n v="36087"/>
    <d v="2022-01-10T00:00:00"/>
    <s v="Supplier/Vendor"/>
    <s v="United States"/>
    <x v="1"/>
    <n v="2"/>
  </r>
  <r>
    <x v="8"/>
    <n v="775"/>
    <x v="7"/>
    <n v="17261"/>
    <n v="42986"/>
    <d v="2025-09-17T00:00:00"/>
    <s v=""/>
    <s v=""/>
    <x v="2"/>
    <n v="9"/>
  </r>
  <r>
    <x v="9"/>
    <n v="5460"/>
    <x v="8"/>
    <n v="14782"/>
    <n v="36662"/>
    <d v="2012-06-25T00:00:00"/>
    <s v="Government/Professional Associations/Academic Institution"/>
    <s v="France"/>
    <x v="0"/>
    <n v="3"/>
  </r>
  <r>
    <x v="10"/>
    <n v="1545"/>
    <x v="9"/>
    <n v="15381"/>
    <n v="38442"/>
    <d v="2015-06-04T00:00:00"/>
    <s v="Government/Professional Associations/Academic Institution"/>
    <s v="Luxembourg"/>
    <x v="0"/>
    <n v="4"/>
  </r>
  <r>
    <x v="11"/>
    <n v="2680"/>
    <x v="2"/>
    <n v="16669"/>
    <n v="41835"/>
    <d v="2010-12-06T00:00:00"/>
    <s v="Government/Professional Associations/Academic Institution"/>
    <s v="United States"/>
    <x v="0"/>
    <n v="8"/>
  </r>
  <r>
    <x v="12"/>
    <n v="775"/>
    <x v="10"/>
    <n v="16207"/>
    <n v="40001"/>
    <d v="2025-07-08T00:00:00"/>
    <s v=""/>
    <s v=""/>
    <x v="2"/>
    <n v="7"/>
  </r>
  <r>
    <x v="13"/>
    <n v="1545"/>
    <x v="11"/>
    <n v="16801"/>
    <n v="42165"/>
    <d v="2020-10-20T00:00:00"/>
    <s v="Government/Professional Associations/Academic Institution"/>
    <s v="United States"/>
    <x v="0"/>
    <n v="8"/>
  </r>
  <r>
    <x v="14"/>
    <n v="2990"/>
    <x v="12"/>
    <n v="17411"/>
    <n v="43146"/>
    <d v="2020-10-26T00:00:00"/>
    <s v="Consultant"/>
    <s v="United States"/>
    <x v="1"/>
    <n v="10"/>
  </r>
  <r>
    <x v="15"/>
    <n v="1905"/>
    <x v="13"/>
    <n v="16411"/>
    <n v="40502"/>
    <d v="2014-09-09T00:00:00"/>
    <s v="Consultant"/>
    <s v="United States"/>
    <x v="1"/>
    <n v="7"/>
  </r>
  <r>
    <x v="16"/>
    <n v="1905"/>
    <x v="14"/>
    <n v="15216"/>
    <n v="37814"/>
    <d v="2013-03-28T00:00:00"/>
    <s v="Government/Professional Associations/Academic Institution"/>
    <s v="United States"/>
    <x v="1"/>
    <n v="4"/>
  </r>
  <r>
    <x v="17"/>
    <n v="1545"/>
    <x v="15"/>
    <n v="15100"/>
    <n v="37324"/>
    <d v="2003-05-31T00:00:00"/>
    <s v="Government/Professional Associations/Academic Institution"/>
    <s v="United States"/>
    <x v="0"/>
    <n v="4"/>
  </r>
  <r>
    <x v="18"/>
    <n v="1545"/>
    <x v="16"/>
    <n v="14689"/>
    <n v="36502"/>
    <d v="2012-03-08T00:00:00"/>
    <s v="Government/Professional Associations/Academic Institution"/>
    <s v="United States"/>
    <x v="0"/>
    <n v="3"/>
  </r>
  <r>
    <x v="19"/>
    <n v="1905"/>
    <x v="17"/>
    <n v="15717"/>
    <n v="39246"/>
    <d v="2021-04-08T00:00:00"/>
    <s v="Government/Professional Associations/Academic Institution"/>
    <s v="United States"/>
    <x v="1"/>
    <n v="5"/>
  </r>
  <r>
    <x v="20"/>
    <n v="1545"/>
    <x v="18"/>
    <n v="17007"/>
    <n v="42540"/>
    <d v="2024-08-28T00:00:00"/>
    <s v="Government/Professional Associations/Academic Institution"/>
    <s v="United States"/>
    <x v="0"/>
    <n v="9"/>
  </r>
  <r>
    <x v="21"/>
    <n v="16500"/>
    <x v="19"/>
    <n v="15034"/>
    <n v="37127"/>
    <d v="2009-12-15T00:00:00"/>
    <s v="Government/Professional Associations/Academic Institution"/>
    <s v="United States"/>
    <x v="3"/>
    <n v="3"/>
  </r>
  <r>
    <x v="22"/>
    <n v="775"/>
    <x v="20"/>
    <n v="17643"/>
    <n v="43404"/>
    <d v="2024-10-04T00:00:00"/>
    <s v=""/>
    <s v="United States"/>
    <x v="2"/>
    <n v="11"/>
  </r>
  <r>
    <x v="23"/>
    <n v="775"/>
    <x v="13"/>
    <n v="16405"/>
    <n v="40493"/>
    <d v="2022-01-18T00:00:00"/>
    <s v=""/>
    <s v=""/>
    <x v="2"/>
    <n v="7"/>
  </r>
  <r>
    <x v="24"/>
    <n v="775"/>
    <x v="21"/>
    <n v="16278"/>
    <n v="40175"/>
    <d v="2024-04-04T00:00:00"/>
    <s v=""/>
    <s v="United States"/>
    <x v="2"/>
    <n v="7"/>
  </r>
  <r>
    <x v="25"/>
    <n v="775"/>
    <x v="22"/>
    <n v="15019"/>
    <n v="37086"/>
    <d v="2023-02-27T00:00:00"/>
    <s v=""/>
    <s v=""/>
    <x v="2"/>
    <n v="3"/>
  </r>
  <r>
    <x v="26"/>
    <n v="775"/>
    <x v="23"/>
    <n v="16525"/>
    <n v="41013"/>
    <d v="2024-08-27T00:00:00"/>
    <s v=""/>
    <s v="United States"/>
    <x v="2"/>
    <n v="8"/>
  </r>
  <r>
    <x v="27"/>
    <n v="2370"/>
    <x v="24"/>
    <n v="14744"/>
    <n v="36595"/>
    <d v="2003-08-06T00:00:00"/>
    <s v="Supplier/Vendor"/>
    <s v="United States"/>
    <x v="0"/>
    <n v="3"/>
  </r>
  <r>
    <x v="28"/>
    <n v="38100"/>
    <x v="25"/>
    <n v="17161"/>
    <n v="42838"/>
    <d v="2018-08-06T00:00:00"/>
    <s v="Supplier/Vendor"/>
    <s v="United States"/>
    <x v="3"/>
    <n v="9"/>
  </r>
  <r>
    <x v="29"/>
    <n v="1545"/>
    <x v="26"/>
    <n v="17461"/>
    <n v="43196"/>
    <d v="2011-09-12T00:00:00"/>
    <s v="Supplier/Vendor"/>
    <s v="United States"/>
    <x v="0"/>
    <n v="10"/>
  </r>
  <r>
    <x v="30"/>
    <n v="2370"/>
    <x v="27"/>
    <n v="15791"/>
    <n v="39358"/>
    <d v="2019-06-27T00:00:00"/>
    <s v="Supplier/Vendor"/>
    <s v="United States"/>
    <x v="0"/>
    <n v="6"/>
  </r>
  <r>
    <x v="31"/>
    <n v="1545"/>
    <x v="28"/>
    <n v="17481"/>
    <n v="43216"/>
    <d v="2024-12-06T00:00:00"/>
    <s v="Consultant"/>
    <s v="United States"/>
    <x v="0"/>
    <n v="10"/>
  </r>
  <r>
    <x v="32"/>
    <n v="4225"/>
    <x v="25"/>
    <n v="17190"/>
    <n v="42888"/>
    <d v="2024-08-22T00:00:00"/>
    <s v="Provider"/>
    <s v="United States"/>
    <x v="0"/>
    <n v="9"/>
  </r>
  <r>
    <x v="33"/>
    <n v="1905"/>
    <x v="29"/>
    <n v="16779"/>
    <n v="42106"/>
    <d v="2016-07-26T00:00:00"/>
    <s v="Supplier/Vendor"/>
    <s v="United States"/>
    <x v="1"/>
    <n v="8"/>
  </r>
  <r>
    <x v="34"/>
    <n v="775"/>
    <x v="30"/>
    <n v="14257"/>
    <n v="35767"/>
    <d v="2024-04-03T00:00:00"/>
    <s v=""/>
    <s v=""/>
    <x v="2"/>
    <n v="1"/>
  </r>
  <r>
    <x v="35"/>
    <n v="775"/>
    <x v="31"/>
    <n v="13806"/>
    <n v="35165"/>
    <d v="2021-08-25T00:00:00"/>
    <s v=""/>
    <s v="United States"/>
    <x v="2"/>
    <n v="1"/>
  </r>
  <r>
    <x v="36"/>
    <n v="1545"/>
    <x v="32"/>
    <n v="17150"/>
    <n v="42825"/>
    <d v="2025-09-10T00:00:00"/>
    <s v="Consultant"/>
    <s v="United States"/>
    <x v="0"/>
    <n v="9"/>
  </r>
  <r>
    <x v="37"/>
    <n v="2680"/>
    <x v="33"/>
    <n v="14837"/>
    <n v="36750"/>
    <d v="2019-04-04T00:00:00"/>
    <s v="Provider"/>
    <s v="United States"/>
    <x v="0"/>
    <n v="3"/>
  </r>
  <r>
    <x v="38"/>
    <n v="1650"/>
    <x v="34"/>
    <n v="15371"/>
    <n v="38426"/>
    <d v="2022-05-16T00:00:00"/>
    <s v="Provider"/>
    <s v="United States"/>
    <x v="0"/>
    <n v="4"/>
  </r>
  <r>
    <x v="39"/>
    <n v="775"/>
    <x v="35"/>
    <n v="16459"/>
    <n v="40633"/>
    <d v="2021-08-25T00:00:00"/>
    <s v=""/>
    <s v=""/>
    <x v="2"/>
    <n v="7"/>
  </r>
  <r>
    <x v="40"/>
    <n v="1545"/>
    <x v="11"/>
    <n v="16846"/>
    <n v="42288"/>
    <d v="2016-11-01T00:00:00"/>
    <s v="Supplier/Vendor"/>
    <s v="Finland"/>
    <x v="0"/>
    <n v="8"/>
  </r>
  <r>
    <x v="40"/>
    <n v="1545"/>
    <x v="36"/>
    <n v="13918"/>
    <n v="35299"/>
    <d v="2016-11-01T00:00:00"/>
    <s v="Supplier/Vendor"/>
    <s v="Finland"/>
    <x v="0"/>
    <n v="1"/>
  </r>
  <r>
    <x v="41"/>
    <n v="2680"/>
    <x v="37"/>
    <n v="14939"/>
    <n v="36931"/>
    <d v="2009-06-01T00:00:00"/>
    <s v="Provider"/>
    <s v="United States"/>
    <x v="0"/>
    <n v="3"/>
  </r>
  <r>
    <x v="42"/>
    <n v="1905"/>
    <x v="38"/>
    <n v="15561"/>
    <n v="38970"/>
    <d v="1999-07-19T00:00:00"/>
    <s v="Government/Professional Associations/Academic Institution"/>
    <s v="United States"/>
    <x v="1"/>
    <n v="5"/>
  </r>
  <r>
    <x v="43"/>
    <n v="5770"/>
    <x v="11"/>
    <n v="16845"/>
    <n v="42310"/>
    <d v="2009-04-04T00:00:00"/>
    <s v="Payer"/>
    <s v="United States"/>
    <x v="0"/>
    <n v="8"/>
  </r>
  <r>
    <x v="44"/>
    <n v="9690"/>
    <x v="39"/>
    <n v="17604"/>
    <n v="43350"/>
    <d v="2022-11-02T00:00:00"/>
    <s v="Payer"/>
    <s v="United States"/>
    <x v="0"/>
    <n v="10"/>
  </r>
  <r>
    <x v="45"/>
    <n v="12050"/>
    <x v="40"/>
    <n v="17556"/>
    <n v="43296"/>
    <d v="2009-09-23T00:00:00"/>
    <s v="Payer"/>
    <s v="United States"/>
    <x v="1"/>
    <n v="10"/>
  </r>
  <r>
    <x v="46"/>
    <n v="2680"/>
    <x v="2"/>
    <n v="16668"/>
    <n v="41834"/>
    <d v="2014-09-23T00:00:00"/>
    <s v="Provider"/>
    <s v="United States"/>
    <x v="0"/>
    <n v="8"/>
  </r>
  <r>
    <x v="47"/>
    <n v="775"/>
    <x v="41"/>
    <n v="16563"/>
    <n v="41195"/>
    <d v="2025-08-09T00:00:00"/>
    <s v=""/>
    <s v=""/>
    <x v="2"/>
    <n v="8"/>
  </r>
  <r>
    <x v="48"/>
    <n v="775"/>
    <x v="42"/>
    <n v="15952"/>
    <n v="39627"/>
    <d v="2022-06-13T00:00:00"/>
    <s v=""/>
    <s v="United States"/>
    <x v="2"/>
    <n v="6"/>
  </r>
  <r>
    <x v="49"/>
    <n v="100"/>
    <x v="43"/>
    <n v="14126"/>
    <n v="35593"/>
    <d v="2025-01-17T00:00:00"/>
    <s v=""/>
    <s v="United States"/>
    <x v="4"/>
    <n v="1"/>
  </r>
  <r>
    <x v="50"/>
    <n v="5770"/>
    <x v="44"/>
    <n v="14208"/>
    <n v="35690"/>
    <d v="2018-01-05T00:00:00"/>
    <s v="Supplier/Vendor"/>
    <s v="United States"/>
    <x v="0"/>
    <n v="1"/>
  </r>
  <r>
    <x v="51"/>
    <n v="2680"/>
    <x v="45"/>
    <n v="15958"/>
    <n v="39633"/>
    <d v="2011-03-25T00:00:00"/>
    <s v="Government/Professional Associations/Academic Institution"/>
    <s v="United States"/>
    <x v="0"/>
    <n v="6"/>
  </r>
  <r>
    <x v="52"/>
    <n v="1905"/>
    <x v="46"/>
    <n v="14507"/>
    <n v="36134"/>
    <d v="2003-04-14T00:00:00"/>
    <s v="Supplier/Vendor"/>
    <s v="United States"/>
    <x v="1"/>
    <n v="2"/>
  </r>
  <r>
    <x v="53"/>
    <n v="1545"/>
    <x v="47"/>
    <n v="17735"/>
    <n v="43497"/>
    <d v="2010-01-02T00:00:00"/>
    <s v="Government/Professional Associations/Academic Institution"/>
    <s v="United States"/>
    <x v="0"/>
    <n v="11"/>
  </r>
  <r>
    <x v="54"/>
    <n v="2680"/>
    <x v="48"/>
    <n v="16375"/>
    <n v="40446"/>
    <d v="2019-04-15T00:00:00"/>
    <s v="Government/Professional Associations/Academic Institution"/>
    <s v="United States"/>
    <x v="0"/>
    <n v="7"/>
  </r>
  <r>
    <x v="55"/>
    <n v="1905"/>
    <x v="36"/>
    <n v="13881"/>
    <n v="35253"/>
    <d v="2021-04-05T00:00:00"/>
    <s v="Government/Professional Associations/Academic Institution"/>
    <s v="United States"/>
    <x v="1"/>
    <n v="1"/>
  </r>
  <r>
    <x v="56"/>
    <n v="37900"/>
    <x v="35"/>
    <n v="16460"/>
    <n v="40634"/>
    <d v="2012-03-30T00:00:00"/>
    <s v="Payer"/>
    <s v="United States"/>
    <x v="3"/>
    <n v="7"/>
  </r>
  <r>
    <x v="57"/>
    <n v="1545"/>
    <x v="9"/>
    <n v="15378"/>
    <n v="38439"/>
    <d v="2024-04-16T00:00:00"/>
    <s v="Supplier/Vendor"/>
    <s v="United States"/>
    <x v="0"/>
    <n v="4"/>
  </r>
  <r>
    <x v="58"/>
    <n v="16180"/>
    <x v="49"/>
    <n v="15720"/>
    <n v="39249"/>
    <d v="2013-12-03T00:00:00"/>
    <s v="Payer"/>
    <s v="United States"/>
    <x v="0"/>
    <n v="5"/>
  </r>
  <r>
    <x v="59"/>
    <n v="1905"/>
    <x v="50"/>
    <n v="17536"/>
    <n v="43273"/>
    <d v="2024-12-30T00:00:00"/>
    <s v="Government/Professional Associations/Academic Institution"/>
    <s v="United States"/>
    <x v="1"/>
    <n v="10"/>
  </r>
  <r>
    <x v="60"/>
    <n v="1545"/>
    <x v="51"/>
    <n v="17630"/>
    <n v="43390"/>
    <d v="2010-01-09T00:00:00"/>
    <s v="Supplier/Vendor"/>
    <s v="Canada"/>
    <x v="0"/>
    <n v="10"/>
  </r>
  <r>
    <x v="60"/>
    <n v="1545"/>
    <x v="52"/>
    <n v="13765"/>
    <n v="35119"/>
    <d v="2010-01-09T00:00:00"/>
    <s v="Supplier/Vendor"/>
    <s v="Canada"/>
    <x v="0"/>
    <n v="1"/>
  </r>
  <r>
    <x v="61"/>
    <n v="1905"/>
    <x v="53"/>
    <n v="15734"/>
    <n v="39263"/>
    <d v="2018-07-23T00:00:00"/>
    <s v="Consultant"/>
    <s v="United States"/>
    <x v="1"/>
    <n v="5"/>
  </r>
  <r>
    <x v="62"/>
    <n v="775"/>
    <x v="54"/>
    <n v="16990"/>
    <n v="42518"/>
    <d v="2022-09-21T00:00:00"/>
    <s v=""/>
    <s v=""/>
    <x v="2"/>
    <n v="9"/>
  </r>
  <r>
    <x v="63"/>
    <n v="23375"/>
    <x v="55"/>
    <n v="15533"/>
    <n v="38901"/>
    <d v="2025-05-05T00:00:00"/>
    <s v="Supplier/Vendor"/>
    <s v="United States"/>
    <x v="0"/>
    <n v="5"/>
  </r>
  <r>
    <x v="64"/>
    <n v="2680"/>
    <x v="35"/>
    <n v="16451"/>
    <n v="40596"/>
    <d v="1992-08-16T00:00:00"/>
    <s v="Provider"/>
    <s v="United States"/>
    <x v="0"/>
    <n v="7"/>
  </r>
  <r>
    <x v="65"/>
    <n v="5460"/>
    <x v="56"/>
    <n v="16171"/>
    <n v="39935"/>
    <d v="2010-02-10T00:00:00"/>
    <s v="Government/Professional Associations/Academic Institution"/>
    <s v="United States"/>
    <x v="0"/>
    <n v="7"/>
  </r>
  <r>
    <x v="66"/>
    <n v="5460"/>
    <x v="57"/>
    <n v="16439"/>
    <n v="40560"/>
    <d v="2013-08-09T00:00:00"/>
    <s v="Government/Professional Associations/Academic Institution"/>
    <s v="Poland"/>
    <x v="0"/>
    <n v="7"/>
  </r>
  <r>
    <x v="67"/>
    <n v="775"/>
    <x v="58"/>
    <n v="16981"/>
    <n v="42502"/>
    <d v="2025-08-31T00:00:00"/>
    <s v=""/>
    <s v="United States"/>
    <x v="2"/>
    <n v="8"/>
  </r>
  <r>
    <x v="68"/>
    <n v="9990"/>
    <x v="36"/>
    <n v="13902"/>
    <n v="35282"/>
    <d v="2009-06-19T00:00:00"/>
    <s v="Provider"/>
    <s v="United States"/>
    <x v="0"/>
    <n v="1"/>
  </r>
  <r>
    <x v="69"/>
    <n v="775"/>
    <x v="59"/>
    <n v="15813"/>
    <n v="39387"/>
    <d v="2011-08-31T00:00:00"/>
    <s v="Provider"/>
    <s v="United States"/>
    <x v="2"/>
    <n v="6"/>
  </r>
  <r>
    <x v="70"/>
    <n v="775"/>
    <x v="4"/>
    <n v="16857"/>
    <n v="42301"/>
    <d v="2025-08-22T00:00:00"/>
    <s v=""/>
    <s v=""/>
    <x v="2"/>
    <n v="8"/>
  </r>
  <r>
    <x v="71"/>
    <n v="2370"/>
    <x v="60"/>
    <n v="15832"/>
    <n v="39409"/>
    <d v="2011-11-16T00:00:00"/>
    <s v="Supplier/Vendor"/>
    <s v="United States"/>
    <x v="0"/>
    <n v="6"/>
  </r>
  <r>
    <x v="72"/>
    <n v="16175"/>
    <x v="61"/>
    <n v="14075"/>
    <n v="35519"/>
    <d v="2010-01-01T00:00:00"/>
    <s v="Supplier/Vendor"/>
    <s v="United States"/>
    <x v="0"/>
    <n v="1"/>
  </r>
  <r>
    <x v="73"/>
    <n v="9685"/>
    <x v="49"/>
    <n v="15719"/>
    <n v="39248"/>
    <d v="2011-05-02T00:00:00"/>
    <s v="Supplier/Vendor"/>
    <s v="United States"/>
    <x v="0"/>
    <n v="5"/>
  </r>
  <r>
    <x v="74"/>
    <n v="1545"/>
    <x v="30"/>
    <n v="14244"/>
    <n v="35754"/>
    <d v="2025-01-27T00:00:00"/>
    <s v="Supplier/Vendor"/>
    <s v="United States"/>
    <x v="0"/>
    <n v="1"/>
  </r>
  <r>
    <x v="75"/>
    <n v="23375"/>
    <x v="62"/>
    <n v="16964"/>
    <n v="42479"/>
    <d v="2021-02-08T00:00:00"/>
    <s v="Supplier/Vendor"/>
    <s v="United States"/>
    <x v="0"/>
    <n v="8"/>
  </r>
  <r>
    <x v="76"/>
    <n v="1905"/>
    <x v="63"/>
    <n v="14617"/>
    <n v="36333"/>
    <d v="2020-08-11T00:00:00"/>
    <s v="Consultant"/>
    <s v="United States"/>
    <x v="1"/>
    <n v="2"/>
  </r>
  <r>
    <x v="77"/>
    <n v="2990"/>
    <x v="64"/>
    <n v="16286"/>
    <n v="40200"/>
    <d v="1995-02-21T00:00:00"/>
    <s v="Supplier/Vendor"/>
    <s v="United States"/>
    <x v="1"/>
    <n v="7"/>
  </r>
  <r>
    <x v="78"/>
    <n v="7210"/>
    <x v="65"/>
    <n v="17824"/>
    <n v="43589"/>
    <d v="2011-08-24T00:00:00"/>
    <s v="Provider"/>
    <s v="United States"/>
    <x v="0"/>
    <n v="11"/>
  </r>
  <r>
    <x v="79"/>
    <n v="3400"/>
    <x v="61"/>
    <n v="14073"/>
    <n v="35517"/>
    <d v="2012-02-21T00:00:00"/>
    <s v="Government/Professional Associations/Academic Institution"/>
    <s v="United States"/>
    <x v="1"/>
    <n v="1"/>
  </r>
  <r>
    <x v="79"/>
    <n v="3400"/>
    <x v="5"/>
    <n v="17728"/>
    <n v="43490"/>
    <d v="2012-02-21T00:00:00"/>
    <s v="Government/Professional Associations/Academic Institution"/>
    <s v="United States"/>
    <x v="1"/>
    <n v="11"/>
  </r>
  <r>
    <x v="80"/>
    <n v="2680"/>
    <x v="66"/>
    <n v="15903"/>
    <n v="39530"/>
    <d v="2009-03-06T00:00:00"/>
    <s v="Government/Professional Associations/Academic Institution"/>
    <s v="United States"/>
    <x v="0"/>
    <n v="6"/>
  </r>
  <r>
    <x v="81"/>
    <n v="38100"/>
    <x v="26"/>
    <n v="17460"/>
    <n v="43195"/>
    <d v="2010-03-23T00:00:00"/>
    <s v="Supplier/Vendor"/>
    <s v="United States"/>
    <x v="3"/>
    <n v="10"/>
  </r>
  <r>
    <x v="82"/>
    <n v="1905"/>
    <x v="47"/>
    <n v="17739"/>
    <n v="43502"/>
    <d v="2012-02-08T00:00:00"/>
    <s v="Government/Professional Associations/Academic Institution"/>
    <s v="United States"/>
    <x v="1"/>
    <n v="11"/>
  </r>
  <r>
    <x v="83"/>
    <n v="7210"/>
    <x v="67"/>
    <n v="14070"/>
    <n v="35509"/>
    <d v="2023-08-30T00:00:00"/>
    <s v="Provider"/>
    <s v="United States"/>
    <x v="0"/>
    <n v="1"/>
  </r>
  <r>
    <x v="84"/>
    <n v="75"/>
    <x v="68"/>
    <n v="17201"/>
    <n v="42899"/>
    <d v="2025-09-12T00:00:00"/>
    <s v=""/>
    <s v="United Arab Emirates"/>
    <x v="5"/>
    <n v="9"/>
  </r>
  <r>
    <x v="85"/>
    <n v="100"/>
    <x v="69"/>
    <n v="14470"/>
    <n v="36075"/>
    <d v="2023-02-02T00:00:00"/>
    <s v=""/>
    <s v="United States"/>
    <x v="4"/>
    <n v="2"/>
  </r>
  <r>
    <x v="86"/>
    <n v="775"/>
    <x v="61"/>
    <n v="14048"/>
    <n v="35481"/>
    <d v="2025-01-13T00:00:00"/>
    <s v=""/>
    <s v=""/>
    <x v="2"/>
    <n v="1"/>
  </r>
  <r>
    <x v="87"/>
    <n v="1545"/>
    <x v="70"/>
    <n v="14505"/>
    <n v="36131"/>
    <d v="2012-08-16T00:00:00"/>
    <s v="Supplier/Vendor"/>
    <s v="Malaysia"/>
    <x v="0"/>
    <n v="2"/>
  </r>
  <r>
    <x v="88"/>
    <n v="775"/>
    <x v="71"/>
    <n v="14285"/>
    <n v="35820"/>
    <d v="2024-02-15T00:00:00"/>
    <s v=""/>
    <s v="Australia"/>
    <x v="2"/>
    <n v="1"/>
  </r>
  <r>
    <x v="89"/>
    <n v="775"/>
    <x v="72"/>
    <n v="14577"/>
    <n v="36245"/>
    <d v="2024-08-14T00:00:00"/>
    <s v=""/>
    <s v=""/>
    <x v="2"/>
    <n v="2"/>
  </r>
  <r>
    <x v="90"/>
    <n v="1545"/>
    <x v="73"/>
    <n v="17842"/>
    <n v="43607"/>
    <d v="2012-08-22T00:00:00"/>
    <s v="Supplier/Vendor"/>
    <s v="United States"/>
    <x v="0"/>
    <n v="11"/>
  </r>
  <r>
    <x v="91"/>
    <n v="775"/>
    <x v="74"/>
    <n v="14963"/>
    <n v="36964"/>
    <d v="2023-02-23T00:00:00"/>
    <s v="Consultant"/>
    <s v="United States"/>
    <x v="2"/>
    <n v="3"/>
  </r>
  <r>
    <x v="92"/>
    <n v="1545"/>
    <x v="75"/>
    <n v="17383"/>
    <n v="43114"/>
    <d v="2023-09-15T00:00:00"/>
    <s v="Supplier/Vendor"/>
    <s v="United States"/>
    <x v="0"/>
    <n v="9"/>
  </r>
  <r>
    <x v="93"/>
    <n v="1545"/>
    <x v="76"/>
    <n v="17450"/>
    <n v="43185"/>
    <d v="2017-10-31T00:00:00"/>
    <s v="Government/Professional Associations/Academic Institution"/>
    <s v="United States"/>
    <x v="0"/>
    <n v="10"/>
  </r>
  <r>
    <x v="94"/>
    <n v="775"/>
    <x v="77"/>
    <n v="14307"/>
    <n v="35843"/>
    <d v="2025-01-31T00:00:00"/>
    <s v=""/>
    <s v="Montenegro"/>
    <x v="2"/>
    <n v="1"/>
  </r>
  <r>
    <x v="95"/>
    <n v="1905"/>
    <x v="78"/>
    <n v="17819"/>
    <n v="43584"/>
    <d v="2022-12-16T00:00:00"/>
    <s v="Consultant"/>
    <s v="Canada"/>
    <x v="1"/>
    <n v="11"/>
  </r>
  <r>
    <x v="96"/>
    <n v="775"/>
    <x v="60"/>
    <n v="15835"/>
    <n v="39412"/>
    <d v="2023-06-15T00:00:00"/>
    <s v=""/>
    <s v=""/>
    <x v="2"/>
    <n v="6"/>
  </r>
  <r>
    <x v="97"/>
    <n v="2990"/>
    <x v="50"/>
    <n v="17535"/>
    <n v="43272"/>
    <d v="2020-10-29T00:00:00"/>
    <s v="Consultant"/>
    <s v="United States"/>
    <x v="1"/>
    <n v="10"/>
  </r>
  <r>
    <x v="98"/>
    <n v="1545"/>
    <x v="4"/>
    <n v="16850"/>
    <n v="42293"/>
    <d v="2012-07-24T00:00:00"/>
    <s v="Supplier/Vendor"/>
    <s v="United States"/>
    <x v="0"/>
    <n v="8"/>
  </r>
  <r>
    <x v="99"/>
    <n v="1905"/>
    <x v="18"/>
    <n v="17002"/>
    <n v="42531"/>
    <d v="2019-09-03T00:00:00"/>
    <s v="Consultant"/>
    <s v="United States"/>
    <x v="1"/>
    <n v="9"/>
  </r>
  <r>
    <x v="100"/>
    <n v="1545"/>
    <x v="79"/>
    <n v="15847"/>
    <n v="39444"/>
    <d v="2018-04-05T00:00:00"/>
    <s v="Supplier/Vendor"/>
    <s v="United States"/>
    <x v="0"/>
    <n v="6"/>
  </r>
  <r>
    <x v="101"/>
    <n v="775"/>
    <x v="80"/>
    <n v="17023"/>
    <n v="42566"/>
    <d v="2020-09-04T00:00:00"/>
    <s v=""/>
    <s v=""/>
    <x v="2"/>
    <n v="9"/>
  </r>
  <r>
    <x v="102"/>
    <n v="775"/>
    <x v="81"/>
    <n v="14135"/>
    <n v="35601"/>
    <d v="2025-01-19T00:00:00"/>
    <s v=""/>
    <s v="United States"/>
    <x v="2"/>
    <n v="1"/>
  </r>
  <r>
    <x v="103"/>
    <n v="775"/>
    <x v="82"/>
    <n v="17421"/>
    <n v="43156"/>
    <d v="2025-10-03T00:00:00"/>
    <s v=""/>
    <s v="United States"/>
    <x v="2"/>
    <n v="10"/>
  </r>
  <r>
    <x v="104"/>
    <n v="23700"/>
    <x v="83"/>
    <n v="17788"/>
    <n v="43552"/>
    <d v="2013-01-25T00:00:00"/>
    <s v="Payer"/>
    <s v="United States"/>
    <x v="0"/>
    <n v="11"/>
  </r>
  <r>
    <x v="105"/>
    <n v="2370"/>
    <x v="84"/>
    <n v="15759"/>
    <n v="39307"/>
    <d v="2017-05-14T00:00:00"/>
    <s v="Consultant"/>
    <s v="United States"/>
    <x v="0"/>
    <n v="5"/>
  </r>
  <r>
    <x v="106"/>
    <n v="775"/>
    <x v="35"/>
    <n v="16458"/>
    <n v="40632"/>
    <d v="2013-06-27T00:00:00"/>
    <s v="Consultant"/>
    <s v="United States"/>
    <x v="2"/>
    <n v="7"/>
  </r>
  <r>
    <x v="107"/>
    <n v="5770"/>
    <x v="85"/>
    <n v="16349"/>
    <n v="40353"/>
    <d v="2020-10-22T00:00:00"/>
    <s v="Supplier/Vendor"/>
    <s v="United States"/>
    <x v="0"/>
    <n v="7"/>
  </r>
  <r>
    <x v="108"/>
    <n v="36050"/>
    <x v="86"/>
    <n v="16917"/>
    <n v="42414"/>
    <d v="2009-08-18T00:00:00"/>
    <s v="Government/Professional Associations/Academic Institution"/>
    <s v="Netherlands"/>
    <x v="3"/>
    <n v="8"/>
  </r>
  <r>
    <x v="109"/>
    <n v="775"/>
    <x v="87"/>
    <n v="13977"/>
    <n v="35369"/>
    <d v="2025-01-12T00:00:00"/>
    <s v=""/>
    <s v=""/>
    <x v="2"/>
    <n v="1"/>
  </r>
  <r>
    <x v="110"/>
    <n v="29250"/>
    <x v="88"/>
    <n v="16005"/>
    <n v="39713"/>
    <d v="2021-03-10T00:00:00"/>
    <s v="Payer"/>
    <s v="United States"/>
    <x v="1"/>
    <n v="6"/>
  </r>
  <r>
    <x v="111"/>
    <n v="775"/>
    <x v="89"/>
    <n v="15259"/>
    <n v="37948"/>
    <d v="2025-04-14T00:00:00"/>
    <s v=""/>
    <s v="United States"/>
    <x v="2"/>
    <n v="4"/>
  </r>
  <r>
    <x v="112"/>
    <n v="1905"/>
    <x v="90"/>
    <n v="14154"/>
    <n v="35633"/>
    <d v="2024-02-19T00:00:00"/>
    <s v="Supplier/Vendor"/>
    <s v="United States"/>
    <x v="1"/>
    <n v="1"/>
  </r>
  <r>
    <x v="113"/>
    <n v="9685"/>
    <x v="91"/>
    <n v="14313"/>
    <n v="35849"/>
    <d v="2015-05-20T00:00:00"/>
    <s v="Supplier/Vendor"/>
    <s v="United States"/>
    <x v="0"/>
    <n v="1"/>
  </r>
  <r>
    <x v="114"/>
    <n v="2680"/>
    <x v="39"/>
    <n v="17591"/>
    <n v="43338"/>
    <d v="2012-09-20T00:00:00"/>
    <s v="Government/Professional Associations/Academic Institution"/>
    <s v="United States"/>
    <x v="0"/>
    <n v="10"/>
  </r>
  <r>
    <x v="115"/>
    <n v="775"/>
    <x v="92"/>
    <n v="16471"/>
    <n v="40655"/>
    <d v="2019-09-03T00:00:00"/>
    <s v=""/>
    <s v=""/>
    <x v="2"/>
    <n v="8"/>
  </r>
  <r>
    <x v="116"/>
    <n v="36050"/>
    <x v="28"/>
    <n v="17491"/>
    <n v="43226"/>
    <d v="2001-04-04T00:00:00"/>
    <s v="Government/Professional Associations/Academic Institution"/>
    <s v="United States"/>
    <x v="3"/>
    <n v="10"/>
  </r>
  <r>
    <x v="117"/>
    <n v="775"/>
    <x v="50"/>
    <n v="17515"/>
    <n v="43252"/>
    <d v="2022-09-12T00:00:00"/>
    <s v=""/>
    <s v=""/>
    <x v="2"/>
    <n v="10"/>
  </r>
  <r>
    <x v="118"/>
    <n v="1545"/>
    <x v="93"/>
    <n v="17279"/>
    <n v="43006"/>
    <d v="2025-09-21T00:00:00"/>
    <s v="Supplier/Vendor"/>
    <s v="United States"/>
    <x v="0"/>
    <n v="9"/>
  </r>
  <r>
    <x v="119"/>
    <n v="23375"/>
    <x v="94"/>
    <n v="16190"/>
    <n v="39970"/>
    <d v="2002-05-20T00:00:00"/>
    <s v="Supplier/Vendor"/>
    <s v="United States"/>
    <x v="0"/>
    <n v="7"/>
  </r>
  <r>
    <x v="120"/>
    <n v="1545"/>
    <x v="95"/>
    <n v="16596"/>
    <n v="41393"/>
    <d v="2016-08-09T00:00:00"/>
    <s v="Government/Professional Associations/Academic Institution"/>
    <s v="United States"/>
    <x v="0"/>
    <n v="8"/>
  </r>
  <r>
    <x v="121"/>
    <n v="775"/>
    <x v="96"/>
    <n v="15729"/>
    <n v="39258"/>
    <d v="2025-05-26T00:00:00"/>
    <s v=""/>
    <s v=""/>
    <x v="2"/>
    <n v="5"/>
  </r>
  <r>
    <x v="122"/>
    <n v="775"/>
    <x v="97"/>
    <n v="14898"/>
    <n v="36861"/>
    <d v="2023-04-19T00:00:00"/>
    <s v=""/>
    <s v=""/>
    <x v="2"/>
    <n v="3"/>
  </r>
  <r>
    <x v="123"/>
    <n v="100"/>
    <x v="78"/>
    <n v="17801"/>
    <n v="43565"/>
    <d v="2022-01-21T00:00:00"/>
    <s v=""/>
    <s v="United States"/>
    <x v="4"/>
    <n v="11"/>
  </r>
  <r>
    <x v="124"/>
    <n v="775"/>
    <x v="80"/>
    <n v="17024"/>
    <n v="42567"/>
    <d v="2024-09-02T00:00:00"/>
    <s v=""/>
    <s v="India"/>
    <x v="2"/>
    <n v="9"/>
  </r>
  <r>
    <x v="125"/>
    <n v="1545"/>
    <x v="98"/>
    <n v="14362"/>
    <n v="35913"/>
    <d v="2021-01-11T00:00:00"/>
    <s v="Consultant"/>
    <s v="United States"/>
    <x v="0"/>
    <n v="2"/>
  </r>
  <r>
    <x v="126"/>
    <n v="775"/>
    <x v="99"/>
    <n v="13825"/>
    <n v="35194"/>
    <d v="2025-01-08T00:00:00"/>
    <s v=""/>
    <s v=""/>
    <x v="2"/>
    <n v="1"/>
  </r>
  <r>
    <x v="127"/>
    <n v="775"/>
    <x v="40"/>
    <n v="17541"/>
    <n v="43278"/>
    <d v="2025-01-14T00:00:00"/>
    <s v=""/>
    <s v="United States"/>
    <x v="2"/>
    <n v="10"/>
  </r>
  <r>
    <x v="127"/>
    <n v="775"/>
    <x v="61"/>
    <n v="14069"/>
    <n v="35508"/>
    <d v="2025-01-14T00:00:00"/>
    <s v=""/>
    <s v="United States"/>
    <x v="2"/>
    <n v="1"/>
  </r>
  <r>
    <x v="128"/>
    <n v="38100"/>
    <x v="48"/>
    <n v="16398"/>
    <n v="40484"/>
    <d v="2018-10-29T00:00:00"/>
    <s v="Supplier/Vendor"/>
    <s v="United States"/>
    <x v="3"/>
    <n v="7"/>
  </r>
  <r>
    <x v="129"/>
    <n v="775"/>
    <x v="7"/>
    <n v="17257"/>
    <n v="42981"/>
    <d v="2025-09-17T00:00:00"/>
    <s v=""/>
    <s v="United States"/>
    <x v="2"/>
    <n v="9"/>
  </r>
  <r>
    <x v="130"/>
    <n v="16175"/>
    <x v="38"/>
    <n v="15554"/>
    <n v="38950"/>
    <d v="2014-11-03T00:00:00"/>
    <s v="Supplier/Vendor"/>
    <s v="United States"/>
    <x v="0"/>
    <n v="5"/>
  </r>
  <r>
    <x v="131"/>
    <n v="21640"/>
    <x v="100"/>
    <n v="15700"/>
    <n v="39229"/>
    <d v="2024-07-30T00:00:00"/>
    <s v="Payer"/>
    <s v="United States"/>
    <x v="3"/>
    <n v="5"/>
  </r>
  <r>
    <x v="132"/>
    <n v="1905"/>
    <x v="44"/>
    <n v="14260"/>
    <n v="35770"/>
    <d v="2009-09-11T00:00:00"/>
    <s v="Government/Professional Associations/Academic Institution"/>
    <s v="United States"/>
    <x v="1"/>
    <n v="1"/>
  </r>
  <r>
    <x v="133"/>
    <n v="1033"/>
    <x v="101"/>
    <n v="15190"/>
    <n v="37731"/>
    <d v="2001-01-01T00:00:00"/>
    <s v=""/>
    <s v="Argentina"/>
    <x v="6"/>
    <n v="3"/>
  </r>
  <r>
    <x v="134"/>
    <n v="22127.15"/>
    <x v="102"/>
    <n v="17428"/>
    <n v="43163"/>
    <d v="1997-03-10T00:00:00"/>
    <s v=""/>
    <s v="Australia"/>
    <x v="6"/>
    <n v="10"/>
  </r>
  <r>
    <x v="135"/>
    <n v="10172.5"/>
    <x v="103"/>
    <n v="15189"/>
    <n v="37730"/>
    <d v="2007-07-26T00:00:00"/>
    <s v=""/>
    <s v="Austria"/>
    <x v="6"/>
    <n v="4"/>
  </r>
  <r>
    <x v="136"/>
    <n v="1000"/>
    <x v="104"/>
    <n v="14940"/>
    <n v="36932"/>
    <d v="2020-04-13T00:00:00"/>
    <s v=""/>
    <s v="Belgium"/>
    <x v="6"/>
    <n v="3"/>
  </r>
  <r>
    <x v="137"/>
    <n v="1000"/>
    <x v="105"/>
    <n v="15877"/>
    <n v="39499"/>
    <d v="2002-02-08T00:00:00"/>
    <s v=""/>
    <s v="Brazil"/>
    <x v="6"/>
    <n v="6"/>
  </r>
  <r>
    <x v="138"/>
    <n v="2033"/>
    <x v="106"/>
    <n v="14966"/>
    <n v="36976"/>
    <d v="1996-03-01T00:00:00"/>
    <s v=""/>
    <s v="Canada"/>
    <x v="6"/>
    <n v="3"/>
  </r>
  <r>
    <x v="139"/>
    <n v="1000"/>
    <x v="3"/>
    <n v="15066"/>
    <n v="37189"/>
    <d v="2019-10-01T00:00:00"/>
    <s v=""/>
    <s v="Chile"/>
    <x v="6"/>
    <n v="4"/>
  </r>
  <r>
    <x v="140"/>
    <n v="1000"/>
    <x v="97"/>
    <n v="14895"/>
    <n v="36858"/>
    <d v="2000-05-30T00:00:00"/>
    <s v=""/>
    <s v="China"/>
    <x v="6"/>
    <n v="3"/>
  </r>
  <r>
    <x v="141"/>
    <n v="1308"/>
    <x v="107"/>
    <n v="15327"/>
    <n v="38280"/>
    <d v="2022-06-01T00:00:00"/>
    <s v=""/>
    <s v="Colombia"/>
    <x v="6"/>
    <n v="4"/>
  </r>
  <r>
    <x v="142"/>
    <n v="1000"/>
    <x v="108"/>
    <n v="15063"/>
    <n v="37186"/>
    <d v="2002-09-12T00:00:00"/>
    <s v=""/>
    <s v="Croatia"/>
    <x v="6"/>
    <n v="3"/>
  </r>
  <r>
    <x v="143"/>
    <n v="1643.74"/>
    <x v="109"/>
    <n v="14586"/>
    <n v="36254"/>
    <d v="2001-10-01T00:00:00"/>
    <s v=""/>
    <s v="Czech Republic"/>
    <x v="6"/>
    <n v="2"/>
  </r>
  <r>
    <x v="144"/>
    <n v="6673"/>
    <x v="33"/>
    <n v="14864"/>
    <n v="36792"/>
    <d v="2015-03-18T00:00:00"/>
    <s v=""/>
    <s v="Denmark"/>
    <x v="6"/>
    <n v="3"/>
  </r>
  <r>
    <x v="145"/>
    <n v="2946.69"/>
    <x v="110"/>
    <n v="15745"/>
    <n v="39274"/>
    <d v="1998-09-01T00:00:00"/>
    <s v=""/>
    <s v="Finland"/>
    <x v="6"/>
    <n v="5"/>
  </r>
  <r>
    <x v="146"/>
    <n v="12342.16"/>
    <x v="111"/>
    <n v="15473"/>
    <n v="38699"/>
    <d v="2004-09-02T00:00:00"/>
    <s v=""/>
    <s v="France"/>
    <x v="6"/>
    <n v="4"/>
  </r>
  <r>
    <x v="147"/>
    <n v="10412.799999999999"/>
    <x v="3"/>
    <n v="15081"/>
    <n v="37264"/>
    <d v="1995-07-10T00:00:00"/>
    <s v=""/>
    <s v="Germany"/>
    <x v="6"/>
    <n v="4"/>
  </r>
  <r>
    <x v="147"/>
    <n v="5712.93"/>
    <x v="15"/>
    <n v="15108"/>
    <n v="37342"/>
    <d v="1995-07-10T00:00:00"/>
    <s v=""/>
    <s v="Germany"/>
    <x v="6"/>
    <n v="4"/>
  </r>
  <r>
    <x v="147"/>
    <n v="9979"/>
    <x v="101"/>
    <n v="15003"/>
    <n v="37062"/>
    <d v="1995-07-10T00:00:00"/>
    <s v=""/>
    <s v="Germany"/>
    <x v="6"/>
    <n v="3"/>
  </r>
  <r>
    <x v="148"/>
    <n v="1242"/>
    <x v="3"/>
    <n v="15079"/>
    <n v="37262"/>
    <d v="2003-06-15T00:00:00"/>
    <s v=""/>
    <s v="Greece"/>
    <x v="6"/>
    <n v="4"/>
  </r>
  <r>
    <x v="149"/>
    <n v="8056"/>
    <x v="37"/>
    <n v="14951"/>
    <n v="36942"/>
    <d v="2009-10-06T00:00:00"/>
    <s v=""/>
    <s v="China"/>
    <x v="6"/>
    <n v="3"/>
  </r>
  <r>
    <x v="150"/>
    <n v="1000"/>
    <x v="50"/>
    <n v="17543"/>
    <n v="43280"/>
    <d v="2000-01-01T00:00:00"/>
    <s v=""/>
    <s v="India"/>
    <x v="6"/>
    <n v="10"/>
  </r>
  <r>
    <x v="150"/>
    <n v="1000"/>
    <x v="10"/>
    <n v="16212"/>
    <n v="40012"/>
    <d v="2000-01-01T00:00:00"/>
    <s v=""/>
    <s v="India"/>
    <x v="6"/>
    <n v="7"/>
  </r>
  <r>
    <x v="151"/>
    <n v="12767.33"/>
    <x v="74"/>
    <n v="15191"/>
    <n v="37732"/>
    <d v="2003-09-26T00:00:00"/>
    <s v=""/>
    <s v="Italy"/>
    <x v="6"/>
    <n v="3"/>
  </r>
  <r>
    <x v="152"/>
    <n v="10383.120000000001"/>
    <x v="66"/>
    <n v="15904"/>
    <n v="39531"/>
    <d v="1998-05-01T00:00:00"/>
    <s v=""/>
    <s v="Japan"/>
    <x v="6"/>
    <n v="6"/>
  </r>
  <r>
    <x v="153"/>
    <n v="1359"/>
    <x v="101"/>
    <n v="15001"/>
    <n v="37060"/>
    <d v="2000-05-01T00:00:00"/>
    <s v=""/>
    <s v="Korea, Republic of"/>
    <x v="6"/>
    <n v="3"/>
  </r>
  <r>
    <x v="154"/>
    <n v="1000"/>
    <x v="108"/>
    <n v="15064"/>
    <n v="37187"/>
    <d v="2021-08-19T00:00:00"/>
    <s v=""/>
    <s v="Mexico"/>
    <x v="6"/>
    <n v="3"/>
  </r>
  <r>
    <x v="155"/>
    <n v="23472"/>
    <x v="112"/>
    <n v="15150"/>
    <n v="37586"/>
    <d v="1996-08-01T00:00:00"/>
    <s v=""/>
    <s v="Netherlands"/>
    <x v="6"/>
    <n v="4"/>
  </r>
  <r>
    <x v="156"/>
    <n v="2765.38"/>
    <x v="113"/>
    <n v="15985"/>
    <n v="39671"/>
    <d v="1996-03-15T00:00:00"/>
    <s v=""/>
    <s v="New Zealand"/>
    <x v="6"/>
    <n v="6"/>
  </r>
  <r>
    <x v="157"/>
    <n v="9553.6"/>
    <x v="17"/>
    <n v="15736"/>
    <n v="39265"/>
    <d v="2010-04-15T00:00:00"/>
    <s v=""/>
    <s v="Norway"/>
    <x v="6"/>
    <n v="5"/>
  </r>
  <r>
    <x v="158"/>
    <n v="1000"/>
    <x v="55"/>
    <n v="15520"/>
    <n v="38860"/>
    <d v="2014-01-01T00:00:00"/>
    <s v=""/>
    <s v="Philippines"/>
    <x v="6"/>
    <n v="5"/>
  </r>
  <r>
    <x v="159"/>
    <n v="3600"/>
    <x v="84"/>
    <n v="15773"/>
    <n v="39332"/>
    <d v="2017-01-26T00:00:00"/>
    <s v=""/>
    <s v="Poland"/>
    <x v="6"/>
    <n v="5"/>
  </r>
  <r>
    <x v="160"/>
    <n v="2536"/>
    <x v="84"/>
    <n v="15772"/>
    <n v="39331"/>
    <d v="2018-04-24T00:00:00"/>
    <s v=""/>
    <s v="Portugal"/>
    <x v="6"/>
    <n v="5"/>
  </r>
  <r>
    <x v="161"/>
    <n v="1000"/>
    <x v="114"/>
    <n v="16504"/>
    <n v="40854"/>
    <d v="2007-07-05T00:00:00"/>
    <s v=""/>
    <s v="Romania"/>
    <x v="6"/>
    <n v="8"/>
  </r>
  <r>
    <x v="162"/>
    <n v="1000"/>
    <x v="107"/>
    <n v="15306"/>
    <n v="38191"/>
    <d v="2009-07-25T00:00:00"/>
    <s v=""/>
    <s v="Russian Federation"/>
    <x v="6"/>
    <n v="4"/>
  </r>
  <r>
    <x v="163"/>
    <n v="1000"/>
    <x v="85"/>
    <n v="16348"/>
    <n v="40352"/>
    <d v="2019-03-11T00:00:00"/>
    <s v=""/>
    <s v="Saudi Arabia"/>
    <x v="6"/>
    <n v="7"/>
  </r>
  <r>
    <x v="164"/>
    <n v="1000"/>
    <x v="115"/>
    <n v="15093"/>
    <n v="37297"/>
    <d v="2023-11-21T00:00:00"/>
    <s v=""/>
    <s v="Slovakia"/>
    <x v="6"/>
    <n v="4"/>
  </r>
  <r>
    <x v="165"/>
    <n v="1000"/>
    <x v="76"/>
    <n v="17458"/>
    <n v="43193"/>
    <d v="2014-10-09T00:00:00"/>
    <s v=""/>
    <s v="Slovenia"/>
    <x v="6"/>
    <n v="10"/>
  </r>
  <r>
    <x v="165"/>
    <n v="1000"/>
    <x v="116"/>
    <n v="14422"/>
    <n v="36009"/>
    <d v="2014-10-09T00:00:00"/>
    <s v=""/>
    <s v="Slovenia"/>
    <x v="6"/>
    <n v="2"/>
  </r>
  <r>
    <x v="166"/>
    <n v="1590.58"/>
    <x v="117"/>
    <n v="16075"/>
    <n v="39823"/>
    <d v="2003-08-01T00:00:00"/>
    <s v=""/>
    <s v="Spain"/>
    <x v="6"/>
    <n v="7"/>
  </r>
  <r>
    <x v="167"/>
    <n v="2160"/>
    <x v="46"/>
    <n v="14530"/>
    <n v="36155"/>
    <d v="2006-01-13T00:00:00"/>
    <s v=""/>
    <s v="Sweden"/>
    <x v="6"/>
    <n v="2"/>
  </r>
  <r>
    <x v="168"/>
    <n v="13570.6"/>
    <x v="97"/>
    <n v="14906"/>
    <n v="36869"/>
    <d v="2000-09-20T00:00:00"/>
    <s v=""/>
    <s v="Switzerland"/>
    <x v="6"/>
    <n v="3"/>
  </r>
  <r>
    <x v="169"/>
    <n v="1053.5"/>
    <x v="97"/>
    <n v="14904"/>
    <n v="36867"/>
    <d v="2000-05-23T00:00:00"/>
    <s v=""/>
    <s v="Taiwan"/>
    <x v="6"/>
    <n v="3"/>
  </r>
  <r>
    <x v="170"/>
    <n v="1000"/>
    <x v="53"/>
    <n v="15738"/>
    <n v="39267"/>
    <d v="2017-05-18T00:00:00"/>
    <s v=""/>
    <s v="United Arab Emirates"/>
    <x v="6"/>
    <n v="5"/>
  </r>
  <r>
    <x v="171"/>
    <n v="9469.4599999999991"/>
    <x v="109"/>
    <n v="14585"/>
    <n v="36253"/>
    <d v="1999-01-05T00:00:00"/>
    <s v=""/>
    <s v="United Kingdom"/>
    <x v="6"/>
    <n v="2"/>
  </r>
  <r>
    <x v="172"/>
    <n v="1000"/>
    <x v="118"/>
    <n v="15670"/>
    <n v="39200"/>
    <d v="2018-03-28T00:00:00"/>
    <s v=""/>
    <s v="Ukraine"/>
    <x v="6"/>
    <n v="5"/>
  </r>
  <r>
    <x v="173"/>
    <n v="75"/>
    <x v="101"/>
    <n v="14986"/>
    <n v="37036"/>
    <d v="2025-03-26T00:00:00"/>
    <s v=""/>
    <s v="United States"/>
    <x v="5"/>
    <n v="3"/>
  </r>
  <r>
    <x v="174"/>
    <n v="775"/>
    <x v="79"/>
    <n v="15844"/>
    <n v="39429"/>
    <d v="2023-06-10T00:00:00"/>
    <s v=""/>
    <s v="United States"/>
    <x v="2"/>
    <n v="6"/>
  </r>
  <r>
    <x v="175"/>
    <n v="23700"/>
    <x v="5"/>
    <n v="17740"/>
    <n v="43503"/>
    <d v="2000-05-04T00:00:00"/>
    <s v="Payer"/>
    <s v="United States"/>
    <x v="1"/>
    <n v="11"/>
  </r>
  <r>
    <x v="176"/>
    <n v="2990"/>
    <x v="119"/>
    <n v="17614"/>
    <n v="43361"/>
    <d v="2024-12-17T00:00:00"/>
    <s v="Supplier/Vendor"/>
    <s v="United States"/>
    <x v="1"/>
    <n v="10"/>
  </r>
  <r>
    <x v="177"/>
    <n v="9685"/>
    <x v="51"/>
    <n v="17628"/>
    <n v="43388"/>
    <d v="2023-01-23T00:00:00"/>
    <s v="Supplier/Vendor"/>
    <s v="United States"/>
    <x v="0"/>
    <n v="10"/>
  </r>
  <r>
    <x v="178"/>
    <n v="5460"/>
    <x v="3"/>
    <n v="15080"/>
    <n v="37263"/>
    <d v="2017-04-05T00:00:00"/>
    <s v="Government/Professional Associations/Academic Institution"/>
    <s v="Estonia"/>
    <x v="0"/>
    <n v="4"/>
  </r>
  <r>
    <x v="179"/>
    <n v="1545"/>
    <x v="108"/>
    <n v="15039"/>
    <n v="37132"/>
    <d v="2014-08-21T00:00:00"/>
    <s v="Supplier/Vendor"/>
    <s v="United States"/>
    <x v="0"/>
    <n v="3"/>
  </r>
  <r>
    <x v="180"/>
    <n v="9685"/>
    <x v="53"/>
    <n v="15739"/>
    <n v="39268"/>
    <d v="2009-06-01T00:00:00"/>
    <s v="Supplier/Vendor"/>
    <s v="United States"/>
    <x v="0"/>
    <n v="5"/>
  </r>
  <r>
    <x v="181"/>
    <n v="2370"/>
    <x v="120"/>
    <n v="15601"/>
    <n v="39088"/>
    <d v="2025-05-09T00:00:00"/>
    <s v="Supplier/Vendor"/>
    <s v="Malta"/>
    <x v="0"/>
    <n v="5"/>
  </r>
  <r>
    <x v="182"/>
    <n v="27025"/>
    <x v="99"/>
    <n v="13830"/>
    <n v="35199"/>
    <d v="2025-01-08T00:00:00"/>
    <s v="Supplier/Vendor"/>
    <s v="United States"/>
    <x v="3"/>
    <n v="1"/>
  </r>
  <r>
    <x v="183"/>
    <n v="775"/>
    <x v="121"/>
    <n v="14601"/>
    <n v="36283"/>
    <d v="2023-08-18T00:00:00"/>
    <s v=""/>
    <s v="United States"/>
    <x v="2"/>
    <n v="2"/>
  </r>
  <r>
    <x v="184"/>
    <n v="23700"/>
    <x v="84"/>
    <n v="15758"/>
    <n v="39306"/>
    <d v="2018-08-24T00:00:00"/>
    <s v="Payer"/>
    <s v="United States"/>
    <x v="0"/>
    <n v="5"/>
  </r>
  <r>
    <x v="185"/>
    <n v="775"/>
    <x v="122"/>
    <n v="17698"/>
    <n v="43459"/>
    <d v="2023-10-02T00:00:00"/>
    <s v="Consultant"/>
    <s v="United States"/>
    <x v="2"/>
    <n v="11"/>
  </r>
  <r>
    <x v="186"/>
    <n v="1545"/>
    <x v="123"/>
    <n v="15874"/>
    <n v="39487"/>
    <d v="2012-07-11T00:00:00"/>
    <s v="Government/Professional Associations/Academic Institution"/>
    <s v="Switzerland"/>
    <x v="0"/>
    <n v="6"/>
  </r>
  <r>
    <x v="187"/>
    <n v="1905"/>
    <x v="124"/>
    <n v="16015"/>
    <n v="39726"/>
    <d v="2021-06-24T00:00:00"/>
    <s v="Government/Professional Associations/Academic Institution"/>
    <s v="United States"/>
    <x v="1"/>
    <n v="6"/>
  </r>
  <r>
    <x v="188"/>
    <n v="775"/>
    <x v="125"/>
    <n v="17274"/>
    <n v="43002"/>
    <d v="2025-09-18T00:00:00"/>
    <s v=""/>
    <s v="United States"/>
    <x v="2"/>
    <n v="9"/>
  </r>
  <r>
    <x v="189"/>
    <n v="1545"/>
    <x v="126"/>
    <n v="15467"/>
    <n v="38682"/>
    <d v="2021-05-21T00:00:00"/>
    <s v="Government/Professional Associations/Academic Institution"/>
    <s v="United States"/>
    <x v="0"/>
    <n v="4"/>
  </r>
  <r>
    <x v="190"/>
    <n v="5460"/>
    <x v="77"/>
    <n v="14314"/>
    <n v="35850"/>
    <d v="2009-06-25T00:00:00"/>
    <s v="Government/Professional Associations/Academic Institution"/>
    <s v="United States"/>
    <x v="0"/>
    <n v="1"/>
  </r>
  <r>
    <x v="191"/>
    <n v="2370"/>
    <x v="127"/>
    <n v="16523"/>
    <n v="40994"/>
    <d v="2023-01-09T00:00:00"/>
    <s v="Consultant"/>
    <s v="United States"/>
    <x v="0"/>
    <n v="8"/>
  </r>
  <r>
    <x v="191"/>
    <n v="2370"/>
    <x v="44"/>
    <n v="14204"/>
    <n v="35686"/>
    <d v="2023-01-09T00:00:00"/>
    <s v="Consultant"/>
    <s v="United States"/>
    <x v="0"/>
    <n v="1"/>
  </r>
  <r>
    <x v="192"/>
    <n v="9685"/>
    <x v="128"/>
    <n v="14704"/>
    <n v="36527"/>
    <d v="2010-10-04T00:00:00"/>
    <s v="Supplier/Vendor"/>
    <s v="United States"/>
    <x v="0"/>
    <n v="3"/>
  </r>
  <r>
    <x v="193"/>
    <n v="7200"/>
    <x v="129"/>
    <n v="14662"/>
    <n v="36435"/>
    <d v="2012-03-05T00:00:00"/>
    <s v="Supplier/Vendor"/>
    <s v="United States"/>
    <x v="1"/>
    <n v="3"/>
  </r>
  <r>
    <x v="194"/>
    <n v="38100"/>
    <x v="130"/>
    <n v="15607"/>
    <n v="39103"/>
    <d v="2009-07-07T00:00:00"/>
    <s v="Supplier/Vendor"/>
    <s v="United States"/>
    <x v="3"/>
    <n v="5"/>
  </r>
  <r>
    <x v="195"/>
    <n v="2370"/>
    <x v="51"/>
    <n v="17627"/>
    <n v="43387"/>
    <d v="2011-08-25T00:00:00"/>
    <s v="Supplier/Vendor"/>
    <s v="United States"/>
    <x v="0"/>
    <n v="10"/>
  </r>
  <r>
    <x v="196"/>
    <n v="7200"/>
    <x v="131"/>
    <n v="15333"/>
    <n v="38296"/>
    <d v="2025-04-18T00:00:00"/>
    <s v="Consultant"/>
    <s v="United States"/>
    <x v="1"/>
    <n v="4"/>
  </r>
  <r>
    <x v="197"/>
    <n v="2680"/>
    <x v="132"/>
    <n v="17560"/>
    <n v="43300"/>
    <d v="2010-11-04T00:00:00"/>
    <s v="Government/Professional Associations/Academic Institution"/>
    <s v="United States"/>
    <x v="0"/>
    <n v="10"/>
  </r>
  <r>
    <x v="198"/>
    <n v="775"/>
    <x v="61"/>
    <n v="14050"/>
    <n v="35483"/>
    <d v="2022-06-04T00:00:00"/>
    <s v=""/>
    <s v=""/>
    <x v="2"/>
    <n v="1"/>
  </r>
  <r>
    <x v="199"/>
    <n v="775"/>
    <x v="133"/>
    <n v="15962"/>
    <n v="39638"/>
    <d v="2025-06-22T00:00:00"/>
    <s v=""/>
    <s v="United States"/>
    <x v="2"/>
    <n v="6"/>
  </r>
  <r>
    <x v="200"/>
    <n v="1545"/>
    <x v="134"/>
    <n v="14883"/>
    <n v="36839"/>
    <d v="2025-03-19T00:00:00"/>
    <s v="Supplier/Vendor"/>
    <s v="United States"/>
    <x v="0"/>
    <n v="3"/>
  </r>
  <r>
    <x v="201"/>
    <n v="775"/>
    <x v="135"/>
    <n v="13943"/>
    <n v="35324"/>
    <d v="2022-01-20T00:00:00"/>
    <s v=""/>
    <s v=""/>
    <x v="2"/>
    <n v="1"/>
  </r>
  <r>
    <x v="202"/>
    <n v="1545"/>
    <x v="66"/>
    <n v="15892"/>
    <n v="39518"/>
    <d v="2018-06-11T00:00:00"/>
    <s v="Consultant"/>
    <s v="United States"/>
    <x v="0"/>
    <n v="6"/>
  </r>
  <r>
    <x v="203"/>
    <n v="775"/>
    <x v="56"/>
    <n v="16187"/>
    <n v="39964"/>
    <d v="2025-07-07T00:00:00"/>
    <s v=""/>
    <s v=""/>
    <x v="2"/>
    <n v="7"/>
  </r>
  <r>
    <x v="204"/>
    <n v="775"/>
    <x v="19"/>
    <n v="14995"/>
    <n v="37045"/>
    <d v="2025-03-27T00:00:00"/>
    <s v=""/>
    <s v=""/>
    <x v="2"/>
    <n v="3"/>
  </r>
  <r>
    <x v="205"/>
    <n v="775"/>
    <x v="72"/>
    <n v="14584"/>
    <n v="36252"/>
    <d v="2025-01-08T00:00:00"/>
    <s v=""/>
    <s v="United States"/>
    <x v="2"/>
    <n v="2"/>
  </r>
  <r>
    <x v="205"/>
    <n v="775"/>
    <x v="99"/>
    <n v="13824"/>
    <n v="35193"/>
    <d v="2025-01-08T00:00:00"/>
    <s v=""/>
    <s v="United States"/>
    <x v="2"/>
    <n v="1"/>
  </r>
  <r>
    <x v="206"/>
    <n v="775"/>
    <x v="136"/>
    <n v="16442"/>
    <n v="40563"/>
    <d v="2025-07-30T00:00:00"/>
    <s v=""/>
    <s v="United States"/>
    <x v="2"/>
    <n v="7"/>
  </r>
  <r>
    <x v="207"/>
    <n v="775"/>
    <x v="49"/>
    <n v="15712"/>
    <n v="39241"/>
    <d v="2025-05-22T00:00:00"/>
    <s v=""/>
    <s v="United States"/>
    <x v="2"/>
    <n v="5"/>
  </r>
  <r>
    <x v="208"/>
    <n v="775"/>
    <x v="31"/>
    <n v="13794"/>
    <n v="35152"/>
    <d v="2025-01-07T00:00:00"/>
    <s v=""/>
    <s v="United States"/>
    <x v="2"/>
    <n v="1"/>
  </r>
  <r>
    <x v="209"/>
    <n v="775"/>
    <x v="137"/>
    <n v="16970"/>
    <n v="42487"/>
    <d v="2025-08-29T00:00:00"/>
    <s v=""/>
    <s v="United States"/>
    <x v="2"/>
    <n v="8"/>
  </r>
  <r>
    <x v="210"/>
    <n v="775"/>
    <x v="138"/>
    <n v="14393"/>
    <n v="35956"/>
    <d v="2025-02-06T00:00:00"/>
    <s v=""/>
    <s v="United States"/>
    <x v="2"/>
    <n v="2"/>
  </r>
  <r>
    <x v="211"/>
    <n v="775"/>
    <x v="24"/>
    <n v="14737"/>
    <n v="36577"/>
    <d v="2021-09-02T00:00:00"/>
    <s v=""/>
    <s v=""/>
    <x v="2"/>
    <n v="3"/>
  </r>
  <r>
    <x v="212"/>
    <n v="775"/>
    <x v="55"/>
    <n v="15515"/>
    <n v="38843"/>
    <d v="2016-05-11T00:00:00"/>
    <s v=""/>
    <s v="United States"/>
    <x v="2"/>
    <n v="5"/>
  </r>
  <r>
    <x v="213"/>
    <n v="775"/>
    <x v="107"/>
    <n v="15266"/>
    <n v="37972"/>
    <d v="2025-04-15T00:00:00"/>
    <s v=""/>
    <s v="United States"/>
    <x v="2"/>
    <n v="4"/>
  </r>
  <r>
    <x v="214"/>
    <n v="100"/>
    <x v="139"/>
    <n v="17680"/>
    <n v="43443"/>
    <d v="2022-01-07T00:00:00"/>
    <s v=""/>
    <s v="United States"/>
    <x v="4"/>
    <n v="11"/>
  </r>
  <r>
    <x v="215"/>
    <n v="14420"/>
    <x v="15"/>
    <n v="15106"/>
    <n v="37340"/>
    <d v="2003-12-08T00:00:00"/>
    <s v="Provider"/>
    <s v="United States"/>
    <x v="0"/>
    <n v="4"/>
  </r>
  <r>
    <x v="216"/>
    <n v="775"/>
    <x v="109"/>
    <n v="14556"/>
    <n v="36197"/>
    <d v="2019-02-27T00:00:00"/>
    <s v=""/>
    <s v="United States"/>
    <x v="2"/>
    <n v="2"/>
  </r>
  <r>
    <x v="217"/>
    <n v="775"/>
    <x v="104"/>
    <n v="14917"/>
    <n v="36890"/>
    <d v="2023-11-23T00:00:00"/>
    <s v=""/>
    <s v=""/>
    <x v="2"/>
    <n v="3"/>
  </r>
  <r>
    <x v="218"/>
    <n v="30290"/>
    <x v="44"/>
    <n v="14261"/>
    <n v="35771"/>
    <d v="2006-03-30T00:00:00"/>
    <s v="Provider"/>
    <s v="United States"/>
    <x v="3"/>
    <n v="1"/>
  </r>
  <r>
    <x v="219"/>
    <n v="775"/>
    <x v="23"/>
    <n v="16526"/>
    <n v="41014"/>
    <d v="2024-08-23T00:00:00"/>
    <s v=""/>
    <s v=""/>
    <x v="2"/>
    <n v="8"/>
  </r>
  <r>
    <x v="220"/>
    <n v="100"/>
    <x v="74"/>
    <n v="14971"/>
    <n v="36986"/>
    <d v="1996-08-15T00:00:00"/>
    <s v=""/>
    <s v="United States"/>
    <x v="4"/>
    <n v="3"/>
  </r>
  <r>
    <x v="221"/>
    <n v="775"/>
    <x v="64"/>
    <n v="16287"/>
    <n v="40201"/>
    <d v="2024-08-26T00:00:00"/>
    <s v=""/>
    <s v=""/>
    <x v="2"/>
    <n v="7"/>
  </r>
  <r>
    <x v="222"/>
    <n v="1545"/>
    <x v="140"/>
    <n v="16362"/>
    <n v="40399"/>
    <d v="2025-07-24T00:00:00"/>
    <s v="Supplier/Vendor"/>
    <s v="United States"/>
    <x v="0"/>
    <n v="7"/>
  </r>
  <r>
    <x v="223"/>
    <n v="1545"/>
    <x v="141"/>
    <n v="14524"/>
    <n v="36150"/>
    <d v="2023-12-20T00:00:00"/>
    <s v="Consultant"/>
    <s v="United States"/>
    <x v="0"/>
    <n v="2"/>
  </r>
  <r>
    <x v="224"/>
    <n v="1545"/>
    <x v="142"/>
    <n v="14273"/>
    <n v="35804"/>
    <d v="2024-01-12T00:00:00"/>
    <s v="Supplier/Vendor"/>
    <s v="United States"/>
    <x v="0"/>
    <n v="1"/>
  </r>
  <r>
    <x v="225"/>
    <n v="16500"/>
    <x v="143"/>
    <n v="16931"/>
    <n v="42435"/>
    <d v="2024-08-21T00:00:00"/>
    <s v="Government/Professional Associations/Academic Institution"/>
    <s v=""/>
    <x v="3"/>
    <n v="8"/>
  </r>
  <r>
    <x v="226"/>
    <n v="14420"/>
    <x v="35"/>
    <n v="16450"/>
    <n v="40595"/>
    <d v="2010-04-27T00:00:00"/>
    <s v="Provider"/>
    <s v="United States"/>
    <x v="0"/>
    <n v="7"/>
  </r>
  <r>
    <x v="227"/>
    <n v="7200"/>
    <x v="20"/>
    <n v="17644"/>
    <n v="43405"/>
    <d v="2007-11-07T00:00:00"/>
    <s v="Supplier/Vendor"/>
    <s v="United States"/>
    <x v="1"/>
    <n v="11"/>
  </r>
  <r>
    <x v="228"/>
    <n v="9685"/>
    <x v="85"/>
    <n v="16354"/>
    <n v="40367"/>
    <d v="2009-08-20T00:00:00"/>
    <s v="Consultant"/>
    <s v="United States"/>
    <x v="0"/>
    <n v="7"/>
  </r>
  <r>
    <x v="229"/>
    <n v="775"/>
    <x v="44"/>
    <n v="14224"/>
    <n v="35734"/>
    <d v="2025-01-24T00:00:00"/>
    <s v=""/>
    <s v="United States"/>
    <x v="2"/>
    <n v="1"/>
  </r>
  <r>
    <x v="230"/>
    <n v="775"/>
    <x v="128"/>
    <n v="14688"/>
    <n v="36501"/>
    <d v="2024-04-01T00:00:00"/>
    <s v=""/>
    <s v=""/>
    <x v="2"/>
    <n v="3"/>
  </r>
  <r>
    <x v="231"/>
    <n v="775"/>
    <x v="27"/>
    <n v="15788"/>
    <n v="39355"/>
    <d v="2024-06-05T00:00:00"/>
    <s v=""/>
    <s v=""/>
    <x v="2"/>
    <n v="6"/>
  </r>
  <r>
    <x v="232"/>
    <n v="23375"/>
    <x v="112"/>
    <n v="15148"/>
    <n v="37584"/>
    <d v="2003-07-28T00:00:00"/>
    <s v="Supplier/Vendor"/>
    <s v="United States"/>
    <x v="0"/>
    <n v="4"/>
  </r>
  <r>
    <x v="233"/>
    <n v="100"/>
    <x v="49"/>
    <n v="15714"/>
    <n v="39243"/>
    <d v="2025-05-22T00:00:00"/>
    <s v=""/>
    <s v="United States"/>
    <x v="4"/>
    <n v="5"/>
  </r>
  <r>
    <x v="234"/>
    <n v="775"/>
    <x v="144"/>
    <n v="15724"/>
    <n v="39253"/>
    <d v="2020-05-15T00:00:00"/>
    <s v=""/>
    <s v="United States"/>
    <x v="2"/>
    <n v="5"/>
  </r>
  <r>
    <x v="235"/>
    <n v="775"/>
    <x v="42"/>
    <n v="15947"/>
    <n v="39621"/>
    <d v="2025-06-19T00:00:00"/>
    <s v=""/>
    <s v="United States"/>
    <x v="2"/>
    <n v="6"/>
  </r>
  <r>
    <x v="236"/>
    <n v="775"/>
    <x v="106"/>
    <n v="14948"/>
    <n v="36939"/>
    <d v="2025-03-25T00:00:00"/>
    <s v=""/>
    <s v=""/>
    <x v="2"/>
    <n v="3"/>
  </r>
  <r>
    <x v="237"/>
    <n v="1905"/>
    <x v="145"/>
    <n v="17718"/>
    <n v="43480"/>
    <d v="2008-11-26T00:00:00"/>
    <s v="Supplier/Vendor"/>
    <s v="Canada"/>
    <x v="1"/>
    <n v="11"/>
  </r>
  <r>
    <x v="238"/>
    <n v="775"/>
    <x v="146"/>
    <n v="17245"/>
    <n v="42964"/>
    <d v="2022-08-27T00:00:00"/>
    <s v=""/>
    <s v=""/>
    <x v="2"/>
    <n v="9"/>
  </r>
  <r>
    <x v="239"/>
    <n v="775"/>
    <x v="147"/>
    <n v="15350"/>
    <n v="38390"/>
    <d v="2021-05-11T00:00:00"/>
    <s v=""/>
    <s v=""/>
    <x v="2"/>
    <n v="4"/>
  </r>
  <r>
    <x v="240"/>
    <n v="775"/>
    <x v="148"/>
    <n v="17635"/>
    <n v="43395"/>
    <d v="2018-12-31T00:00:00"/>
    <s v=""/>
    <s v=""/>
    <x v="2"/>
    <n v="11"/>
  </r>
  <r>
    <x v="241"/>
    <n v="16175"/>
    <x v="149"/>
    <n v="14479"/>
    <n v="36084"/>
    <d v="2010-01-27T00:00:00"/>
    <s v="Supplier/Vendor"/>
    <s v="United States"/>
    <x v="0"/>
    <n v="2"/>
  </r>
  <r>
    <x v="242"/>
    <n v="23375"/>
    <x v="77"/>
    <n v="14349"/>
    <n v="35900"/>
    <d v="2011-11-14T00:00:00"/>
    <s v="Supplier/Vendor"/>
    <s v="United States"/>
    <x v="0"/>
    <n v="1"/>
  </r>
  <r>
    <x v="243"/>
    <n v="1905"/>
    <x v="1"/>
    <n v="17089"/>
    <n v="42732"/>
    <d v="2025-09-05T00:00:00"/>
    <s v="Supplier/Vendor"/>
    <s v="United States"/>
    <x v="1"/>
    <n v="9"/>
  </r>
  <r>
    <x v="244"/>
    <n v="775"/>
    <x v="53"/>
    <n v="15733"/>
    <n v="39262"/>
    <d v="2025-05-27T00:00:00"/>
    <s v=""/>
    <s v="United States"/>
    <x v="2"/>
    <n v="5"/>
  </r>
  <r>
    <x v="245"/>
    <n v="775"/>
    <x v="37"/>
    <n v="14947"/>
    <n v="36938"/>
    <d v="2025-03-24T00:00:00"/>
    <s v=""/>
    <s v=""/>
    <x v="2"/>
    <n v="3"/>
  </r>
  <r>
    <x v="246"/>
    <n v="775"/>
    <x v="29"/>
    <n v="16770"/>
    <n v="42091"/>
    <d v="2024-08-19T00:00:00"/>
    <s v=""/>
    <s v=""/>
    <x v="2"/>
    <n v="8"/>
  </r>
  <r>
    <x v="247"/>
    <n v="775"/>
    <x v="143"/>
    <n v="16929"/>
    <n v="42433"/>
    <d v="2024-10-01T00:00:00"/>
    <s v=""/>
    <s v="Brazil"/>
    <x v="2"/>
    <n v="8"/>
  </r>
  <r>
    <x v="248"/>
    <n v="775"/>
    <x v="127"/>
    <n v="16513"/>
    <n v="40931"/>
    <d v="2022-08-11T00:00:00"/>
    <s v=""/>
    <s v="United States"/>
    <x v="2"/>
    <n v="8"/>
  </r>
  <r>
    <x v="249"/>
    <n v="775"/>
    <x v="5"/>
    <n v="17725"/>
    <n v="43487"/>
    <d v="2025-11-14T00:00:00"/>
    <s v=""/>
    <s v="United States"/>
    <x v="2"/>
    <n v="11"/>
  </r>
  <r>
    <x v="250"/>
    <n v="30290"/>
    <x v="150"/>
    <n v="15576"/>
    <n v="39000"/>
    <d v="2003-07-08T00:00:00"/>
    <s v="Provider"/>
    <s v="United States"/>
    <x v="3"/>
    <n v="5"/>
  </r>
  <r>
    <x v="251"/>
    <n v="1905"/>
    <x v="151"/>
    <n v="15282"/>
    <n v="38056"/>
    <d v="2020-05-15T00:00:00"/>
    <s v="Government/Professional Associations/Academic Institution"/>
    <s v="United States"/>
    <x v="1"/>
    <n v="4"/>
  </r>
  <r>
    <x v="252"/>
    <n v="23375"/>
    <x v="53"/>
    <n v="15735"/>
    <n v="39264"/>
    <d v="2018-03-16T00:00:00"/>
    <s v="Consultant"/>
    <s v="United States"/>
    <x v="0"/>
    <n v="5"/>
  </r>
  <r>
    <x v="253"/>
    <n v="14420"/>
    <x v="48"/>
    <n v="16383"/>
    <n v="40464"/>
    <d v="1992-11-27T00:00:00"/>
    <s v="Provider"/>
    <s v="United States"/>
    <x v="0"/>
    <n v="7"/>
  </r>
  <r>
    <x v="253"/>
    <n v="14420"/>
    <x v="71"/>
    <n v="14284"/>
    <n v="35819"/>
    <d v="1992-11-27T00:00:00"/>
    <s v="Provider"/>
    <s v="United States"/>
    <x v="0"/>
    <n v="1"/>
  </r>
  <r>
    <x v="254"/>
    <n v="23375"/>
    <x v="36"/>
    <n v="13901"/>
    <n v="35281"/>
    <d v="2003-12-09T00:00:00"/>
    <s v="Supplier/Vendor"/>
    <s v="United States"/>
    <x v="0"/>
    <n v="1"/>
  </r>
  <r>
    <x v="255"/>
    <n v="1905"/>
    <x v="110"/>
    <n v="15744"/>
    <n v="39273"/>
    <d v="2022-08-17T00:00:00"/>
    <s v="Government/Professional Associations/Academic Institution"/>
    <s v="Denmark"/>
    <x v="1"/>
    <n v="5"/>
  </r>
  <r>
    <x v="256"/>
    <n v="2370"/>
    <x v="98"/>
    <n v="14365"/>
    <n v="35916"/>
    <d v="2014-12-15T00:00:00"/>
    <s v="Supplier/Vendor"/>
    <s v="United States"/>
    <x v="0"/>
    <n v="2"/>
  </r>
  <r>
    <x v="257"/>
    <n v="100"/>
    <x v="33"/>
    <n v="14828"/>
    <n v="36741"/>
    <d v="2022-06-17T00:00:00"/>
    <s v=""/>
    <s v="United States"/>
    <x v="4"/>
    <n v="3"/>
  </r>
  <r>
    <x v="258"/>
    <n v="1650"/>
    <x v="15"/>
    <n v="15084"/>
    <n v="37267"/>
    <d v="2016-03-30T00:00:00"/>
    <s v="Provider"/>
    <s v="South Africa"/>
    <x v="0"/>
    <n v="4"/>
  </r>
  <r>
    <x v="259"/>
    <n v="2370"/>
    <x v="109"/>
    <n v="14564"/>
    <n v="36212"/>
    <d v="2013-04-22T00:00:00"/>
    <s v="Supplier/Vendor"/>
    <s v="United States"/>
    <x v="0"/>
    <n v="2"/>
  </r>
  <r>
    <x v="260"/>
    <n v="23375"/>
    <x v="152"/>
    <n v="15858"/>
    <n v="39470"/>
    <d v="2005-01-11T00:00:00"/>
    <s v="Supplier/Vendor"/>
    <s v="United States"/>
    <x v="0"/>
    <n v="6"/>
  </r>
  <r>
    <x v="261"/>
    <n v="775"/>
    <x v="121"/>
    <n v="14607"/>
    <n v="36304"/>
    <d v="2012-07-13T00:00:00"/>
    <s v=""/>
    <s v="Canada"/>
    <x v="2"/>
    <n v="2"/>
  </r>
  <r>
    <x v="262"/>
    <n v="23375"/>
    <x v="123"/>
    <n v="15875"/>
    <n v="39488"/>
    <d v="2002-09-10T00:00:00"/>
    <s v="Pharmaceutical"/>
    <s v="United States"/>
    <x v="0"/>
    <n v="6"/>
  </r>
  <r>
    <x v="263"/>
    <n v="775"/>
    <x v="79"/>
    <n v="15840"/>
    <n v="39417"/>
    <d v="2023-06-13T00:00:00"/>
    <s v=""/>
    <s v="United States"/>
    <x v="2"/>
    <n v="6"/>
  </r>
  <r>
    <x v="264"/>
    <n v="775"/>
    <x v="49"/>
    <n v="15709"/>
    <n v="39238"/>
    <d v="2025-05-22T00:00:00"/>
    <s v=""/>
    <s v=""/>
    <x v="2"/>
    <n v="5"/>
  </r>
  <r>
    <x v="265"/>
    <n v="775"/>
    <x v="86"/>
    <n v="16909"/>
    <n v="42405"/>
    <d v="2024-07-25T00:00:00"/>
    <s v=""/>
    <s v=""/>
    <x v="2"/>
    <n v="8"/>
  </r>
  <r>
    <x v="266"/>
    <n v="3455"/>
    <x v="153"/>
    <n v="14441"/>
    <n v="36032"/>
    <d v="2024-02-22T00:00:00"/>
    <s v="Government/Professional Associations/Academic Institution"/>
    <s v="United States"/>
    <x v="0"/>
    <n v="2"/>
  </r>
  <r>
    <x v="267"/>
    <n v="2680"/>
    <x v="154"/>
    <n v="16330"/>
    <n v="40308"/>
    <d v="2005-07-22T00:00:00"/>
    <s v="Government/Professional Associations/Academic Institution"/>
    <s v="United States"/>
    <x v="0"/>
    <n v="7"/>
  </r>
  <r>
    <x v="268"/>
    <n v="775"/>
    <x v="14"/>
    <n v="15208"/>
    <n v="37799"/>
    <d v="2025-04-11T00:00:00"/>
    <s v=""/>
    <s v="Croatia"/>
    <x v="2"/>
    <n v="4"/>
  </r>
  <r>
    <x v="269"/>
    <n v="23375"/>
    <x v="155"/>
    <n v="17446"/>
    <n v="43181"/>
    <d v="2010-10-26T00:00:00"/>
    <s v="Supplier/Vendor"/>
    <s v="United States"/>
    <x v="0"/>
    <n v="10"/>
  </r>
  <r>
    <x v="270"/>
    <n v="1545"/>
    <x v="156"/>
    <n v="16062"/>
    <n v="39802"/>
    <d v="2025-07-01T00:00:00"/>
    <s v="Consultant"/>
    <s v="United States"/>
    <x v="0"/>
    <n v="7"/>
  </r>
  <r>
    <x v="271"/>
    <n v="1545"/>
    <x v="48"/>
    <n v="16384"/>
    <n v="40465"/>
    <d v="1997-12-23T00:00:00"/>
    <s v="Government/Professional Associations/Academic Institution"/>
    <s v="United States"/>
    <x v="0"/>
    <n v="7"/>
  </r>
  <r>
    <x v="272"/>
    <n v="16500"/>
    <x v="129"/>
    <n v="14663"/>
    <n v="36436"/>
    <d v="2012-04-05T00:00:00"/>
    <s v="Government/Professional Associations/Academic Institution"/>
    <s v="United States"/>
    <x v="3"/>
    <n v="3"/>
  </r>
  <r>
    <x v="273"/>
    <n v="16480"/>
    <x v="157"/>
    <n v="14560"/>
    <n v="36208"/>
    <d v="2000-11-15T00:00:00"/>
    <s v="Government/Professional Associations/Academic Institution"/>
    <s v="Netherlands"/>
    <x v="1"/>
    <n v="2"/>
  </r>
  <r>
    <x v="274"/>
    <n v="16480"/>
    <x v="73"/>
    <n v="17858"/>
    <n v="43622"/>
    <d v="2010-04-18T00:00:00"/>
    <s v="Government/Professional Associations/Academic Institution"/>
    <s v="United States"/>
    <x v="1"/>
    <n v="11"/>
  </r>
  <r>
    <x v="275"/>
    <n v="2680"/>
    <x v="158"/>
    <n v="17709"/>
    <n v="43470"/>
    <d v="2013-09-18T00:00:00"/>
    <s v="Government/Professional Associations/Academic Institution"/>
    <s v="United States"/>
    <x v="0"/>
    <n v="11"/>
  </r>
  <r>
    <x v="276"/>
    <n v="1545"/>
    <x v="159"/>
    <n v="15757"/>
    <n v="39305"/>
    <d v="2025-05-29T00:00:00"/>
    <s v="Government/Professional Associations/Academic Institution"/>
    <s v="United States"/>
    <x v="0"/>
    <n v="5"/>
  </r>
  <r>
    <x v="277"/>
    <n v="775"/>
    <x v="78"/>
    <n v="17810"/>
    <n v="43575"/>
    <d v="2025-11-21T00:00:00"/>
    <s v=""/>
    <s v="United States"/>
    <x v="2"/>
    <n v="11"/>
  </r>
  <r>
    <x v="278"/>
    <n v="1545"/>
    <x v="52"/>
    <n v="13776"/>
    <n v="35134"/>
    <d v="2006-01-03T00:00:00"/>
    <s v="Government/Professional Associations/Academic Institution"/>
    <s v="United States"/>
    <x v="0"/>
    <n v="1"/>
  </r>
  <r>
    <x v="279"/>
    <n v="7010"/>
    <x v="160"/>
    <n v="16583"/>
    <n v="41325"/>
    <d v="2001-11-19T00:00:00"/>
    <s v="Government/Professional Associations/Academic Institution"/>
    <s v="United States"/>
    <x v="0"/>
    <n v="8"/>
  </r>
  <r>
    <x v="280"/>
    <n v="5460"/>
    <x v="88"/>
    <n v="15993"/>
    <n v="39698"/>
    <d v="2002-07-29T00:00:00"/>
    <s v="Government/Professional Associations/Academic Institution"/>
    <s v="United States"/>
    <x v="0"/>
    <n v="6"/>
  </r>
  <r>
    <x v="281"/>
    <n v="5460"/>
    <x v="161"/>
    <n v="15633"/>
    <n v="39150"/>
    <d v="1992-01-01T00:00:00"/>
    <s v="Government/Professional Associations/Academic Institution"/>
    <s v="United States"/>
    <x v="0"/>
    <n v="5"/>
  </r>
  <r>
    <x v="282"/>
    <n v="1905"/>
    <x v="162"/>
    <n v="16394"/>
    <n v="40480"/>
    <d v="2011-08-12T00:00:00"/>
    <s v="Government/Professional Associations/Academic Institution"/>
    <s v="United States"/>
    <x v="1"/>
    <n v="7"/>
  </r>
  <r>
    <x v="283"/>
    <n v="5460"/>
    <x v="163"/>
    <n v="14446"/>
    <n v="36044"/>
    <d v="2023-05-23T00:00:00"/>
    <s v="Government/Professional Associations/Academic Institution"/>
    <s v="United States"/>
    <x v="0"/>
    <n v="2"/>
  </r>
  <r>
    <x v="284"/>
    <n v="1905"/>
    <x v="119"/>
    <n v="17621"/>
    <n v="43381"/>
    <d v="2024-11-04T00:00:00"/>
    <s v="Supplier/Vendor"/>
    <s v="United States"/>
    <x v="1"/>
    <n v="10"/>
  </r>
  <r>
    <x v="285"/>
    <n v="2990"/>
    <x v="164"/>
    <n v="14229"/>
    <n v="35739"/>
    <d v="2025-01-25T00:00:00"/>
    <s v="Supplier/Vendor"/>
    <s v="United States"/>
    <x v="1"/>
    <n v="1"/>
  </r>
  <r>
    <x v="286"/>
    <n v="2680"/>
    <x v="21"/>
    <n v="16275"/>
    <n v="40172"/>
    <d v="2010-03-09T00:00:00"/>
    <s v="Government/Professional Associations/Academic Institution"/>
    <s v="United States"/>
    <x v="0"/>
    <n v="7"/>
  </r>
  <r>
    <x v="287"/>
    <n v="14420"/>
    <x v="123"/>
    <n v="15873"/>
    <n v="39486"/>
    <d v="1993-01-05T00:00:00"/>
    <s v="Provider"/>
    <s v="United States"/>
    <x v="0"/>
    <n v="6"/>
  </r>
  <r>
    <x v="288"/>
    <n v="2990"/>
    <x v="165"/>
    <n v="15823"/>
    <n v="39395"/>
    <d v="2023-05-09T00:00:00"/>
    <s v="Consultant"/>
    <s v="United States"/>
    <x v="1"/>
    <n v="6"/>
  </r>
  <r>
    <x v="289"/>
    <n v="18700"/>
    <x v="48"/>
    <n v="16385"/>
    <n v="40466"/>
    <d v="2010-02-02T00:00:00"/>
    <s v="Supplier/Vendor"/>
    <s v="United States"/>
    <x v="0"/>
    <n v="7"/>
  </r>
  <r>
    <x v="289"/>
    <n v="4675"/>
    <x v="48"/>
    <n v="16386"/>
    <n v="40467"/>
    <d v="2010-02-02T00:00:00"/>
    <s v="Supplier/Vendor"/>
    <s v="United States"/>
    <x v="0"/>
    <n v="7"/>
  </r>
  <r>
    <x v="290"/>
    <n v="775"/>
    <x v="166"/>
    <n v="14927"/>
    <n v="36905"/>
    <d v="2025-03-22T00:00:00"/>
    <s v=""/>
    <s v="United States"/>
    <x v="2"/>
    <n v="3"/>
  </r>
  <r>
    <x v="291"/>
    <n v="2370"/>
    <x v="18"/>
    <n v="16999"/>
    <n v="42527"/>
    <d v="2014-07-07T00:00:00"/>
    <s v="Supplier/Vendor"/>
    <s v="United States"/>
    <x v="0"/>
    <n v="9"/>
  </r>
  <r>
    <x v="292"/>
    <n v="18025"/>
    <x v="70"/>
    <n v="14494"/>
    <n v="36099"/>
    <d v="2020-04-15T00:00:00"/>
    <s v="Provider"/>
    <s v="United States"/>
    <x v="1"/>
    <n v="2"/>
  </r>
  <r>
    <x v="293"/>
    <n v="1545"/>
    <x v="115"/>
    <n v="15092"/>
    <n v="37296"/>
    <d v="2020-05-28T00:00:00"/>
    <s v="Government/Professional Associations/Academic Institution"/>
    <s v="Germany"/>
    <x v="0"/>
    <n v="4"/>
  </r>
  <r>
    <x v="294"/>
    <n v="1545"/>
    <x v="65"/>
    <n v="17823"/>
    <n v="43588"/>
    <d v="2022-05-12T00:00:00"/>
    <s v="Consultant"/>
    <s v="United States"/>
    <x v="0"/>
    <n v="11"/>
  </r>
  <r>
    <x v="295"/>
    <n v="36050"/>
    <x v="116"/>
    <n v="14418"/>
    <n v="36005"/>
    <d v="2010-09-20T00:00:00"/>
    <s v="Government/Professional Associations/Academic Institution"/>
    <s v="United States"/>
    <x v="3"/>
    <n v="2"/>
  </r>
  <r>
    <x v="296"/>
    <n v="2680"/>
    <x v="167"/>
    <n v="16256"/>
    <n v="40136"/>
    <d v="2011-03-21T00:00:00"/>
    <s v="Government/Professional Associations/Academic Institution"/>
    <s v="United States"/>
    <x v="0"/>
    <n v="7"/>
  </r>
  <r>
    <x v="297"/>
    <n v="775"/>
    <x v="168"/>
    <n v="14714"/>
    <n v="36537"/>
    <d v="2020-04-01T00:00:00"/>
    <s v=""/>
    <s v="United States"/>
    <x v="2"/>
    <n v="3"/>
  </r>
  <r>
    <x v="298"/>
    <n v="38100"/>
    <x v="137"/>
    <n v="16965"/>
    <n v="42480"/>
    <d v="1996-03-13T00:00:00"/>
    <s v="Supplier/Vendor"/>
    <s v="United States"/>
    <x v="3"/>
    <n v="8"/>
  </r>
  <r>
    <x v="299"/>
    <n v="38100"/>
    <x v="48"/>
    <n v="16397"/>
    <n v="40483"/>
    <d v="2009-05-12T00:00:00"/>
    <s v="Supplier/Vendor"/>
    <s v="United States"/>
    <x v="3"/>
    <n v="7"/>
  </r>
  <r>
    <x v="300"/>
    <n v="2680"/>
    <x v="169"/>
    <n v="17745"/>
    <n v="43508"/>
    <d v="2011-12-30T00:00:00"/>
    <s v="Government/Professional Associations/Academic Institution"/>
    <s v="United States"/>
    <x v="0"/>
    <n v="11"/>
  </r>
  <r>
    <x v="301"/>
    <n v="1545"/>
    <x v="126"/>
    <n v="15464"/>
    <n v="38674"/>
    <d v="2025-04-30T00:00:00"/>
    <s v="Supplier/Vendor"/>
    <s v="United States"/>
    <x v="0"/>
    <n v="4"/>
  </r>
  <r>
    <x v="302"/>
    <n v="1545"/>
    <x v="170"/>
    <n v="15193"/>
    <n v="37734"/>
    <d v="2012-06-26T00:00:00"/>
    <s v="Supplier/Vendor"/>
    <s v="United States"/>
    <x v="0"/>
    <n v="4"/>
  </r>
  <r>
    <x v="303"/>
    <n v="775"/>
    <x v="144"/>
    <n v="15722"/>
    <n v="39251"/>
    <d v="2018-08-16T00:00:00"/>
    <s v=""/>
    <s v="United States"/>
    <x v="2"/>
    <n v="5"/>
  </r>
  <r>
    <x v="304"/>
    <n v="38100"/>
    <x v="88"/>
    <n v="16008"/>
    <n v="39716"/>
    <d v="2004-01-26T00:00:00"/>
    <s v="Pharmaceutical"/>
    <s v="United States"/>
    <x v="3"/>
    <n v="6"/>
  </r>
  <r>
    <x v="305"/>
    <n v="5460"/>
    <x v="171"/>
    <n v="16060"/>
    <n v="39800"/>
    <d v="2007-07-23T00:00:00"/>
    <s v="Government/Professional Associations/Academic Institution"/>
    <s v="Japan"/>
    <x v="0"/>
    <n v="6"/>
  </r>
  <r>
    <x v="306"/>
    <n v="38100"/>
    <x v="79"/>
    <n v="15838"/>
    <n v="39415"/>
    <d v="2003-02-24T00:00:00"/>
    <s v="Supplier/Vendor"/>
    <s v="United States"/>
    <x v="3"/>
    <n v="6"/>
  </r>
  <r>
    <x v="307"/>
    <n v="38100"/>
    <x v="172"/>
    <n v="17668"/>
    <n v="43431"/>
    <d v="2015-07-14T00:00:00"/>
    <s v="Supplier/Vendor"/>
    <s v="Canada"/>
    <x v="3"/>
    <n v="11"/>
  </r>
  <r>
    <x v="308"/>
    <n v="775"/>
    <x v="11"/>
    <n v="16809"/>
    <n v="42188"/>
    <d v="2025-08-21T00:00:00"/>
    <s v=""/>
    <s v="United States"/>
    <x v="2"/>
    <n v="8"/>
  </r>
  <r>
    <x v="309"/>
    <n v="23375"/>
    <x v="8"/>
    <n v="14807"/>
    <n v="36714"/>
    <d v="2011-06-24T00:00:00"/>
    <s v="Supplier/Vendor"/>
    <s v="United States"/>
    <x v="0"/>
    <n v="3"/>
  </r>
  <r>
    <x v="310"/>
    <n v="1545"/>
    <x v="52"/>
    <n v="13773"/>
    <n v="35131"/>
    <d v="2010-02-16T00:00:00"/>
    <s v="Consultant"/>
    <s v="United States"/>
    <x v="0"/>
    <n v="1"/>
  </r>
  <r>
    <x v="311"/>
    <n v="1545"/>
    <x v="78"/>
    <n v="17820"/>
    <n v="43585"/>
    <d v="2010-11-16T00:00:00"/>
    <s v="Supplier/Vendor"/>
    <s v="United States"/>
    <x v="0"/>
    <n v="11"/>
  </r>
  <r>
    <x v="312"/>
    <n v="2990"/>
    <x v="135"/>
    <n v="13924"/>
    <n v="35305"/>
    <d v="2025-01-07T00:00:00"/>
    <s v="Supplier/Vendor"/>
    <s v="United States"/>
    <x v="1"/>
    <n v="1"/>
  </r>
  <r>
    <x v="313"/>
    <n v="30290"/>
    <x v="173"/>
    <n v="14118"/>
    <n v="35580"/>
    <d v="1996-01-19T00:00:00"/>
    <s v="Provider"/>
    <s v="United States"/>
    <x v="3"/>
    <n v="1"/>
  </r>
  <r>
    <x v="313"/>
    <n v="30290"/>
    <x v="20"/>
    <n v="17649"/>
    <n v="43410"/>
    <d v="1996-01-19T00:00:00"/>
    <s v="Provider"/>
    <s v="United States"/>
    <x v="3"/>
    <n v="11"/>
  </r>
  <r>
    <x v="314"/>
    <n v="1905"/>
    <x v="174"/>
    <n v="17474"/>
    <n v="43209"/>
    <d v="2011-01-12T00:00:00"/>
    <s v="Government/Professional Associations/Academic Institution"/>
    <s v="United States"/>
    <x v="1"/>
    <n v="10"/>
  </r>
  <r>
    <x v="315"/>
    <n v="775"/>
    <x v="0"/>
    <n v="16246"/>
    <n v="40109"/>
    <d v="2007-04-12T00:00:00"/>
    <s v=""/>
    <s v="United States"/>
    <x v="2"/>
    <n v="7"/>
  </r>
  <r>
    <x v="316"/>
    <n v="775"/>
    <x v="66"/>
    <n v="15891"/>
    <n v="39517"/>
    <d v="2022-08-26T00:00:00"/>
    <s v=""/>
    <s v=""/>
    <x v="2"/>
    <n v="6"/>
  </r>
  <r>
    <x v="317"/>
    <n v="2680"/>
    <x v="29"/>
    <n v="16793"/>
    <n v="42136"/>
    <d v="2007-07-30T00:00:00"/>
    <s v="Provider"/>
    <s v="United States"/>
    <x v="0"/>
    <n v="8"/>
  </r>
  <r>
    <x v="318"/>
    <n v="21630"/>
    <x v="128"/>
    <n v="14694"/>
    <n v="36517"/>
    <d v="2015-10-27T00:00:00"/>
    <s v="Supplier/Vendor"/>
    <s v="United States"/>
    <x v="3"/>
    <n v="3"/>
  </r>
  <r>
    <x v="319"/>
    <n v="1650"/>
    <x v="175"/>
    <n v="17795"/>
    <n v="43559"/>
    <d v="2018-12-31T00:00:00"/>
    <s v="Provider"/>
    <s v="United States"/>
    <x v="0"/>
    <n v="11"/>
  </r>
  <r>
    <x v="320"/>
    <n v="100"/>
    <x v="97"/>
    <n v="14885"/>
    <n v="36841"/>
    <d v="2023-04-10T00:00:00"/>
    <s v=""/>
    <s v=""/>
    <x v="4"/>
    <n v="3"/>
  </r>
  <r>
    <x v="321"/>
    <n v="2370"/>
    <x v="176"/>
    <n v="14701"/>
    <n v="36524"/>
    <d v="2005-12-22T00:00:00"/>
    <s v="Supplier/Vendor"/>
    <s v="United States"/>
    <x v="0"/>
    <n v="3"/>
  </r>
  <r>
    <x v="322"/>
    <n v="2160"/>
    <x v="177"/>
    <n v="15478"/>
    <n v="38710"/>
    <d v="1998-08-25T00:00:00"/>
    <s v="Provider"/>
    <s v="United States"/>
    <x v="1"/>
    <n v="5"/>
  </r>
  <r>
    <x v="323"/>
    <n v="1545"/>
    <x v="178"/>
    <n v="14670"/>
    <n v="36450"/>
    <d v="2019-10-07T00:00:00"/>
    <s v="Supplier/Vendor"/>
    <s v="United States"/>
    <x v="0"/>
    <n v="3"/>
  </r>
  <r>
    <x v="324"/>
    <n v="2160"/>
    <x v="19"/>
    <n v="15011"/>
    <n v="37072"/>
    <d v="2024-04-06T00:00:00"/>
    <s v="Provider"/>
    <s v="United States"/>
    <x v="1"/>
    <n v="3"/>
  </r>
  <r>
    <x v="325"/>
    <n v="1545"/>
    <x v="179"/>
    <n v="16339"/>
    <n v="40319"/>
    <d v="2023-08-30T00:00:00"/>
    <s v="Supplier/Vendor"/>
    <s v="United States"/>
    <x v="0"/>
    <n v="7"/>
  </r>
  <r>
    <x v="326"/>
    <n v="16175"/>
    <x v="112"/>
    <n v="15149"/>
    <n v="37585"/>
    <d v="1998-03-27T00:00:00"/>
    <s v="Supplier/Vendor"/>
    <s v="United States"/>
    <x v="0"/>
    <n v="4"/>
  </r>
  <r>
    <x v="327"/>
    <n v="775"/>
    <x v="12"/>
    <n v="17412"/>
    <n v="43147"/>
    <d v="2025-10-01T00:00:00"/>
    <s v=""/>
    <s v="United States"/>
    <x v="2"/>
    <n v="10"/>
  </r>
  <r>
    <x v="328"/>
    <n v="775"/>
    <x v="7"/>
    <n v="17252"/>
    <n v="42974"/>
    <d v="2022-09-20T00:00:00"/>
    <s v=""/>
    <s v="United States"/>
    <x v="2"/>
    <n v="9"/>
  </r>
  <r>
    <x v="329"/>
    <n v="23375"/>
    <x v="135"/>
    <n v="14004"/>
    <n v="35416"/>
    <d v="2013-01-28T00:00:00"/>
    <s v="Supplier/Vendor"/>
    <s v="Switzerland"/>
    <x v="0"/>
    <n v="1"/>
  </r>
  <r>
    <x v="330"/>
    <n v="1545"/>
    <x v="180"/>
    <n v="17693"/>
    <n v="43454"/>
    <d v="2004-11-30T00:00:00"/>
    <s v="Supplier/Vendor"/>
    <s v="United States"/>
    <x v="0"/>
    <n v="11"/>
  </r>
  <r>
    <x v="331"/>
    <n v="775"/>
    <x v="88"/>
    <n v="15994"/>
    <n v="39699"/>
    <d v="2025-06-25T00:00:00"/>
    <s v=""/>
    <s v="United States"/>
    <x v="2"/>
    <n v="6"/>
  </r>
  <r>
    <x v="332"/>
    <n v="775"/>
    <x v="181"/>
    <n v="17307"/>
    <n v="43033"/>
    <d v="2021-10-21T00:00:00"/>
    <s v=""/>
    <s v=""/>
    <x v="2"/>
    <n v="9"/>
  </r>
  <r>
    <x v="333"/>
    <n v="775"/>
    <x v="3"/>
    <n v="15062"/>
    <n v="37185"/>
    <d v="2022-08-24T00:00:00"/>
    <s v=""/>
    <s v=""/>
    <x v="2"/>
    <n v="4"/>
  </r>
  <r>
    <x v="334"/>
    <n v="1545"/>
    <x v="81"/>
    <n v="14144"/>
    <n v="35616"/>
    <d v="2013-02-12T00:00:00"/>
    <s v="Government/Professional Associations/Academic Institution"/>
    <s v="United States"/>
    <x v="0"/>
    <n v="1"/>
  </r>
  <r>
    <x v="335"/>
    <n v="1905"/>
    <x v="182"/>
    <n v="15800"/>
    <n v="39370"/>
    <d v="2018-06-06T00:00:00"/>
    <s v="Government/Professional Associations/Academic Institution"/>
    <s v="United States"/>
    <x v="1"/>
    <n v="6"/>
  </r>
  <r>
    <x v="336"/>
    <n v="2370"/>
    <x v="33"/>
    <n v="14860"/>
    <n v="36779"/>
    <d v="2023-08-12T00:00:00"/>
    <s v="Supplier/Vendor"/>
    <s v="United States"/>
    <x v="0"/>
    <n v="3"/>
  </r>
  <r>
    <x v="337"/>
    <n v="1545"/>
    <x v="91"/>
    <n v="14312"/>
    <n v="35848"/>
    <d v="2024-02-14T00:00:00"/>
    <s v="Supplier/Vendor"/>
    <s v="Canada"/>
    <x v="0"/>
    <n v="1"/>
  </r>
  <r>
    <x v="338"/>
    <n v="775"/>
    <x v="44"/>
    <n v="14220"/>
    <n v="35730"/>
    <d v="2025-01-24T00:00:00"/>
    <s v=""/>
    <s v=""/>
    <x v="2"/>
    <n v="1"/>
  </r>
  <r>
    <x v="339"/>
    <n v="1905"/>
    <x v="32"/>
    <n v="17154"/>
    <n v="42830"/>
    <d v="2018-09-26T00:00:00"/>
    <s v="Consultant"/>
    <s v="United States"/>
    <x v="1"/>
    <n v="9"/>
  </r>
  <r>
    <x v="340"/>
    <n v="775"/>
    <x v="183"/>
    <n v="16731"/>
    <n v="41992"/>
    <d v="2024-08-19T00:00:00"/>
    <s v=""/>
    <s v="United States"/>
    <x v="2"/>
    <n v="8"/>
  </r>
  <r>
    <x v="341"/>
    <n v="2370"/>
    <x v="136"/>
    <n v="16434"/>
    <n v="40553"/>
    <d v="2024-07-24T00:00:00"/>
    <s v="Supplier/Vendor"/>
    <s v="United States"/>
    <x v="0"/>
    <n v="7"/>
  </r>
  <r>
    <x v="342"/>
    <n v="9685"/>
    <x v="184"/>
    <n v="15708"/>
    <n v="39237"/>
    <d v="2023-04-03T00:00:00"/>
    <s v="Supplier/Vendor"/>
    <s v="United States"/>
    <x v="0"/>
    <n v="5"/>
  </r>
  <r>
    <x v="343"/>
    <n v="775"/>
    <x v="176"/>
    <n v="14708"/>
    <n v="36531"/>
    <d v="2024-03-08T00:00:00"/>
    <s v=""/>
    <s v="United States"/>
    <x v="2"/>
    <n v="3"/>
  </r>
  <r>
    <x v="344"/>
    <n v="2990"/>
    <x v="50"/>
    <n v="17520"/>
    <n v="43257"/>
    <d v="2023-01-31T00:00:00"/>
    <s v="Supplier/Vendor"/>
    <s v="United States"/>
    <x v="1"/>
    <n v="10"/>
  </r>
  <r>
    <x v="345"/>
    <n v="2370"/>
    <x v="34"/>
    <n v="15364"/>
    <n v="38405"/>
    <d v="2022-04-26T00:00:00"/>
    <s v="Supplier/Vendor"/>
    <s v="United States"/>
    <x v="0"/>
    <n v="4"/>
  </r>
  <r>
    <x v="346"/>
    <n v="38100"/>
    <x v="174"/>
    <n v="17472"/>
    <n v="43207"/>
    <d v="2025-10-09T00:00:00"/>
    <s v="Supplier/Vendor"/>
    <s v="United States"/>
    <x v="3"/>
    <n v="10"/>
  </r>
  <r>
    <x v="347"/>
    <n v="775"/>
    <x v="185"/>
    <n v="17120"/>
    <n v="42770"/>
    <d v="2025-09-08T00:00:00"/>
    <s v=""/>
    <s v="United States"/>
    <x v="2"/>
    <n v="9"/>
  </r>
  <r>
    <x v="348"/>
    <n v="775"/>
    <x v="186"/>
    <n v="17652"/>
    <n v="43413"/>
    <d v="2025-11-04T00:00:00"/>
    <s v=""/>
    <s v="United States"/>
    <x v="2"/>
    <n v="11"/>
  </r>
  <r>
    <x v="349"/>
    <n v="14420"/>
    <x v="118"/>
    <n v="15652"/>
    <n v="39172"/>
    <d v="2001-10-10T00:00:00"/>
    <s v="Provider"/>
    <s v="United States"/>
    <x v="0"/>
    <n v="5"/>
  </r>
  <r>
    <x v="350"/>
    <n v="1650"/>
    <x v="56"/>
    <n v="16184"/>
    <n v="39955"/>
    <d v="2021-08-05T00:00:00"/>
    <s v="Provider"/>
    <s v="United States"/>
    <x v="0"/>
    <n v="7"/>
  </r>
  <r>
    <x v="351"/>
    <n v="1545"/>
    <x v="187"/>
    <n v="14823"/>
    <n v="36736"/>
    <d v="2021-12-08T00:00:00"/>
    <s v="Supplier/Vendor"/>
    <s v="United States"/>
    <x v="0"/>
    <n v="3"/>
  </r>
  <r>
    <x v="352"/>
    <n v="775"/>
    <x v="188"/>
    <n v="16265"/>
    <n v="40149"/>
    <d v="2025-07-14T00:00:00"/>
    <s v=""/>
    <s v=""/>
    <x v="2"/>
    <n v="7"/>
  </r>
  <r>
    <x v="353"/>
    <n v="775"/>
    <x v="106"/>
    <n v="14958"/>
    <n v="36949"/>
    <d v="2024-05-14T00:00:00"/>
    <s v=""/>
    <s v=""/>
    <x v="2"/>
    <n v="3"/>
  </r>
  <r>
    <x v="354"/>
    <n v="1545"/>
    <x v="161"/>
    <n v="15635"/>
    <n v="39152"/>
    <d v="2025-05-14T00:00:00"/>
    <s v="Consultant"/>
    <s v="United States"/>
    <x v="0"/>
    <n v="5"/>
  </r>
  <r>
    <x v="355"/>
    <n v="23375"/>
    <x v="104"/>
    <n v="14909"/>
    <n v="36880"/>
    <d v="2002-12-12T00:00:00"/>
    <s v="Supplier/Vendor"/>
    <s v="United States"/>
    <x v="0"/>
    <n v="3"/>
  </r>
  <r>
    <x v="356"/>
    <n v="775"/>
    <x v="173"/>
    <n v="14109"/>
    <n v="35562"/>
    <d v="2022-11-05T00:00:00"/>
    <s v=""/>
    <s v="United States"/>
    <x v="2"/>
    <n v="1"/>
  </r>
  <r>
    <x v="356"/>
    <n v="775"/>
    <x v="20"/>
    <n v="17640"/>
    <n v="43401"/>
    <d v="2022-11-05T00:00:00"/>
    <s v=""/>
    <s v="United States"/>
    <x v="2"/>
    <n v="11"/>
  </r>
  <r>
    <x v="357"/>
    <n v="1545"/>
    <x v="189"/>
    <n v="17505"/>
    <n v="43241"/>
    <d v="2009-11-11T00:00:00"/>
    <s v="Government/Professional Associations/Academic Institution"/>
    <s v="Ireland"/>
    <x v="0"/>
    <n v="10"/>
  </r>
  <r>
    <x v="358"/>
    <n v="18950"/>
    <x v="43"/>
    <n v="14140"/>
    <n v="35607"/>
    <d v="2005-12-12T00:00:00"/>
    <s v="Consultant"/>
    <s v="United States"/>
    <x v="0"/>
    <n v="1"/>
  </r>
  <r>
    <x v="359"/>
    <n v="2680"/>
    <x v="43"/>
    <n v="14123"/>
    <n v="35590"/>
    <d v="2001-04-04T00:00:00"/>
    <s v="Government/Professional Associations/Academic Institution"/>
    <s v="United States"/>
    <x v="0"/>
    <n v="1"/>
  </r>
  <r>
    <x v="360"/>
    <n v="1545"/>
    <x v="183"/>
    <n v="16720"/>
    <n v="41970"/>
    <d v="2024-07-28T00:00:00"/>
    <s v="Consultant"/>
    <s v=""/>
    <x v="0"/>
    <n v="8"/>
  </r>
  <r>
    <x v="361"/>
    <n v="1545"/>
    <x v="190"/>
    <n v="14170"/>
    <n v="35654"/>
    <d v="2025-01-22T00:00:00"/>
    <s v="Supplier/Vendor"/>
    <s v="United States"/>
    <x v="0"/>
    <n v="1"/>
  </r>
  <r>
    <x v="362"/>
    <n v="2680"/>
    <x v="187"/>
    <n v="14811"/>
    <n v="36724"/>
    <d v="2009-12-15T00:00:00"/>
    <s v="Government/Professional Associations/Academic Institution"/>
    <s v="United States"/>
    <x v="0"/>
    <n v="3"/>
  </r>
  <r>
    <x v="363"/>
    <n v="9685"/>
    <x v="15"/>
    <n v="15105"/>
    <n v="37339"/>
    <d v="2007-08-07T00:00:00"/>
    <s v="Supplier/Vendor"/>
    <s v="United States"/>
    <x v="0"/>
    <n v="4"/>
  </r>
  <r>
    <x v="364"/>
    <n v="1545"/>
    <x v="191"/>
    <n v="17580"/>
    <n v="43322"/>
    <d v="2010-10-20T00:00:00"/>
    <s v="Government/Professional Associations/Academic Institution"/>
    <s v="United States"/>
    <x v="0"/>
    <n v="10"/>
  </r>
  <r>
    <x v="365"/>
    <n v="2370"/>
    <x v="44"/>
    <n v="14214"/>
    <n v="35724"/>
    <d v="2010-06-16T00:00:00"/>
    <s v="Consultant"/>
    <s v="United States"/>
    <x v="0"/>
    <n v="1"/>
  </r>
  <r>
    <x v="366"/>
    <n v="1905"/>
    <x v="64"/>
    <n v="16284"/>
    <n v="40198"/>
    <d v="2015-06-17T00:00:00"/>
    <s v="Government/Professional Associations/Academic Institution"/>
    <s v="United States"/>
    <x v="1"/>
    <n v="7"/>
  </r>
  <r>
    <x v="367"/>
    <n v="12050"/>
    <x v="103"/>
    <n v="15180"/>
    <n v="37708"/>
    <d v="2009-11-17T00:00:00"/>
    <s v="Supplier/Vendor"/>
    <s v="United States"/>
    <x v="1"/>
    <n v="4"/>
  </r>
  <r>
    <x v="368"/>
    <n v="1545"/>
    <x v="40"/>
    <n v="17532"/>
    <n v="43269"/>
    <d v="2024-12-16T00:00:00"/>
    <s v="Supplier/Vendor"/>
    <s v="Canada"/>
    <x v="0"/>
    <n v="10"/>
  </r>
  <r>
    <x v="369"/>
    <n v="775"/>
    <x v="169"/>
    <n v="17749"/>
    <n v="43512"/>
    <d v="2025-11-18T00:00:00"/>
    <s v=""/>
    <s v="United States"/>
    <x v="2"/>
    <n v="11"/>
  </r>
  <r>
    <x v="370"/>
    <n v="2370"/>
    <x v="192"/>
    <n v="17328"/>
    <n v="43054"/>
    <d v="2023-10-17T00:00:00"/>
    <s v="Supplier/Vendor"/>
    <s v="Canada"/>
    <x v="0"/>
    <n v="9"/>
  </r>
  <r>
    <x v="370"/>
    <n v="620"/>
    <x v="82"/>
    <n v="17427"/>
    <n v="43162"/>
    <d v="2023-10-17T00:00:00"/>
    <s v="Supplier/Vendor"/>
    <s v="Canada"/>
    <x v="1"/>
    <n v="10"/>
  </r>
  <r>
    <x v="370"/>
    <n v="2370"/>
    <x v="82"/>
    <n v="17424"/>
    <n v="43159"/>
    <d v="2023-10-17T00:00:00"/>
    <s v="Supplier/Vendor"/>
    <s v="Canada"/>
    <x v="0"/>
    <n v="10"/>
  </r>
  <r>
    <x v="371"/>
    <n v="36050"/>
    <x v="45"/>
    <n v="15959"/>
    <n v="39634"/>
    <d v="1996-07-03T00:00:00"/>
    <s v="Government/Professional Associations/Academic Institution"/>
    <s v="United States"/>
    <x v="3"/>
    <n v="6"/>
  </r>
  <r>
    <x v="372"/>
    <n v="1905"/>
    <x v="193"/>
    <n v="16014"/>
    <n v="39725"/>
    <d v="2013-05-21T00:00:00"/>
    <s v="Government/Professional Associations/Academic Institution"/>
    <s v="United States"/>
    <x v="1"/>
    <n v="6"/>
  </r>
  <r>
    <x v="373"/>
    <n v="2680"/>
    <x v="12"/>
    <n v="17405"/>
    <n v="43140"/>
    <d v="1992-12-20T00:00:00"/>
    <s v="Provider"/>
    <s v="United States"/>
    <x v="0"/>
    <n v="10"/>
  </r>
  <r>
    <x v="374"/>
    <n v="1905"/>
    <x v="110"/>
    <n v="15749"/>
    <n v="39289"/>
    <d v="2011-03-28T00:00:00"/>
    <s v="Government/Professional Associations/Academic Institution"/>
    <s v="United States"/>
    <x v="1"/>
    <n v="5"/>
  </r>
  <r>
    <x v="375"/>
    <n v="1905"/>
    <x v="194"/>
    <n v="14697"/>
    <n v="36520"/>
    <d v="2022-06-06T00:00:00"/>
    <s v="Government/Professional Associations/Academic Institution"/>
    <s v="United States"/>
    <x v="1"/>
    <n v="3"/>
  </r>
  <r>
    <x v="376"/>
    <n v="775"/>
    <x v="106"/>
    <n v="14953"/>
    <n v="36944"/>
    <d v="2022-01-16T00:00:00"/>
    <s v=""/>
    <s v="United States"/>
    <x v="2"/>
    <n v="3"/>
  </r>
  <r>
    <x v="377"/>
    <n v="1905"/>
    <x v="80"/>
    <n v="17027"/>
    <n v="43328"/>
    <d v="1998-05-14T00:00:00"/>
    <s v="Government/Professional Associations/Academic Institution"/>
    <s v="United States"/>
    <x v="1"/>
    <n v="9"/>
  </r>
  <r>
    <x v="378"/>
    <n v="1905"/>
    <x v="76"/>
    <n v="17451"/>
    <n v="43186"/>
    <d v="2015-11-30T00:00:00"/>
    <s v="Government/Professional Associations/Academic Institution"/>
    <s v="United States"/>
    <x v="1"/>
    <n v="10"/>
  </r>
  <r>
    <x v="379"/>
    <n v="1905"/>
    <x v="195"/>
    <n v="13747"/>
    <n v="35098"/>
    <d v="2020-09-21T00:00:00"/>
    <s v="Government/Professional Associations/Academic Institution"/>
    <s v="United States"/>
    <x v="1"/>
    <n v="1"/>
  </r>
  <r>
    <x v="380"/>
    <n v="1545"/>
    <x v="78"/>
    <n v="17808"/>
    <n v="43574"/>
    <d v="2011-08-01T00:00:00"/>
    <s v="Government/Professional Associations/Academic Institution"/>
    <s v="United States"/>
    <x v="0"/>
    <n v="11"/>
  </r>
  <r>
    <x v="381"/>
    <n v="775"/>
    <x v="73"/>
    <n v="17847"/>
    <n v="43612"/>
    <d v="2010-01-01T00:00:00"/>
    <s v="Provider"/>
    <s v="United States"/>
    <x v="2"/>
    <n v="11"/>
  </r>
  <r>
    <x v="381"/>
    <n v="775"/>
    <x v="69"/>
    <n v="14471"/>
    <n v="36076"/>
    <d v="2010-01-01T00:00:00"/>
    <s v="Provider"/>
    <s v="United States"/>
    <x v="2"/>
    <n v="2"/>
  </r>
  <r>
    <x v="382"/>
    <n v="1905"/>
    <x v="196"/>
    <n v="15924"/>
    <n v="39561"/>
    <d v="2011-08-12T00:00:00"/>
    <s v="Government/Professional Associations/Academic Institution"/>
    <s v="United States"/>
    <x v="1"/>
    <n v="6"/>
  </r>
  <r>
    <x v="382"/>
    <n v="360"/>
    <x v="197"/>
    <n v="13732"/>
    <n v="35083"/>
    <d v="2011-08-12T00:00:00"/>
    <s v="Government/Professional Associations/Academic Institution"/>
    <s v="United States"/>
    <x v="1"/>
    <n v="1"/>
  </r>
  <r>
    <x v="383"/>
    <n v="1545"/>
    <x v="13"/>
    <n v="16415"/>
    <n v="40518"/>
    <d v="2022-08-23T00:00:00"/>
    <s v="Government/Professional Associations/Academic Institution"/>
    <s v="United States"/>
    <x v="0"/>
    <n v="7"/>
  </r>
  <r>
    <x v="384"/>
    <n v="1650"/>
    <x v="187"/>
    <n v="14812"/>
    <n v="36725"/>
    <d v="2002-04-05T00:00:00"/>
    <s v="Provider"/>
    <s v="United States"/>
    <x v="0"/>
    <n v="3"/>
  </r>
  <r>
    <x v="385"/>
    <n v="7210"/>
    <x v="126"/>
    <n v="15474"/>
    <n v="38700"/>
    <d v="2006-05-30T00:00:00"/>
    <s v="Provider"/>
    <s v="United States"/>
    <x v="0"/>
    <n v="4"/>
  </r>
  <r>
    <x v="386"/>
    <n v="1905"/>
    <x v="92"/>
    <n v="16466"/>
    <n v="40644"/>
    <d v="2020-08-06T00:00:00"/>
    <s v="Consultant"/>
    <s v="Spain"/>
    <x v="1"/>
    <n v="8"/>
  </r>
  <r>
    <x v="387"/>
    <n v="23375"/>
    <x v="26"/>
    <n v="17470"/>
    <n v="43205"/>
    <d v="2013-03-18T00:00:00"/>
    <s v="Supplier/Vendor"/>
    <s v="United States"/>
    <x v="0"/>
    <n v="10"/>
  </r>
  <r>
    <x v="388"/>
    <n v="1545"/>
    <x v="33"/>
    <n v="14830"/>
    <n v="36743"/>
    <d v="2025-03-18T00:00:00"/>
    <s v="Supplier/Vendor"/>
    <s v="United States"/>
    <x v="0"/>
    <n v="3"/>
  </r>
  <r>
    <x v="389"/>
    <n v="38100"/>
    <x v="198"/>
    <n v="15688"/>
    <n v="39217"/>
    <d v="2010-04-14T00:00:00"/>
    <s v="Supplier/Vendor"/>
    <s v="United States"/>
    <x v="3"/>
    <n v="5"/>
  </r>
  <r>
    <x v="390"/>
    <n v="23375"/>
    <x v="199"/>
    <n v="15170"/>
    <n v="37672"/>
    <d v="2025-04-08T00:00:00"/>
    <s v="Supplier/Vendor"/>
    <s v="United States"/>
    <x v="0"/>
    <n v="4"/>
  </r>
  <r>
    <x v="391"/>
    <n v="2370"/>
    <x v="200"/>
    <n v="15503"/>
    <n v="38817"/>
    <d v="2024-04-10T00:00:00"/>
    <s v="Consultant"/>
    <s v="United States"/>
    <x v="0"/>
    <n v="5"/>
  </r>
  <r>
    <x v="392"/>
    <n v="1545"/>
    <x v="201"/>
    <n v="17678"/>
    <n v="43441"/>
    <d v="2013-11-12T00:00:00"/>
    <s v="Consultant"/>
    <s v="United States"/>
    <x v="0"/>
    <n v="11"/>
  </r>
  <r>
    <x v="393"/>
    <n v="775"/>
    <x v="184"/>
    <n v="15705"/>
    <n v="39234"/>
    <d v="2025-05-21T00:00:00"/>
    <s v=""/>
    <s v="United States"/>
    <x v="2"/>
    <n v="5"/>
  </r>
  <r>
    <x v="394"/>
    <n v="23375"/>
    <x v="100"/>
    <n v="15692"/>
    <n v="39221"/>
    <d v="2023-02-15T00:00:00"/>
    <s v="Supplier/Vendor"/>
    <s v="United States"/>
    <x v="0"/>
    <n v="5"/>
  </r>
  <r>
    <x v="395"/>
    <n v="2680"/>
    <x v="120"/>
    <n v="15604"/>
    <n v="39096"/>
    <d v="2017-03-10T00:00:00"/>
    <s v="Government/Professional Associations/Academic Institution"/>
    <s v="United States"/>
    <x v="0"/>
    <n v="5"/>
  </r>
  <r>
    <x v="396"/>
    <n v="1545"/>
    <x v="202"/>
    <n v="14419"/>
    <n v="36006"/>
    <d v="2011-03-28T00:00:00"/>
    <s v="Government/Professional Associations/Academic Institution"/>
    <s v="United States"/>
    <x v="0"/>
    <n v="2"/>
  </r>
  <r>
    <x v="397"/>
    <n v="5770"/>
    <x v="14"/>
    <n v="15239"/>
    <n v="37885"/>
    <d v="2003-01-09T00:00:00"/>
    <s v="Payer"/>
    <s v="United States"/>
    <x v="0"/>
    <n v="4"/>
  </r>
  <r>
    <x v="398"/>
    <n v="1905"/>
    <x v="178"/>
    <n v="14673"/>
    <n v="36453"/>
    <d v="2021-03-25T00:00:00"/>
    <s v="Supplier/Vendor"/>
    <s v="United States"/>
    <x v="1"/>
    <n v="3"/>
  </r>
  <r>
    <x v="399"/>
    <n v="3400"/>
    <x v="92"/>
    <n v="16474"/>
    <n v="40664"/>
    <d v="2002-03-12T00:00:00"/>
    <s v="Government/Professional Associations/Academic Institution"/>
    <s v="United States"/>
    <x v="1"/>
    <n v="8"/>
  </r>
  <r>
    <x v="400"/>
    <n v="1545"/>
    <x v="115"/>
    <n v="15075"/>
    <n v="37243"/>
    <d v="2013-04-25T00:00:00"/>
    <s v="Consultant"/>
    <s v="United States"/>
    <x v="0"/>
    <n v="4"/>
  </r>
  <r>
    <x v="401"/>
    <n v="1545"/>
    <x v="201"/>
    <n v="17677"/>
    <n v="43440"/>
    <d v="2021-11-23T00:00:00"/>
    <s v="Supplier/Vendor"/>
    <s v="United States"/>
    <x v="0"/>
    <n v="11"/>
  </r>
  <r>
    <x v="402"/>
    <n v="1545"/>
    <x v="74"/>
    <n v="14965"/>
    <n v="36975"/>
    <d v="2010-12-10T00:00:00"/>
    <s v="Government/Professional Associations/Academic Institution"/>
    <s v="United States"/>
    <x v="0"/>
    <n v="3"/>
  </r>
  <r>
    <x v="403"/>
    <n v="23375"/>
    <x v="48"/>
    <n v="16399"/>
    <n v="40485"/>
    <d v="2008-05-05T00:00:00"/>
    <s v="Supplier/Vendor"/>
    <s v="United States"/>
    <x v="0"/>
    <n v="7"/>
  </r>
  <r>
    <x v="404"/>
    <n v="1545"/>
    <x v="160"/>
    <n v="16592"/>
    <n v="41360"/>
    <d v="2009-01-10T00:00:00"/>
    <s v="Government/Professional Associations/Academic Institution"/>
    <s v="United States"/>
    <x v="0"/>
    <n v="8"/>
  </r>
  <r>
    <x v="405"/>
    <n v="18950"/>
    <x v="8"/>
    <n v="14790"/>
    <n v="36678"/>
    <d v="1999-07-26T00:00:00"/>
    <s v="Supplier/Vendor"/>
    <s v="United States"/>
    <x v="0"/>
    <n v="3"/>
  </r>
  <r>
    <x v="406"/>
    <n v="1545"/>
    <x v="203"/>
    <n v="17608"/>
    <n v="43354"/>
    <d v="2017-05-12T00:00:00"/>
    <s v="Supplier/Vendor"/>
    <s v="United States"/>
    <x v="0"/>
    <n v="10"/>
  </r>
  <r>
    <x v="407"/>
    <n v="775"/>
    <x v="184"/>
    <n v="15703"/>
    <n v="39232"/>
    <d v="2022-08-26T00:00:00"/>
    <s v=""/>
    <s v="United States"/>
    <x v="2"/>
    <n v="5"/>
  </r>
  <r>
    <x v="408"/>
    <n v="9685"/>
    <x v="187"/>
    <n v="14810"/>
    <n v="36723"/>
    <d v="2018-09-04T00:00:00"/>
    <s v="Supplier/Vendor"/>
    <s v="United States"/>
    <x v="0"/>
    <n v="3"/>
  </r>
  <r>
    <x v="409"/>
    <n v="23375"/>
    <x v="201"/>
    <n v="17681"/>
    <n v="43444"/>
    <d v="2022-02-14T00:00:00"/>
    <s v="Supplier/Vendor"/>
    <s v="United States"/>
    <x v="0"/>
    <n v="11"/>
  </r>
  <r>
    <x v="410"/>
    <n v="1545"/>
    <x v="116"/>
    <n v="14410"/>
    <n v="35988"/>
    <d v="2024-05-03T00:00:00"/>
    <s v="Supplier/Vendor"/>
    <s v="United States"/>
    <x v="0"/>
    <n v="2"/>
  </r>
  <r>
    <x v="411"/>
    <n v="23375"/>
    <x v="113"/>
    <n v="15984"/>
    <n v="39670"/>
    <d v="2013-01-14T00:00:00"/>
    <s v="Supplier/Vendor"/>
    <s v="United States"/>
    <x v="0"/>
    <n v="6"/>
  </r>
  <r>
    <x v="412"/>
    <n v="23375"/>
    <x v="176"/>
    <n v="14709"/>
    <n v="36532"/>
    <d v="2013-03-13T00:00:00"/>
    <s v="Supplier/Vendor"/>
    <s v="United States"/>
    <x v="0"/>
    <n v="3"/>
  </r>
  <r>
    <x v="413"/>
    <n v="1545"/>
    <x v="204"/>
    <n v="15442"/>
    <n v="38611"/>
    <d v="2009-05-28T00:00:00"/>
    <s v="Supplier/Vendor"/>
    <s v="United States"/>
    <x v="0"/>
    <n v="4"/>
  </r>
  <r>
    <x v="414"/>
    <n v="5770"/>
    <x v="114"/>
    <n v="16487"/>
    <n v="40702"/>
    <d v="2025-08-01T00:00:00"/>
    <s v="Supplier/Vendor"/>
    <s v="United States"/>
    <x v="0"/>
    <n v="8"/>
  </r>
  <r>
    <x v="415"/>
    <n v="2990"/>
    <x v="126"/>
    <n v="15475"/>
    <n v="38701"/>
    <d v="2025-04-28T00:00:00"/>
    <s v="Supplier/Vendor"/>
    <s v="United States"/>
    <x v="1"/>
    <n v="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s v="Abigail Watson Household"/>
    <n v="775"/>
    <d v="2025-08-22T00:00:00"/>
    <n v="16865"/>
    <n v="42315"/>
    <d v="2025-08-22T00:00:00"/>
    <s v=""/>
    <s v="United States"/>
    <x v="0"/>
    <x v="0"/>
  </r>
  <r>
    <s v="Adam Culbertson Household"/>
    <n v="775"/>
    <d v="2025-09-17T00:00:00"/>
    <n v="17261"/>
    <n v="42986"/>
    <d v="2025-09-17T00:00:00"/>
    <s v=""/>
    <s v=""/>
    <x v="0"/>
    <x v="1"/>
  </r>
  <r>
    <s v="Alex Dzeda Household"/>
    <n v="775"/>
    <d v="2025-07-08T00:00:00"/>
    <n v="16207"/>
    <n v="40001"/>
    <d v="2025-07-08T00:00:00"/>
    <s v=""/>
    <s v=""/>
    <x v="0"/>
    <x v="2"/>
  </r>
  <r>
    <s v="Anand Raghavan Household"/>
    <n v="775"/>
    <d v="2025-11-03T00:00:00"/>
    <n v="17643"/>
    <n v="43404"/>
    <d v="2024-10-04T00:00:00"/>
    <s v=""/>
    <s v="United States"/>
    <x v="0"/>
    <x v="3"/>
  </r>
  <r>
    <s v="Andrea Fourquet Household"/>
    <n v="775"/>
    <d v="2025-07-28T00:00:00"/>
    <n v="16405"/>
    <n v="40493"/>
    <d v="2022-01-18T00:00:00"/>
    <s v=""/>
    <s v=""/>
    <x v="0"/>
    <x v="2"/>
  </r>
  <r>
    <s v="Andrew Zurn Household"/>
    <n v="775"/>
    <d v="2025-07-16T00:00:00"/>
    <n v="16278"/>
    <n v="40175"/>
    <d v="2024-04-04T00:00:00"/>
    <s v=""/>
    <s v="United States"/>
    <x v="0"/>
    <x v="2"/>
  </r>
  <r>
    <s v="Aneesh Chopra Household"/>
    <n v="775"/>
    <d v="2025-03-29T00:00:00"/>
    <n v="15019"/>
    <n v="37086"/>
    <d v="2023-02-27T00:00:00"/>
    <s v=""/>
    <s v=""/>
    <x v="0"/>
    <x v="4"/>
  </r>
  <r>
    <s v="Anna Taylor Household"/>
    <n v="775"/>
    <d v="2025-08-06T00:00:00"/>
    <n v="16525"/>
    <n v="41013"/>
    <d v="2024-08-27T00:00:00"/>
    <s v=""/>
    <s v="United States"/>
    <x v="0"/>
    <x v="0"/>
  </r>
  <r>
    <s v="Beata Piehl Household"/>
    <n v="775"/>
    <d v="2025-01-27T00:00:00"/>
    <n v="14257"/>
    <n v="35767"/>
    <d v="2024-04-03T00:00:00"/>
    <s v=""/>
    <s v=""/>
    <x v="0"/>
    <x v="5"/>
  </r>
  <r>
    <s v="Bellese Technologies"/>
    <n v="775"/>
    <d v="2025-01-07T00:00:00"/>
    <n v="13806"/>
    <n v="35165"/>
    <d v="2021-08-25T00:00:00"/>
    <s v=""/>
    <s v="United States"/>
    <x v="0"/>
    <x v="5"/>
  </r>
  <r>
    <s v="Bill G Lakenan Household"/>
    <n v="775"/>
    <d v="2025-07-31T00:00:00"/>
    <n v="16459"/>
    <n v="40633"/>
    <d v="2021-08-25T00:00:00"/>
    <s v=""/>
    <s v=""/>
    <x v="0"/>
    <x v="2"/>
  </r>
  <r>
    <s v="Brad Genereaux Household"/>
    <n v="775"/>
    <d v="2025-08-09T00:00:00"/>
    <n v="16563"/>
    <n v="41195"/>
    <d v="2025-08-09T00:00:00"/>
    <s v=""/>
    <s v=""/>
    <x v="0"/>
    <x v="0"/>
  </r>
  <r>
    <s v="Brian Handspicker Household"/>
    <n v="775"/>
    <d v="2025-06-19T00:00:00"/>
    <n v="15952"/>
    <n v="39627"/>
    <d v="2022-06-13T00:00:00"/>
    <s v=""/>
    <s v="United States"/>
    <x v="0"/>
    <x v="6"/>
  </r>
  <r>
    <s v="Brian Pech Household"/>
    <n v="100"/>
    <d v="2025-01-17T00:00:00"/>
    <n v="14126"/>
    <n v="35593"/>
    <d v="2025-01-17T00:00:00"/>
    <s v=""/>
    <s v="United States"/>
    <x v="1"/>
    <x v="5"/>
  </r>
  <r>
    <s v="Catherine Chronaki Household"/>
    <n v="775"/>
    <d v="2025-09-01T00:00:00"/>
    <n v="16990"/>
    <n v="42518"/>
    <d v="2022-09-21T00:00:00"/>
    <s v=""/>
    <s v=""/>
    <x v="0"/>
    <x v="1"/>
  </r>
  <r>
    <s v="Chad Albert Household"/>
    <n v="775"/>
    <d v="2025-08-31T00:00:00"/>
    <n v="16981"/>
    <n v="42502"/>
    <d v="2025-08-31T00:00:00"/>
    <s v=""/>
    <s v="United States"/>
    <x v="0"/>
    <x v="0"/>
  </r>
  <r>
    <s v="Children's Mercy Hospitals and Clinics"/>
    <n v="775"/>
    <d v="2025-06-05T00:00:00"/>
    <n v="15813"/>
    <n v="39387"/>
    <d v="2011-08-31T00:00:00"/>
    <s v="Provider"/>
    <s v="United States"/>
    <x v="0"/>
    <x v="6"/>
  </r>
  <r>
    <s v="Chris Millet Household"/>
    <n v="775"/>
    <d v="2025-08-22T00:00:00"/>
    <n v="16857"/>
    <n v="42301"/>
    <d v="2025-08-22T00:00:00"/>
    <s v=""/>
    <s v=""/>
    <x v="0"/>
    <x v="0"/>
  </r>
  <r>
    <s v="Daniel Allen Household"/>
    <n v="75"/>
    <d v="2025-09-12T00:00:00"/>
    <n v="17201"/>
    <n v="42899"/>
    <d v="2025-09-12T00:00:00"/>
    <s v=""/>
    <s v="United Arab Emirates"/>
    <x v="2"/>
    <x v="1"/>
  </r>
  <r>
    <s v="Daniel Ries Household"/>
    <n v="100"/>
    <d v="2025-02-16T00:00:00"/>
    <n v="14470"/>
    <n v="36075"/>
    <d v="2023-02-02T00:00:00"/>
    <s v=""/>
    <s v="United States"/>
    <x v="1"/>
    <x v="7"/>
  </r>
  <r>
    <s v="Danielle Leighton Household"/>
    <n v="775"/>
    <d v="2025-01-14T00:00:00"/>
    <n v="14048"/>
    <n v="35481"/>
    <d v="2025-01-13T00:00:00"/>
    <s v=""/>
    <s v=""/>
    <x v="0"/>
    <x v="5"/>
  </r>
  <r>
    <s v="Davera Gabriel Household"/>
    <n v="775"/>
    <d v="2025-01-29T00:00:00"/>
    <n v="14285"/>
    <n v="35820"/>
    <d v="2024-02-15T00:00:00"/>
    <s v=""/>
    <s v="Australia"/>
    <x v="0"/>
    <x v="5"/>
  </r>
  <r>
    <s v="David Pyke Household"/>
    <n v="775"/>
    <d v="2025-02-25T00:00:00"/>
    <n v="14577"/>
    <n v="36245"/>
    <d v="2024-08-14T00:00:00"/>
    <s v=""/>
    <s v=""/>
    <x v="0"/>
    <x v="7"/>
  </r>
  <r>
    <s v="Deloitte Consulting LLP"/>
    <n v="775"/>
    <d v="2025-03-26T00:00:00"/>
    <n v="14963"/>
    <n v="36964"/>
    <d v="2023-02-23T00:00:00"/>
    <s v="Consultant"/>
    <s v="United States"/>
    <x v="0"/>
    <x v="4"/>
  </r>
  <r>
    <s v="Dmitry Maslennikov Household"/>
    <n v="775"/>
    <d v="2025-01-31T00:00:00"/>
    <n v="14307"/>
    <n v="35843"/>
    <d v="2025-01-31T00:00:00"/>
    <s v=""/>
    <s v="Montenegro"/>
    <x v="0"/>
    <x v="5"/>
  </r>
  <r>
    <s v="Doug DeShazo Household"/>
    <n v="775"/>
    <d v="2025-06-08T00:00:00"/>
    <n v="15835"/>
    <n v="39412"/>
    <d v="2023-06-15T00:00:00"/>
    <s v=""/>
    <s v=""/>
    <x v="0"/>
    <x v="6"/>
  </r>
  <r>
    <s v="Ed Donaldson Household"/>
    <n v="775"/>
    <d v="2025-09-03T00:00:00"/>
    <n v="17023"/>
    <n v="42566"/>
    <d v="2020-09-04T00:00:00"/>
    <s v=""/>
    <s v=""/>
    <x v="0"/>
    <x v="1"/>
  </r>
  <r>
    <s v="Eden Muinamo Household"/>
    <n v="775"/>
    <d v="2025-01-20T00:00:00"/>
    <n v="14135"/>
    <n v="35601"/>
    <d v="2025-01-19T00:00:00"/>
    <s v=""/>
    <s v="United States"/>
    <x v="0"/>
    <x v="5"/>
  </r>
  <r>
    <s v="Elba Peralta-Cole Household"/>
    <n v="775"/>
    <d v="2025-10-03T00:00:00"/>
    <n v="17421"/>
    <n v="43156"/>
    <d v="2025-10-03T00:00:00"/>
    <s v=""/>
    <s v="United States"/>
    <x v="0"/>
    <x v="8"/>
  </r>
  <r>
    <s v="EnableCare LLC"/>
    <n v="775"/>
    <d v="2025-07-31T00:00:00"/>
    <n v="16458"/>
    <n v="40632"/>
    <d v="2013-06-27T00:00:00"/>
    <s v="Consultant"/>
    <s v="United States"/>
    <x v="0"/>
    <x v="2"/>
  </r>
  <r>
    <s v="Eva Keeling Household"/>
    <n v="775"/>
    <d v="2025-01-12T00:00:00"/>
    <n v="13977"/>
    <n v="35369"/>
    <d v="2025-01-12T00:00:00"/>
    <s v=""/>
    <s v=""/>
    <x v="0"/>
    <x v="5"/>
  </r>
  <r>
    <s v="Fabian Merges Household"/>
    <n v="775"/>
    <d v="2025-04-14T00:00:00"/>
    <n v="15259"/>
    <n v="37948"/>
    <d v="2025-04-14T00:00:00"/>
    <s v=""/>
    <s v="United States"/>
    <x v="0"/>
    <x v="9"/>
  </r>
  <r>
    <s v="Floyd Eisenberg Household"/>
    <n v="775"/>
    <d v="2025-08-01T00:00:00"/>
    <n v="16471"/>
    <n v="40655"/>
    <d v="2019-09-03T00:00:00"/>
    <s v=""/>
    <s v=""/>
    <x v="0"/>
    <x v="0"/>
  </r>
  <r>
    <s v="Frank McKinney Group LLC"/>
    <n v="775"/>
    <d v="2025-10-16T00:00:00"/>
    <n v="17515"/>
    <n v="43252"/>
    <d v="2022-09-12T00:00:00"/>
    <s v=""/>
    <s v=""/>
    <x v="0"/>
    <x v="8"/>
  </r>
  <r>
    <s v="Gail Winters Household"/>
    <n v="775"/>
    <d v="2025-05-26T00:00:00"/>
    <n v="15729"/>
    <n v="39258"/>
    <d v="2025-05-26T00:00:00"/>
    <s v=""/>
    <s v=""/>
    <x v="0"/>
    <x v="10"/>
  </r>
  <r>
    <s v="Gary Blatt Household"/>
    <n v="775"/>
    <d v="2025-03-20T00:00:00"/>
    <n v="14898"/>
    <n v="36861"/>
    <d v="2023-04-19T00:00:00"/>
    <s v=""/>
    <s v=""/>
    <x v="0"/>
    <x v="4"/>
  </r>
  <r>
    <s v="Gary Dickinson Household"/>
    <n v="100"/>
    <d v="2025-11-21T00:00:00"/>
    <n v="17801"/>
    <n v="43565"/>
    <d v="2022-01-21T00:00:00"/>
    <s v=""/>
    <s v="United States"/>
    <x v="1"/>
    <x v="3"/>
  </r>
  <r>
    <s v="Gaurav Pradhan Household"/>
    <n v="775"/>
    <d v="2025-09-03T00:00:00"/>
    <n v="17024"/>
    <n v="42567"/>
    <d v="2024-09-02T00:00:00"/>
    <s v=""/>
    <s v="India"/>
    <x v="0"/>
    <x v="1"/>
  </r>
  <r>
    <s v="Goldbelt"/>
    <n v="775"/>
    <d v="2025-01-08T00:00:00"/>
    <n v="13825"/>
    <n v="35194"/>
    <d v="2025-01-08T00:00:00"/>
    <s v=""/>
    <s v=""/>
    <x v="0"/>
    <x v="5"/>
  </r>
  <r>
    <s v="GoodRx"/>
    <n v="775"/>
    <d v="2025-10-17T00:00:00"/>
    <n v="17541"/>
    <n v="43278"/>
    <d v="2025-01-14T00:00:00"/>
    <s v=""/>
    <s v="United States"/>
    <x v="0"/>
    <x v="8"/>
  </r>
  <r>
    <s v="GoodRx"/>
    <n v="775"/>
    <d v="2025-01-14T00:00:00"/>
    <n v="14069"/>
    <n v="35508"/>
    <d v="2025-01-14T00:00:00"/>
    <s v=""/>
    <s v="United States"/>
    <x v="0"/>
    <x v="5"/>
  </r>
  <r>
    <s v="Gravity Project"/>
    <n v="775"/>
    <d v="2025-09-17T00:00:00"/>
    <n v="17257"/>
    <n v="42981"/>
    <d v="2025-09-17T00:00:00"/>
    <s v=""/>
    <s v="United States"/>
    <x v="0"/>
    <x v="1"/>
  </r>
  <r>
    <s v="Harkarandeep Singh Bhandal Household"/>
    <n v="75"/>
    <d v="2025-03-27T00:00:00"/>
    <n v="14986"/>
    <n v="37036"/>
    <d v="2025-03-26T00:00:00"/>
    <s v=""/>
    <s v="United States"/>
    <x v="2"/>
    <x v="4"/>
  </r>
  <r>
    <s v="Hausam Consulting LLC"/>
    <n v="775"/>
    <d v="2025-06-09T00:00:00"/>
    <n v="15844"/>
    <n v="39429"/>
    <d v="2023-06-10T00:00:00"/>
    <s v=""/>
    <s v="United States"/>
    <x v="0"/>
    <x v="6"/>
  </r>
  <r>
    <s v="Holistic Healthcare Solutions, LLC."/>
    <n v="775"/>
    <d v="2025-02-26T00:00:00"/>
    <n v="14601"/>
    <n v="36283"/>
    <d v="2023-08-18T00:00:00"/>
    <s v=""/>
    <s v="United States"/>
    <x v="0"/>
    <x v="7"/>
  </r>
  <r>
    <s v="Humanized Health Consulting"/>
    <n v="775"/>
    <d v="2025-11-11T00:00:00"/>
    <n v="17698"/>
    <n v="43459"/>
    <d v="2023-10-02T00:00:00"/>
    <s v="Consultant"/>
    <s v="United States"/>
    <x v="0"/>
    <x v="3"/>
  </r>
  <r>
    <s v="INDRANEEL BODDU Household"/>
    <n v="775"/>
    <d v="2025-09-18T00:00:00"/>
    <n v="17274"/>
    <n v="43002"/>
    <d v="2025-09-18T00:00:00"/>
    <s v=""/>
    <s v="United States"/>
    <x v="0"/>
    <x v="1"/>
  </r>
  <r>
    <s v="Irina Angel Household"/>
    <n v="775"/>
    <d v="2025-01-14T00:00:00"/>
    <n v="14050"/>
    <n v="35483"/>
    <d v="2022-06-04T00:00:00"/>
    <s v=""/>
    <s v=""/>
    <x v="0"/>
    <x v="5"/>
  </r>
  <r>
    <s v="Isaac Eigner Household"/>
    <n v="775"/>
    <d v="2025-06-22T00:00:00"/>
    <n v="15962"/>
    <n v="39638"/>
    <d v="2025-06-22T00:00:00"/>
    <s v=""/>
    <s v="United States"/>
    <x v="0"/>
    <x v="6"/>
  </r>
  <r>
    <s v="Ivan Posthumus Household"/>
    <n v="775"/>
    <d v="2025-01-10T00:00:00"/>
    <n v="13943"/>
    <n v="35324"/>
    <d v="2022-01-20T00:00:00"/>
    <s v=""/>
    <s v=""/>
    <x v="0"/>
    <x v="5"/>
  </r>
  <r>
    <s v="J. Marc Overhage Household"/>
    <n v="775"/>
    <d v="2025-07-07T00:00:00"/>
    <n v="16187"/>
    <n v="39964"/>
    <d v="2025-07-07T00:00:00"/>
    <s v=""/>
    <s v=""/>
    <x v="0"/>
    <x v="2"/>
  </r>
  <r>
    <s v="Jalil Akhtar Household"/>
    <n v="775"/>
    <d v="2025-03-28T00:00:00"/>
    <n v="14995"/>
    <n v="37045"/>
    <d v="2025-03-27T00:00:00"/>
    <s v=""/>
    <s v=""/>
    <x v="0"/>
    <x v="4"/>
  </r>
  <r>
    <s v="James Rollins Household"/>
    <n v="775"/>
    <d v="2025-01-08T00:00:00"/>
    <n v="13824"/>
    <n v="35193"/>
    <d v="2025-01-08T00:00:00"/>
    <s v=""/>
    <s v="United States"/>
    <x v="0"/>
    <x v="5"/>
  </r>
  <r>
    <s v="James Rollins Household"/>
    <n v="775"/>
    <d v="2025-02-25T00:00:00"/>
    <n v="14584"/>
    <n v="36252"/>
    <d v="2025-01-08T00:00:00"/>
    <s v=""/>
    <s v="United States"/>
    <x v="0"/>
    <x v="7"/>
  </r>
  <r>
    <s v="Jeff Rochon Household"/>
    <n v="775"/>
    <d v="2025-07-30T00:00:00"/>
    <n v="16442"/>
    <n v="40563"/>
    <d v="2025-07-30T00:00:00"/>
    <s v=""/>
    <s v="United States"/>
    <x v="0"/>
    <x v="2"/>
  </r>
  <r>
    <s v="Jennifer Herrmann Household"/>
    <n v="775"/>
    <d v="2025-05-22T00:00:00"/>
    <n v="15712"/>
    <n v="39241"/>
    <d v="2025-05-22T00:00:00"/>
    <s v=""/>
    <s v="United States"/>
    <x v="0"/>
    <x v="10"/>
  </r>
  <r>
    <s v="Jennifer Marshall Household"/>
    <n v="775"/>
    <d v="2025-01-07T00:00:00"/>
    <n v="13794"/>
    <n v="35152"/>
    <d v="2025-01-07T00:00:00"/>
    <s v=""/>
    <s v="United States"/>
    <x v="0"/>
    <x v="5"/>
  </r>
  <r>
    <s v="Jingyuan Xu Household"/>
    <n v="775"/>
    <d v="2025-08-29T00:00:00"/>
    <n v="16970"/>
    <n v="42487"/>
    <d v="2025-08-29T00:00:00"/>
    <s v=""/>
    <s v="United States"/>
    <x v="0"/>
    <x v="0"/>
  </r>
  <r>
    <s v="Johan Gangsås Hole Household"/>
    <n v="775"/>
    <d v="2025-02-06T00:00:00"/>
    <n v="14393"/>
    <n v="35956"/>
    <d v="2025-02-06T00:00:00"/>
    <s v=""/>
    <s v="United States"/>
    <x v="0"/>
    <x v="7"/>
  </r>
  <r>
    <s v="John DAmore Household"/>
    <n v="775"/>
    <d v="2025-03-12T00:00:00"/>
    <n v="14737"/>
    <n v="36577"/>
    <d v="2021-09-02T00:00:00"/>
    <s v=""/>
    <s v=""/>
    <x v="0"/>
    <x v="4"/>
  </r>
  <r>
    <s v="John Hatem Household"/>
    <n v="775"/>
    <d v="2025-05-05T00:00:00"/>
    <n v="15515"/>
    <n v="38843"/>
    <d v="2016-05-11T00:00:00"/>
    <s v=""/>
    <s v="United States"/>
    <x v="0"/>
    <x v="10"/>
  </r>
  <r>
    <s v="John Hinch Household"/>
    <n v="775"/>
    <d v="2025-04-15T00:00:00"/>
    <n v="15266"/>
    <n v="37972"/>
    <d v="2025-04-15T00:00:00"/>
    <s v=""/>
    <s v="United States"/>
    <x v="0"/>
    <x v="9"/>
  </r>
  <r>
    <s v="John Ritter Household"/>
    <n v="100"/>
    <d v="2025-11-07T00:00:00"/>
    <n v="17680"/>
    <n v="43443"/>
    <d v="2022-01-07T00:00:00"/>
    <s v=""/>
    <s v="United States"/>
    <x v="1"/>
    <x v="3"/>
  </r>
  <r>
    <s v="Jonathan Whitby Household"/>
    <n v="775"/>
    <d v="2025-02-24T00:00:00"/>
    <n v="14556"/>
    <n v="36197"/>
    <d v="2019-02-27T00:00:00"/>
    <s v=""/>
    <s v="United States"/>
    <x v="0"/>
    <x v="7"/>
  </r>
  <r>
    <s v="Jonathan Zimmerling Household"/>
    <n v="775"/>
    <d v="2025-03-21T00:00:00"/>
    <n v="14917"/>
    <n v="36890"/>
    <d v="2023-11-23T00:00:00"/>
    <s v=""/>
    <s v=""/>
    <x v="0"/>
    <x v="4"/>
  </r>
  <r>
    <s v="Karen Ashton Household"/>
    <n v="775"/>
    <d v="2025-08-06T00:00:00"/>
    <n v="16526"/>
    <n v="41014"/>
    <d v="2024-08-23T00:00:00"/>
    <s v=""/>
    <s v=""/>
    <x v="0"/>
    <x v="0"/>
  </r>
  <r>
    <s v="Ken McCaslin Household"/>
    <n v="100"/>
    <d v="2025-03-26T00:00:00"/>
    <n v="14971"/>
    <n v="36986"/>
    <d v="1996-08-15T00:00:00"/>
    <s v=""/>
    <s v="United States"/>
    <x v="1"/>
    <x v="4"/>
  </r>
  <r>
    <s v="Kevin O'Donnell Household"/>
    <n v="775"/>
    <d v="2025-07-17T00:00:00"/>
    <n v="16287"/>
    <n v="40201"/>
    <d v="2024-08-26T00:00:00"/>
    <s v=""/>
    <s v=""/>
    <x v="0"/>
    <x v="2"/>
  </r>
  <r>
    <s v="Laura Ozak Household"/>
    <n v="775"/>
    <d v="2025-01-24T00:00:00"/>
    <n v="14224"/>
    <n v="35734"/>
    <d v="2025-01-24T00:00:00"/>
    <s v=""/>
    <s v="United States"/>
    <x v="0"/>
    <x v="5"/>
  </r>
  <r>
    <s v="Lauren Drobach Household"/>
    <n v="775"/>
    <d v="2025-03-07T00:00:00"/>
    <n v="14688"/>
    <n v="36501"/>
    <d v="2024-04-01T00:00:00"/>
    <s v=""/>
    <s v=""/>
    <x v="0"/>
    <x v="4"/>
  </r>
  <r>
    <s v="Laurie Raske Household"/>
    <n v="775"/>
    <d v="2025-06-03T00:00:00"/>
    <n v="15788"/>
    <n v="39355"/>
    <d v="2024-06-05T00:00:00"/>
    <s v=""/>
    <s v=""/>
    <x v="0"/>
    <x v="6"/>
  </r>
  <r>
    <s v="Lenel James Household"/>
    <n v="100"/>
    <d v="2025-05-22T00:00:00"/>
    <n v="15714"/>
    <n v="39243"/>
    <d v="2025-05-22T00:00:00"/>
    <s v=""/>
    <s v="United States"/>
    <x v="1"/>
    <x v="10"/>
  </r>
  <r>
    <s v="Li Hui-Lee Household"/>
    <n v="775"/>
    <d v="2025-05-24T00:00:00"/>
    <n v="15724"/>
    <n v="39253"/>
    <d v="2020-05-15T00:00:00"/>
    <s v=""/>
    <s v="United States"/>
    <x v="0"/>
    <x v="10"/>
  </r>
  <r>
    <s v="Lindy Buhl Household"/>
    <n v="775"/>
    <d v="2025-06-19T00:00:00"/>
    <n v="15947"/>
    <n v="39621"/>
    <d v="2025-06-19T00:00:00"/>
    <s v=""/>
    <s v="United States"/>
    <x v="0"/>
    <x v="6"/>
  </r>
  <r>
    <s v="Lisa Nelson Household"/>
    <n v="775"/>
    <d v="2025-03-25T00:00:00"/>
    <n v="14948"/>
    <n v="36939"/>
    <d v="2025-03-25T00:00:00"/>
    <s v=""/>
    <s v=""/>
    <x v="0"/>
    <x v="4"/>
  </r>
  <r>
    <s v="Lori Reed-Fourquet Household"/>
    <n v="775"/>
    <d v="2025-09-16T00:00:00"/>
    <n v="17245"/>
    <n v="42964"/>
    <d v="2022-08-27T00:00:00"/>
    <s v=""/>
    <s v=""/>
    <x v="0"/>
    <x v="1"/>
  </r>
  <r>
    <s v="MASAHARU NAKAYAMA Household"/>
    <n v="775"/>
    <d v="2025-04-20T00:00:00"/>
    <n v="15350"/>
    <n v="38390"/>
    <d v="2021-05-11T00:00:00"/>
    <s v=""/>
    <s v=""/>
    <x v="0"/>
    <x v="9"/>
  </r>
  <r>
    <s v="MD Partners, Inc."/>
    <n v="775"/>
    <d v="2025-11-02T00:00:00"/>
    <n v="17635"/>
    <n v="43395"/>
    <d v="2018-12-31T00:00:00"/>
    <s v=""/>
    <s v=""/>
    <x v="0"/>
    <x v="3"/>
  </r>
  <r>
    <s v="Mamata Thakkar Household"/>
    <n v="775"/>
    <d v="2025-05-27T00:00:00"/>
    <n v="15733"/>
    <n v="39262"/>
    <d v="2025-05-27T00:00:00"/>
    <s v=""/>
    <s v="United States"/>
    <x v="0"/>
    <x v="10"/>
  </r>
  <r>
    <s v="Manijeh Berenji Household"/>
    <n v="775"/>
    <d v="2025-03-24T00:00:00"/>
    <n v="14947"/>
    <n v="36938"/>
    <d v="2025-03-24T00:00:00"/>
    <s v=""/>
    <s v=""/>
    <x v="0"/>
    <x v="4"/>
  </r>
  <r>
    <s v="Maria Michaels Household"/>
    <n v="775"/>
    <d v="2025-08-20T00:00:00"/>
    <n v="16770"/>
    <n v="42091"/>
    <d v="2024-08-19T00:00:00"/>
    <s v=""/>
    <s v=""/>
    <x v="0"/>
    <x v="0"/>
  </r>
  <r>
    <s v="Marina Ghisi Household"/>
    <n v="775"/>
    <d v="2025-08-26T00:00:00"/>
    <n v="16929"/>
    <n v="42433"/>
    <d v="2024-10-01T00:00:00"/>
    <s v=""/>
    <s v="Brazil"/>
    <x v="0"/>
    <x v="0"/>
  </r>
  <r>
    <s v="Mark Roberts Household"/>
    <n v="775"/>
    <d v="2025-08-05T00:00:00"/>
    <n v="16513"/>
    <n v="40931"/>
    <d v="2022-08-11T00:00:00"/>
    <s v=""/>
    <s v="United States"/>
    <x v="0"/>
    <x v="0"/>
  </r>
  <r>
    <s v="Maryaline Catillon Household"/>
    <n v="775"/>
    <d v="2025-11-14T00:00:00"/>
    <n v="17725"/>
    <n v="43487"/>
    <d v="2025-11-14T00:00:00"/>
    <s v=""/>
    <s v="United States"/>
    <x v="0"/>
    <x v="3"/>
  </r>
  <r>
    <s v="Medical Networks, LLC"/>
    <n v="100"/>
    <d v="2025-03-18T00:00:00"/>
    <n v="14828"/>
    <n v="36741"/>
    <d v="2022-06-17T00:00:00"/>
    <s v=""/>
    <s v="United States"/>
    <x v="1"/>
    <x v="4"/>
  </r>
  <r>
    <s v="Melva Peters Household"/>
    <n v="775"/>
    <d v="2025-02-26T00:00:00"/>
    <n v="14607"/>
    <n v="36304"/>
    <d v="2012-07-13T00:00:00"/>
    <s v=""/>
    <s v="Canada"/>
    <x v="0"/>
    <x v="7"/>
  </r>
  <r>
    <s v="Michael Watkins Household"/>
    <n v="775"/>
    <d v="2025-06-09T00:00:00"/>
    <n v="15840"/>
    <n v="39417"/>
    <d v="2023-06-13T00:00:00"/>
    <s v=""/>
    <s v="United States"/>
    <x v="0"/>
    <x v="6"/>
  </r>
  <r>
    <s v="Michele Trofatter Household"/>
    <n v="775"/>
    <d v="2025-05-22T00:00:00"/>
    <n v="15709"/>
    <n v="39238"/>
    <d v="2025-05-22T00:00:00"/>
    <s v=""/>
    <s v=""/>
    <x v="0"/>
    <x v="10"/>
  </r>
  <r>
    <s v="Michelle Currie Household"/>
    <n v="775"/>
    <d v="2025-08-25T00:00:00"/>
    <n v="16909"/>
    <n v="42405"/>
    <d v="2024-07-25T00:00:00"/>
    <s v=""/>
    <s v=""/>
    <x v="0"/>
    <x v="0"/>
  </r>
  <r>
    <s v="Mladen Uzelac Household"/>
    <n v="775"/>
    <d v="2025-04-11T00:00:00"/>
    <n v="15208"/>
    <n v="37799"/>
    <d v="2025-04-11T00:00:00"/>
    <s v=""/>
    <s v="Croatia"/>
    <x v="0"/>
    <x v="9"/>
  </r>
  <r>
    <s v="Nathan Davis Household"/>
    <n v="775"/>
    <d v="2025-11-21T00:00:00"/>
    <n v="17810"/>
    <n v="43575"/>
    <d v="2025-11-21T00:00:00"/>
    <s v=""/>
    <s v="United States"/>
    <x v="0"/>
    <x v="3"/>
  </r>
  <r>
    <s v="Nicole Miller Household"/>
    <n v="775"/>
    <d v="2025-03-22T00:00:00"/>
    <n v="14927"/>
    <n v="36905"/>
    <d v="2025-03-22T00:00:00"/>
    <s v=""/>
    <s v="United States"/>
    <x v="0"/>
    <x v="4"/>
  </r>
  <r>
    <s v="Optimum eHealth"/>
    <n v="775"/>
    <d v="2025-03-11T00:00:00"/>
    <n v="14714"/>
    <n v="36537"/>
    <d v="2020-04-01T00:00:00"/>
    <s v=""/>
    <s v="United States"/>
    <x v="0"/>
    <x v="4"/>
  </r>
  <r>
    <s v="Peter Muir Household"/>
    <n v="775"/>
    <d v="2025-05-24T00:00:00"/>
    <n v="15722"/>
    <n v="39251"/>
    <d v="2018-08-16T00:00:00"/>
    <s v=""/>
    <s v="United States"/>
    <x v="0"/>
    <x v="10"/>
  </r>
  <r>
    <s v="Prasanna Muthukrishnan Lakshmipathy Household"/>
    <n v="775"/>
    <d v="2025-08-21T00:00:00"/>
    <n v="16809"/>
    <n v="42188"/>
    <d v="2025-08-21T00:00:00"/>
    <s v=""/>
    <s v="United States"/>
    <x v="0"/>
    <x v="0"/>
  </r>
  <r>
    <s v="Rachel Foerster Household"/>
    <n v="775"/>
    <d v="2025-07-11T00:00:00"/>
    <n v="16246"/>
    <n v="40109"/>
    <d v="2007-04-12T00:00:00"/>
    <s v=""/>
    <s v="United States"/>
    <x v="0"/>
    <x v="2"/>
  </r>
  <r>
    <s v="Rachel Richesson Household"/>
    <n v="775"/>
    <d v="2025-06-13T00:00:00"/>
    <n v="15891"/>
    <n v="39517"/>
    <d v="2022-08-26T00:00:00"/>
    <s v=""/>
    <s v=""/>
    <x v="0"/>
    <x v="6"/>
  </r>
  <r>
    <s v="Reed Gelzer Household"/>
    <n v="100"/>
    <d v="2025-03-20T00:00:00"/>
    <n v="14885"/>
    <n v="36841"/>
    <d v="2023-04-10T00:00:00"/>
    <s v=""/>
    <s v=""/>
    <x v="1"/>
    <x v="4"/>
  </r>
  <r>
    <s v="Richard Miles Household"/>
    <n v="775"/>
    <d v="2025-10-01T00:00:00"/>
    <n v="17412"/>
    <n v="43147"/>
    <d v="2025-10-01T00:00:00"/>
    <s v=""/>
    <s v="United States"/>
    <x v="0"/>
    <x v="8"/>
  </r>
  <r>
    <s v="Robert Jenders Household"/>
    <n v="775"/>
    <d v="2025-09-17T00:00:00"/>
    <n v="17252"/>
    <n v="42974"/>
    <d v="2022-09-20T00:00:00"/>
    <s v=""/>
    <s v="United States"/>
    <x v="0"/>
    <x v="1"/>
  </r>
  <r>
    <s v="Runyu Wu Household"/>
    <n v="775"/>
    <d v="2025-06-25T00:00:00"/>
    <n v="15994"/>
    <n v="39699"/>
    <d v="2025-06-25T00:00:00"/>
    <s v=""/>
    <s v="United States"/>
    <x v="0"/>
    <x v="6"/>
  </r>
  <r>
    <s v="Ryan Hess Household"/>
    <n v="775"/>
    <d v="2025-09-23T00:00:00"/>
    <n v="17307"/>
    <n v="43033"/>
    <d v="2021-10-21T00:00:00"/>
    <s v=""/>
    <s v=""/>
    <x v="0"/>
    <x v="1"/>
  </r>
  <r>
    <s v="Ryan Howells Household"/>
    <n v="775"/>
    <d v="2025-04-01T00:00:00"/>
    <n v="15062"/>
    <n v="37185"/>
    <d v="2022-08-24T00:00:00"/>
    <s v=""/>
    <s v=""/>
    <x v="0"/>
    <x v="9"/>
  </r>
  <r>
    <s v="Sam Schifman Household"/>
    <n v="775"/>
    <d v="2025-01-24T00:00:00"/>
    <n v="14220"/>
    <n v="35730"/>
    <d v="2025-01-24T00:00:00"/>
    <s v=""/>
    <s v=""/>
    <x v="0"/>
    <x v="5"/>
  </r>
  <r>
    <s v="Scott Fradkin Household"/>
    <n v="775"/>
    <d v="2025-08-19T00:00:00"/>
    <n v="16731"/>
    <n v="41992"/>
    <d v="2024-08-19T00:00:00"/>
    <s v=""/>
    <s v="United States"/>
    <x v="0"/>
    <x v="0"/>
  </r>
  <r>
    <s v="Shay Downey-Forsythe Household"/>
    <n v="775"/>
    <d v="2025-03-10T00:00:00"/>
    <n v="14708"/>
    <n v="36531"/>
    <d v="2024-03-08T00:00:00"/>
    <s v=""/>
    <s v="United States"/>
    <x v="0"/>
    <x v="4"/>
  </r>
  <r>
    <s v="Sonrisa Consulting"/>
    <n v="775"/>
    <d v="2025-09-08T00:00:00"/>
    <n v="17120"/>
    <n v="42770"/>
    <d v="2025-09-08T00:00:00"/>
    <s v=""/>
    <s v="United States"/>
    <x v="0"/>
    <x v="1"/>
  </r>
  <r>
    <s v="Stan Huff Household"/>
    <n v="775"/>
    <d v="2025-11-04T00:00:00"/>
    <n v="17652"/>
    <n v="43413"/>
    <d v="2025-11-04T00:00:00"/>
    <s v=""/>
    <s v="United States"/>
    <x v="0"/>
    <x v="3"/>
  </r>
  <r>
    <s v="Stefania Paperini Household"/>
    <n v="775"/>
    <d v="2025-07-15T00:00:00"/>
    <n v="16265"/>
    <n v="40149"/>
    <d v="2025-07-14T00:00:00"/>
    <s v=""/>
    <s v=""/>
    <x v="0"/>
    <x v="2"/>
  </r>
  <r>
    <s v="Steven Krchniak Household"/>
    <n v="775"/>
    <d v="2025-03-25T00:00:00"/>
    <n v="14958"/>
    <n v="36949"/>
    <d v="2024-05-14T00:00:00"/>
    <s v=""/>
    <s v=""/>
    <x v="0"/>
    <x v="4"/>
  </r>
  <r>
    <s v="Susan Matney Household"/>
    <n v="775"/>
    <d v="2025-01-16T00:00:00"/>
    <n v="14109"/>
    <n v="35562"/>
    <d v="2022-11-05T00:00:00"/>
    <s v=""/>
    <s v="United States"/>
    <x v="0"/>
    <x v="5"/>
  </r>
  <r>
    <s v="Susan Matney Household"/>
    <n v="775"/>
    <d v="2025-11-03T00:00:00"/>
    <n v="17640"/>
    <n v="43401"/>
    <d v="2022-11-05T00:00:00"/>
    <s v=""/>
    <s v="United States"/>
    <x v="0"/>
    <x v="3"/>
  </r>
  <r>
    <s v="Tracy Kovalchik Household"/>
    <n v="775"/>
    <d v="2025-11-18T00:00:00"/>
    <n v="17749"/>
    <n v="43512"/>
    <d v="2025-11-18T00:00:00"/>
    <s v=""/>
    <s v="United States"/>
    <x v="0"/>
    <x v="3"/>
  </r>
  <r>
    <s v="USC/CHLA"/>
    <n v="775"/>
    <d v="2025-03-25T00:00:00"/>
    <n v="14953"/>
    <n v="36944"/>
    <d v="2022-01-16T00:00:00"/>
    <s v=""/>
    <s v="United States"/>
    <x v="0"/>
    <x v="4"/>
  </r>
  <r>
    <s v="University of Illinois at Chicago Medical Center"/>
    <n v="775"/>
    <d v="2025-02-16T00:00:00"/>
    <n v="14471"/>
    <n v="36076"/>
    <d v="2010-01-01T00:00:00"/>
    <s v="Provider"/>
    <s v="United States"/>
    <x v="0"/>
    <x v="7"/>
  </r>
  <r>
    <s v="University of Illinois at Chicago Medical Center"/>
    <n v="775"/>
    <d v="2025-11-26T00:00:00"/>
    <n v="17847"/>
    <n v="43612"/>
    <d v="2010-01-01T00:00:00"/>
    <s v="Provider"/>
    <s v="United States"/>
    <x v="0"/>
    <x v="3"/>
  </r>
  <r>
    <s v="Virginia Lorenzi Household"/>
    <n v="775"/>
    <d v="2025-05-21T00:00:00"/>
    <n v="15705"/>
    <n v="39234"/>
    <d v="2025-05-21T00:00:00"/>
    <s v=""/>
    <s v="United States"/>
    <x v="0"/>
    <x v="10"/>
  </r>
  <r>
    <s v="Yanick Gaudet Household"/>
    <n v="775"/>
    <d v="2025-05-21T00:00:00"/>
    <n v="15703"/>
    <n v="39232"/>
    <d v="2022-08-26T00:00:00"/>
    <s v=""/>
    <s v="United States"/>
    <x v="0"/>
    <x v="1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">
  <r>
    <s v="1upHealth"/>
    <n v="9685"/>
    <d v="2025-07-11T00:00:00"/>
    <n v="16260"/>
    <n v="40140"/>
    <d v="2023-05-22T00:00:00"/>
    <s v="Supplier/Vendor"/>
    <s v="United States"/>
    <x v="0"/>
    <n v="7"/>
  </r>
  <r>
    <s v="AEGIS.net, Inc."/>
    <n v="9645"/>
    <d v="2025-09-05T00:00:00"/>
    <n v="17080"/>
    <n v="42715"/>
    <d v="2010-05-24T00:00:00"/>
    <s v="Consultant"/>
    <s v="United States"/>
    <x v="0"/>
    <n v="9"/>
  </r>
  <r>
    <s v="AM Operating LLC"/>
    <n v="1905"/>
    <d v="2025-08-15T00:00:00"/>
    <n v="16683"/>
    <n v="41862"/>
    <d v="2025-08-15T00:00:00"/>
    <s v="Supplier/Vendor"/>
    <s v="United States"/>
    <x v="1"/>
    <n v="8"/>
  </r>
  <r>
    <s v="ARUP Laboratories, Inc."/>
    <n v="1650"/>
    <d v="2025-04-01T00:00:00"/>
    <n v="15065"/>
    <n v="37188"/>
    <d v="2002-07-23T00:00:00"/>
    <s v="Provider"/>
    <s v="United States"/>
    <x v="0"/>
    <n v="4"/>
  </r>
  <r>
    <s v="Academy of Nutrition &amp; Dietetics"/>
    <n v="1905"/>
    <d v="2025-11-14T00:00:00"/>
    <n v="17729"/>
    <n v="43491"/>
    <d v="2011-01-19T00:00:00"/>
    <s v="Government/Professional Associations/Academic Institution"/>
    <s v="United States"/>
    <x v="1"/>
    <n v="11"/>
  </r>
  <r>
    <s v="Accenture"/>
    <n v="38100"/>
    <d v="2025-02-14T00:00:00"/>
    <n v="14481"/>
    <n v="36086"/>
    <d v="1987-01-01T00:00:00"/>
    <s v="Consultant"/>
    <s v="United States"/>
    <x v="2"/>
    <n v="2"/>
  </r>
  <r>
    <s v="Acre Security"/>
    <n v="1905"/>
    <d v="2025-02-14T00:00:00"/>
    <n v="14482"/>
    <n v="36087"/>
    <d v="2022-01-10T00:00:00"/>
    <s v="Supplier/Vendor"/>
    <s v="United States"/>
    <x v="1"/>
    <n v="2"/>
  </r>
  <r>
    <s v="Agence du Numérique en Santé (ANS)"/>
    <n v="5460"/>
    <d v="2025-03-14T00:00:00"/>
    <n v="14782"/>
    <n v="36662"/>
    <d v="2012-06-25T00:00:00"/>
    <s v="Government/Professional Associations/Academic Institution"/>
    <s v="France"/>
    <x v="0"/>
    <n v="3"/>
  </r>
  <r>
    <s v="Agence eSante Luxembourg"/>
    <n v="1545"/>
    <d v="2025-04-22T00:00:00"/>
    <n v="15381"/>
    <n v="38442"/>
    <d v="2015-06-04T00:00:00"/>
    <s v="Government/Professional Associations/Academic Institution"/>
    <s v="Luxembourg"/>
    <x v="0"/>
    <n v="4"/>
  </r>
  <r>
    <s v="Alabama Department of Public Health"/>
    <n v="2680"/>
    <d v="2025-08-15T00:00:00"/>
    <n v="16669"/>
    <n v="41835"/>
    <d v="2010-12-06T00:00:00"/>
    <s v="Government/Professional Associations/Academic Institution"/>
    <s v="United States"/>
    <x v="0"/>
    <n v="8"/>
  </r>
  <r>
    <s v="Alliance Health"/>
    <n v="1545"/>
    <d v="2025-08-21T00:00:00"/>
    <n v="16801"/>
    <n v="42165"/>
    <d v="2020-10-20T00:00:00"/>
    <s v="Government/Professional Associations/Academic Institution"/>
    <s v="United States"/>
    <x v="0"/>
    <n v="8"/>
  </r>
  <r>
    <s v="Alphora"/>
    <n v="2990"/>
    <d v="2025-10-01T00:00:00"/>
    <n v="17411"/>
    <n v="43146"/>
    <d v="2020-10-26T00:00:00"/>
    <s v="Consultant"/>
    <s v="United States"/>
    <x v="1"/>
    <n v="10"/>
  </r>
  <r>
    <s v="Altarum"/>
    <n v="1905"/>
    <d v="2025-07-28T00:00:00"/>
    <n v="16411"/>
    <n v="40502"/>
    <d v="2014-09-09T00:00:00"/>
    <s v="Consultant"/>
    <s v="United States"/>
    <x v="1"/>
    <n v="7"/>
  </r>
  <r>
    <s v="American College of Physicians"/>
    <n v="1905"/>
    <d v="2025-04-11T00:00:00"/>
    <n v="15216"/>
    <n v="37814"/>
    <d v="2013-03-28T00:00:00"/>
    <s v="Government/Professional Associations/Academic Institution"/>
    <s v="United States"/>
    <x v="1"/>
    <n v="4"/>
  </r>
  <r>
    <s v="American College of Radiology"/>
    <n v="1545"/>
    <d v="2025-04-03T00:00:00"/>
    <n v="15100"/>
    <n v="37324"/>
    <d v="2003-05-31T00:00:00"/>
    <s v="Government/Professional Associations/Academic Institution"/>
    <s v="United States"/>
    <x v="0"/>
    <n v="4"/>
  </r>
  <r>
    <s v="American Dental Association"/>
    <n v="1545"/>
    <d v="2025-03-06T00:00:00"/>
    <n v="14689"/>
    <n v="36502"/>
    <d v="2012-03-08T00:00:00"/>
    <s v="Government/Professional Associations/Academic Institution"/>
    <s v="United States"/>
    <x v="0"/>
    <n v="3"/>
  </r>
  <r>
    <s v="American Heart Association"/>
    <n v="1905"/>
    <d v="2025-05-23T00:00:00"/>
    <n v="15717"/>
    <n v="39246"/>
    <d v="2021-04-08T00:00:00"/>
    <s v="Government/Professional Associations/Academic Institution"/>
    <s v="United States"/>
    <x v="1"/>
    <n v="5"/>
  </r>
  <r>
    <s v="American Hospital Association"/>
    <n v="1545"/>
    <d v="2025-09-02T00:00:00"/>
    <n v="17007"/>
    <n v="42540"/>
    <d v="2024-08-28T00:00:00"/>
    <s v="Government/Professional Associations/Academic Institution"/>
    <s v="United States"/>
    <x v="0"/>
    <n v="9"/>
  </r>
  <r>
    <s v="American Medical Association"/>
    <n v="16500"/>
    <d v="2025-03-28T00:00:00"/>
    <n v="15034"/>
    <n v="37127"/>
    <d v="2009-12-15T00:00:00"/>
    <s v="Government/Professional Associations/Academic Institution"/>
    <s v="United States"/>
    <x v="2"/>
    <n v="3"/>
  </r>
  <r>
    <s v="Apelon, Inc."/>
    <n v="2370"/>
    <d v="2025-03-12T00:00:00"/>
    <n v="14744"/>
    <n v="36595"/>
    <d v="2003-08-06T00:00:00"/>
    <s v="Supplier/Vendor"/>
    <s v="United States"/>
    <x v="0"/>
    <n v="3"/>
  </r>
  <r>
    <s v="Apple Inc."/>
    <n v="38100"/>
    <d v="2025-09-11T00:00:00"/>
    <n v="17161"/>
    <n v="42838"/>
    <d v="2018-08-06T00:00:00"/>
    <s v="Supplier/Vendor"/>
    <s v="United States"/>
    <x v="2"/>
    <n v="9"/>
  </r>
  <r>
    <s v="Applied PilotFish Healthcare Integration"/>
    <n v="1545"/>
    <d v="2025-10-08T00:00:00"/>
    <n v="17461"/>
    <n v="43196"/>
    <d v="2011-09-12T00:00:00"/>
    <s v="Supplier/Vendor"/>
    <s v="United States"/>
    <x v="0"/>
    <n v="10"/>
  </r>
  <r>
    <s v="Applied Research Works"/>
    <n v="2370"/>
    <d v="2025-06-03T00:00:00"/>
    <n v="15791"/>
    <n v="39358"/>
    <d v="2019-06-27T00:00:00"/>
    <s v="Supplier/Vendor"/>
    <s v="United States"/>
    <x v="0"/>
    <n v="6"/>
  </r>
  <r>
    <s v="ArcheSys Inc."/>
    <n v="1545"/>
    <d v="2025-10-10T00:00:00"/>
    <n v="17481"/>
    <n v="43216"/>
    <d v="2024-12-06T00:00:00"/>
    <s v="Consultant"/>
    <s v="United States"/>
    <x v="0"/>
    <n v="10"/>
  </r>
  <r>
    <s v="Arkansas Children's Hospital"/>
    <n v="4225"/>
    <d v="2025-09-11T00:00:00"/>
    <n v="17190"/>
    <n v="42888"/>
    <d v="2024-08-22T00:00:00"/>
    <s v="Provider"/>
    <s v="United States"/>
    <x v="0"/>
    <n v="9"/>
  </r>
  <r>
    <s v="Azuba Corporation"/>
    <n v="1905"/>
    <d v="2025-08-20T00:00:00"/>
    <n v="16779"/>
    <n v="42106"/>
    <d v="2016-07-26T00:00:00"/>
    <s v="Supplier/Vendor"/>
    <s v="United States"/>
    <x v="1"/>
    <n v="8"/>
  </r>
  <r>
    <s v="Ben Allegretti Consulting"/>
    <n v="1545"/>
    <d v="2025-09-10T00:00:00"/>
    <n v="17150"/>
    <n v="42825"/>
    <d v="2025-09-10T00:00:00"/>
    <s v="Consultant"/>
    <s v="United States"/>
    <x v="0"/>
    <n v="9"/>
  </r>
  <r>
    <s v="Benedictine Health System"/>
    <n v="2680"/>
    <d v="2025-03-18T00:00:00"/>
    <n v="14837"/>
    <n v="36750"/>
    <d v="2019-04-04T00:00:00"/>
    <s v="Provider"/>
    <s v="United States"/>
    <x v="0"/>
    <n v="3"/>
  </r>
  <r>
    <s v="Best Option Healthcare PR"/>
    <n v="1650"/>
    <d v="2025-04-21T00:00:00"/>
    <n v="15371"/>
    <n v="38426"/>
    <d v="2022-05-16T00:00:00"/>
    <s v="Provider"/>
    <s v="United States"/>
    <x v="0"/>
    <n v="4"/>
  </r>
  <r>
    <s v="Black Duck Software Oy"/>
    <n v="1545"/>
    <d v="2025-08-21T00:00:00"/>
    <n v="16846"/>
    <n v="42288"/>
    <d v="2016-11-01T00:00:00"/>
    <s v="Supplier/Vendor"/>
    <s v="Finland"/>
    <x v="0"/>
    <n v="8"/>
  </r>
  <r>
    <s v="Black Duck Software Oy"/>
    <n v="1545"/>
    <d v="2025-01-09T00:00:00"/>
    <n v="13918"/>
    <n v="35299"/>
    <d v="2016-11-01T00:00:00"/>
    <s v="Supplier/Vendor"/>
    <s v="Finland"/>
    <x v="0"/>
    <n v="1"/>
  </r>
  <r>
    <s v="Blessing Hospital"/>
    <n v="2680"/>
    <d v="2025-03-24T00:00:00"/>
    <n v="14939"/>
    <n v="36931"/>
    <d v="2009-06-01T00:00:00"/>
    <s v="Provider"/>
    <s v="United States"/>
    <x v="0"/>
    <n v="3"/>
  </r>
  <r>
    <s v="Blue Cross Blue Shield Association"/>
    <n v="1905"/>
    <d v="2025-05-07T00:00:00"/>
    <n v="15561"/>
    <n v="38970"/>
    <d v="1999-07-19T00:00:00"/>
    <s v="Government/Professional Associations/Academic Institution"/>
    <s v="United States"/>
    <x v="1"/>
    <n v="5"/>
  </r>
  <r>
    <s v="Blue Cross Blue Shield of South Carolina"/>
    <n v="5770"/>
    <d v="2025-08-21T00:00:00"/>
    <n v="16845"/>
    <n v="42310"/>
    <d v="2009-04-04T00:00:00"/>
    <s v="Payer"/>
    <s v="United States"/>
    <x v="0"/>
    <n v="8"/>
  </r>
  <r>
    <s v="Blue Cross and Blue Shield of Kansas"/>
    <n v="9690"/>
    <d v="2025-10-24T00:00:00"/>
    <n v="17604"/>
    <n v="43350"/>
    <d v="2022-11-02T00:00:00"/>
    <s v="Payer"/>
    <s v="United States"/>
    <x v="0"/>
    <n v="10"/>
  </r>
  <r>
    <s v="BlueCross BlueShield of Alabama"/>
    <n v="12050"/>
    <d v="2025-10-17T00:00:00"/>
    <n v="17556"/>
    <n v="43296"/>
    <d v="2009-09-23T00:00:00"/>
    <s v="Payer"/>
    <s v="United States"/>
    <x v="1"/>
    <n v="10"/>
  </r>
  <r>
    <s v="Boston Medical Center"/>
    <n v="2680"/>
    <d v="2025-08-15T00:00:00"/>
    <n v="16668"/>
    <n v="41834"/>
    <d v="2014-09-23T00:00:00"/>
    <s v="Provider"/>
    <s v="United States"/>
    <x v="0"/>
    <n v="8"/>
  </r>
  <r>
    <s v="By Light Professional IT Services LLC"/>
    <n v="5770"/>
    <d v="2025-01-24T00:00:00"/>
    <n v="14208"/>
    <n v="35690"/>
    <d v="2018-01-05T00:00:00"/>
    <s v="Supplier/Vendor"/>
    <s v="United States"/>
    <x v="0"/>
    <n v="1"/>
  </r>
  <r>
    <s v="CA Department of Public Health"/>
    <n v="2680"/>
    <d v="2025-06-20T00:00:00"/>
    <n v="15958"/>
    <n v="39633"/>
    <d v="2011-03-25T00:00:00"/>
    <s v="Government/Professional Associations/Academic Institution"/>
    <s v="United States"/>
    <x v="0"/>
    <n v="6"/>
  </r>
  <r>
    <s v="CAL2CAL Corporation"/>
    <n v="1905"/>
    <d v="2025-02-19T00:00:00"/>
    <n v="14507"/>
    <n v="36134"/>
    <d v="2003-04-14T00:00:00"/>
    <s v="Supplier/Vendor"/>
    <s v="United States"/>
    <x v="1"/>
    <n v="2"/>
  </r>
  <r>
    <s v="CDISC"/>
    <n v="1545"/>
    <d v="2025-11-17T00:00:00"/>
    <n v="17735"/>
    <n v="43497"/>
    <d v="2010-01-02T00:00:00"/>
    <s v="Government/Professional Associations/Academic Institution"/>
    <s v="United States"/>
    <x v="0"/>
    <n v="11"/>
  </r>
  <r>
    <s v="CRISP Shared Services"/>
    <n v="2680"/>
    <d v="2025-07-25T00:00:00"/>
    <n v="16375"/>
    <n v="40446"/>
    <d v="2019-04-15T00:00:00"/>
    <s v="Government/Professional Associations/Academic Institution"/>
    <s v="United States"/>
    <x v="0"/>
    <n v="7"/>
  </r>
  <r>
    <s v="CU Anschutz Medical Campus"/>
    <n v="1905"/>
    <d v="2025-01-09T00:00:00"/>
    <n v="13881"/>
    <n v="35253"/>
    <d v="2021-04-05T00:00:00"/>
    <s v="Government/Professional Associations/Academic Institution"/>
    <s v="United States"/>
    <x v="1"/>
    <n v="1"/>
  </r>
  <r>
    <s v="CVS Health"/>
    <n v="37900"/>
    <d v="2025-07-31T00:00:00"/>
    <n v="16460"/>
    <n v="40634"/>
    <d v="2012-03-30T00:00:00"/>
    <s v="Payer"/>
    <s v="United States"/>
    <x v="2"/>
    <n v="7"/>
  </r>
  <r>
    <s v="CYSNET LLC"/>
    <n v="1545"/>
    <d v="2025-04-22T00:00:00"/>
    <n v="15378"/>
    <n v="38439"/>
    <d v="2024-04-16T00:00:00"/>
    <s v="Supplier/Vendor"/>
    <s v="United States"/>
    <x v="0"/>
    <n v="4"/>
  </r>
  <r>
    <s v="Cambia Health Solutions"/>
    <n v="16180"/>
    <d v="2025-05-22T00:00:00"/>
    <n v="15720"/>
    <n v="39249"/>
    <d v="2013-12-03T00:00:00"/>
    <s v="Payer"/>
    <s v="United States"/>
    <x v="0"/>
    <n v="5"/>
  </r>
  <r>
    <s v="CareQuest Institute for Oral Health"/>
    <n v="1905"/>
    <d v="2025-10-16T00:00:00"/>
    <n v="17536"/>
    <n v="43273"/>
    <d v="2024-12-30T00:00:00"/>
    <s v="Government/Professional Associations/Academic Institution"/>
    <s v="United States"/>
    <x v="1"/>
    <n v="10"/>
  </r>
  <r>
    <s v="Caristix"/>
    <n v="1545"/>
    <d v="2025-01-06T00:00:00"/>
    <n v="13765"/>
    <n v="35119"/>
    <d v="2010-01-09T00:00:00"/>
    <s v="Supplier/Vendor"/>
    <s v="Canada"/>
    <x v="0"/>
    <n v="1"/>
  </r>
  <r>
    <s v="Caristix"/>
    <n v="1545"/>
    <d v="2025-10-31T00:00:00"/>
    <n v="17630"/>
    <n v="43390"/>
    <d v="2010-01-09T00:00:00"/>
    <s v="Supplier/Vendor"/>
    <s v="Canada"/>
    <x v="0"/>
    <n v="10"/>
  </r>
  <r>
    <s v="Carradora Health, Inc."/>
    <n v="1905"/>
    <d v="2025-05-27T00:00:00"/>
    <n v="15734"/>
    <n v="39263"/>
    <d v="2018-07-23T00:00:00"/>
    <s v="Consultant"/>
    <s v="United States"/>
    <x v="1"/>
    <n v="5"/>
  </r>
  <r>
    <s v="Cedar Cares, Inc."/>
    <n v="23375"/>
    <d v="2025-05-05T00:00:00"/>
    <n v="15533"/>
    <n v="38901"/>
    <d v="2025-05-05T00:00:00"/>
    <s v="Supplier/Vendor"/>
    <s v="United States"/>
    <x v="0"/>
    <n v="5"/>
  </r>
  <r>
    <s v="Cedars-Sinai Medical Center"/>
    <n v="2680"/>
    <d v="2025-07-31T00:00:00"/>
    <n v="16451"/>
    <n v="40596"/>
    <d v="1992-08-16T00:00:00"/>
    <s v="Provider"/>
    <s v="United States"/>
    <x v="0"/>
    <n v="7"/>
  </r>
  <r>
    <s v="Centers for Medicare &amp; Medicaid Services"/>
    <n v="5460"/>
    <d v="2025-07-07T00:00:00"/>
    <n v="16171"/>
    <n v="39935"/>
    <d v="2010-02-10T00:00:00"/>
    <s v="Government/Professional Associations/Academic Institution"/>
    <s v="United States"/>
    <x v="0"/>
    <n v="7"/>
  </r>
  <r>
    <s v="Centrum e-Zdrowia (e-Health Centre)"/>
    <n v="5460"/>
    <d v="2025-07-29T00:00:00"/>
    <n v="16439"/>
    <n v="40560"/>
    <d v="2013-08-09T00:00:00"/>
    <s v="Government/Professional Associations/Academic Institution"/>
    <s v="Poland"/>
    <x v="0"/>
    <n v="7"/>
  </r>
  <r>
    <s v="Children's Hospital of Philadelphia"/>
    <n v="9990"/>
    <d v="2025-01-09T00:00:00"/>
    <n v="13902"/>
    <n v="35282"/>
    <d v="2009-06-19T00:00:00"/>
    <s v="Provider"/>
    <s v="United States"/>
    <x v="0"/>
    <n v="1"/>
  </r>
  <r>
    <s v="Clinical Architecture LLC"/>
    <n v="2370"/>
    <d v="2025-06-08T00:00:00"/>
    <n v="15832"/>
    <n v="39409"/>
    <d v="2011-11-16T00:00:00"/>
    <s v="Supplier/Vendor"/>
    <s v="United States"/>
    <x v="0"/>
    <n v="6"/>
  </r>
  <r>
    <s v="Clinicomp, Intl"/>
    <n v="16175"/>
    <d v="2025-01-14T00:00:00"/>
    <n v="14075"/>
    <n v="35519"/>
    <d v="2010-01-01T00:00:00"/>
    <s v="Supplier/Vendor"/>
    <s v="United States"/>
    <x v="0"/>
    <n v="1"/>
  </r>
  <r>
    <s v="Cloud Software Group"/>
    <n v="9685"/>
    <d v="2025-05-22T00:00:00"/>
    <n v="15719"/>
    <n v="39248"/>
    <d v="2011-05-02T00:00:00"/>
    <s v="Supplier/Vendor"/>
    <s v="United States"/>
    <x v="0"/>
    <n v="5"/>
  </r>
  <r>
    <s v="Coditas Solutions LLP"/>
    <n v="1545"/>
    <d v="2025-01-27T00:00:00"/>
    <n v="14244"/>
    <n v="35754"/>
    <d v="2025-01-27T00:00:00"/>
    <s v="Supplier/Vendor"/>
    <s v="United States"/>
    <x v="0"/>
    <n v="1"/>
  </r>
  <r>
    <s v="Cognizant"/>
    <n v="23375"/>
    <d v="2025-08-28T00:00:00"/>
    <n v="16964"/>
    <n v="42479"/>
    <d v="2021-02-08T00:00:00"/>
    <s v="Supplier/Vendor"/>
    <s v="United States"/>
    <x v="0"/>
    <n v="8"/>
  </r>
  <r>
    <s v="Computable Publishing LLC"/>
    <n v="1905"/>
    <d v="2025-02-27T00:00:00"/>
    <n v="14617"/>
    <n v="36333"/>
    <d v="2020-08-11T00:00:00"/>
    <s v="Consultant"/>
    <s v="United States"/>
    <x v="1"/>
    <n v="2"/>
  </r>
  <r>
    <s v="Computrition, Inc."/>
    <n v="2990"/>
    <d v="2025-07-17T00:00:00"/>
    <n v="16286"/>
    <n v="40200"/>
    <d v="1995-02-21T00:00:00"/>
    <s v="Supplier/Vendor"/>
    <s v="United States"/>
    <x v="1"/>
    <n v="7"/>
  </r>
  <r>
    <s v="Concentra"/>
    <n v="7210"/>
    <d v="2025-11-24T00:00:00"/>
    <n v="17824"/>
    <n v="43589"/>
    <d v="2011-08-24T00:00:00"/>
    <s v="Provider"/>
    <s v="United States"/>
    <x v="0"/>
    <n v="11"/>
  </r>
  <r>
    <s v="Connecticut Department of Public Health"/>
    <n v="3400"/>
    <d v="2025-11-14T00:00:00"/>
    <n v="17728"/>
    <n v="43490"/>
    <d v="2012-02-21T00:00:00"/>
    <s v="Government/Professional Associations/Academic Institution"/>
    <s v="United States"/>
    <x v="1"/>
    <n v="11"/>
  </r>
  <r>
    <s v="Connecticut Department of Public Health"/>
    <n v="3400"/>
    <d v="2025-01-14T00:00:00"/>
    <n v="14073"/>
    <n v="35517"/>
    <d v="2012-02-21T00:00:00"/>
    <s v="Government/Professional Associations/Academic Institution"/>
    <s v="United States"/>
    <x v="1"/>
    <n v="1"/>
  </r>
  <r>
    <s v="Contexture"/>
    <n v="2680"/>
    <d v="2025-06-13T00:00:00"/>
    <n v="15903"/>
    <n v="39530"/>
    <d v="2009-03-06T00:00:00"/>
    <s v="Government/Professional Associations/Academic Institution"/>
    <s v="United States"/>
    <x v="0"/>
    <n v="6"/>
  </r>
  <r>
    <s v="Cotiviti"/>
    <n v="38100"/>
    <d v="2025-10-08T00:00:00"/>
    <n v="17460"/>
    <n v="43195"/>
    <d v="2010-03-23T00:00:00"/>
    <s v="Supplier/Vendor"/>
    <s v="United States"/>
    <x v="2"/>
    <n v="10"/>
  </r>
  <r>
    <s v="Council of State and Territorial Epidemiologists"/>
    <n v="1905"/>
    <d v="2025-11-17T00:00:00"/>
    <n v="17739"/>
    <n v="43502"/>
    <d v="2012-02-08T00:00:00"/>
    <s v="Government/Professional Associations/Academic Institution"/>
    <s v="United States"/>
    <x v="1"/>
    <n v="11"/>
  </r>
  <r>
    <s v="CyncHealth"/>
    <n v="7210"/>
    <d v="2025-01-13T00:00:00"/>
    <n v="14070"/>
    <n v="35509"/>
    <d v="2023-08-30T00:00:00"/>
    <s v="Provider"/>
    <s v="United States"/>
    <x v="0"/>
    <n v="1"/>
  </r>
  <r>
    <s v="Dataware Sdn Bhd"/>
    <n v="1545"/>
    <d v="2025-02-18T00:00:00"/>
    <n v="14505"/>
    <n v="36131"/>
    <d v="2012-08-16T00:00:00"/>
    <s v="Supplier/Vendor"/>
    <s v="Malaysia"/>
    <x v="0"/>
    <n v="2"/>
  </r>
  <r>
    <s v="Deer Creek Pharmacy Services"/>
    <n v="1545"/>
    <d v="2025-11-26T00:00:00"/>
    <n v="17842"/>
    <n v="43607"/>
    <d v="2012-08-22T00:00:00"/>
    <s v="Supplier/Vendor"/>
    <s v="United States"/>
    <x v="0"/>
    <n v="11"/>
  </r>
  <r>
    <s v="Digital HIE Inc"/>
    <n v="1545"/>
    <d v="2025-09-29T00:00:00"/>
    <n v="17383"/>
    <n v="43114"/>
    <d v="2023-09-15T00:00:00"/>
    <s v="Supplier/Vendor"/>
    <s v="United States"/>
    <x v="0"/>
    <n v="9"/>
  </r>
  <r>
    <s v="DirectTrust"/>
    <n v="1545"/>
    <d v="2025-10-07T00:00:00"/>
    <n v="17450"/>
    <n v="43185"/>
    <d v="2017-10-31T00:00:00"/>
    <s v="Government/Professional Associations/Academic Institution"/>
    <s v="United States"/>
    <x v="0"/>
    <n v="10"/>
  </r>
  <r>
    <s v="Dogwood Health Consulting Inc."/>
    <n v="1905"/>
    <d v="2025-11-21T00:00:00"/>
    <n v="17819"/>
    <n v="43584"/>
    <d v="2022-12-16T00:00:00"/>
    <s v="Consultant"/>
    <s v="Canada"/>
    <x v="1"/>
    <n v="11"/>
  </r>
  <r>
    <s v="Drummond Group"/>
    <n v="2990"/>
    <d v="2025-10-16T00:00:00"/>
    <n v="17535"/>
    <n v="43272"/>
    <d v="2020-10-29T00:00:00"/>
    <s v="Consultant"/>
    <s v="United States"/>
    <x v="1"/>
    <n v="10"/>
  </r>
  <r>
    <s v="Dynamic Health IT, Inc."/>
    <n v="1545"/>
    <d v="2025-08-22T00:00:00"/>
    <n v="16850"/>
    <n v="42293"/>
    <d v="2012-07-24T00:00:00"/>
    <s v="Supplier/Vendor"/>
    <s v="United States"/>
    <x v="0"/>
    <n v="8"/>
  </r>
  <r>
    <s v="EMI Advisors LLC"/>
    <n v="1905"/>
    <d v="2025-09-02T00:00:00"/>
    <n v="17002"/>
    <n v="42531"/>
    <d v="2019-09-03T00:00:00"/>
    <s v="Consultant"/>
    <s v="United States"/>
    <x v="1"/>
    <n v="9"/>
  </r>
  <r>
    <s v="EMR Direct"/>
    <n v="1545"/>
    <d v="2025-06-09T00:00:00"/>
    <n v="15847"/>
    <n v="39444"/>
    <d v="2018-04-05T00:00:00"/>
    <s v="Supplier/Vendor"/>
    <s v="United States"/>
    <x v="0"/>
    <n v="6"/>
  </r>
  <r>
    <s v="Elevance Health"/>
    <n v="23700"/>
    <d v="2025-11-19T00:00:00"/>
    <n v="17788"/>
    <n v="43552"/>
    <d v="2013-01-25T00:00:00"/>
    <s v="Payer"/>
    <s v="United States"/>
    <x v="0"/>
    <n v="11"/>
  </r>
  <r>
    <s v="Elimu Informatics Inc."/>
    <n v="2370"/>
    <d v="2025-05-30T00:00:00"/>
    <n v="15759"/>
    <n v="39307"/>
    <d v="2017-05-14T00:00:00"/>
    <s v="Consultant"/>
    <s v="United States"/>
    <x v="0"/>
    <n v="5"/>
  </r>
  <r>
    <s v="Envi"/>
    <n v="5770"/>
    <d v="2025-07-23T00:00:00"/>
    <n v="16349"/>
    <n v="40353"/>
    <d v="2020-10-22T00:00:00"/>
    <s v="Supplier/Vendor"/>
    <s v="United States"/>
    <x v="0"/>
    <n v="7"/>
  </r>
  <r>
    <s v="European Medicines Agency"/>
    <n v="36050"/>
    <d v="2025-08-25T00:00:00"/>
    <n v="16917"/>
    <n v="42414"/>
    <d v="2009-08-18T00:00:00"/>
    <s v="Government/Professional Associations/Academic Institution"/>
    <s v="Netherlands"/>
    <x v="2"/>
    <n v="8"/>
  </r>
  <r>
    <s v="Evernorth"/>
    <n v="29250"/>
    <d v="2025-06-25T00:00:00"/>
    <n v="16005"/>
    <n v="39713"/>
    <d v="2021-03-10T00:00:00"/>
    <s v="Payer"/>
    <s v="United States"/>
    <x v="1"/>
    <n v="6"/>
  </r>
  <r>
    <s v="Firely USA"/>
    <n v="1905"/>
    <d v="2025-01-21T00:00:00"/>
    <n v="14154"/>
    <n v="35633"/>
    <d v="2024-02-19T00:00:00"/>
    <s v="Supplier/Vendor"/>
    <s v="United States"/>
    <x v="1"/>
    <n v="1"/>
  </r>
  <r>
    <s v="Flatiron Health"/>
    <n v="9685"/>
    <d v="2025-01-30T00:00:00"/>
    <n v="14313"/>
    <n v="35849"/>
    <d v="2015-05-20T00:00:00"/>
    <s v="Supplier/Vendor"/>
    <s v="United States"/>
    <x v="0"/>
    <n v="1"/>
  </r>
  <r>
    <s v="Florida Department of Health"/>
    <n v="2680"/>
    <d v="2025-10-24T00:00:00"/>
    <n v="17591"/>
    <n v="43338"/>
    <d v="2012-09-20T00:00:00"/>
    <s v="Government/Professional Associations/Academic Institution"/>
    <s v="United States"/>
    <x v="0"/>
    <n v="10"/>
  </r>
  <r>
    <s v="Food and Drug Administration"/>
    <n v="36050"/>
    <d v="2025-10-10T00:00:00"/>
    <n v="17491"/>
    <n v="43226"/>
    <d v="2001-04-04T00:00:00"/>
    <s v="Government/Professional Associations/Academic Institution"/>
    <s v="United States"/>
    <x v="2"/>
    <n v="10"/>
  </r>
  <r>
    <s v="Frost Systems"/>
    <n v="1545"/>
    <d v="2025-09-21T00:00:00"/>
    <n v="17279"/>
    <n v="43006"/>
    <d v="2025-09-21T00:00:00"/>
    <s v="Supplier/Vendor"/>
    <s v="United States"/>
    <x v="0"/>
    <n v="9"/>
  </r>
  <r>
    <s v="GE Healthcare"/>
    <n v="23375"/>
    <d v="2025-07-03T00:00:00"/>
    <n v="16190"/>
    <n v="39970"/>
    <d v="2002-05-20T00:00:00"/>
    <s v="Supplier/Vendor"/>
    <s v="United States"/>
    <x v="0"/>
    <n v="7"/>
  </r>
  <r>
    <s v="GTRI at GT"/>
    <n v="1545"/>
    <d v="2025-08-12T00:00:00"/>
    <n v="16596"/>
    <n v="41393"/>
    <d v="2016-08-09T00:00:00"/>
    <s v="Government/Professional Associations/Academic Institution"/>
    <s v="United States"/>
    <x v="0"/>
    <n v="8"/>
  </r>
  <r>
    <s v="GigaTECH LLC"/>
    <n v="1545"/>
    <d v="2025-02-04T00:00:00"/>
    <n v="14362"/>
    <n v="35913"/>
    <d v="2021-01-11T00:00:00"/>
    <s v="Consultant"/>
    <s v="United States"/>
    <x v="0"/>
    <n v="2"/>
  </r>
  <r>
    <s v="Google"/>
    <n v="38100"/>
    <d v="2025-07-25T00:00:00"/>
    <n v="16398"/>
    <n v="40484"/>
    <d v="2018-10-29T00:00:00"/>
    <s v="Supplier/Vendor"/>
    <s v="United States"/>
    <x v="2"/>
    <n v="7"/>
  </r>
  <r>
    <s v="Greenway Health"/>
    <n v="16175"/>
    <d v="2025-05-07T00:00:00"/>
    <n v="15554"/>
    <n v="38950"/>
    <d v="2014-11-03T00:00:00"/>
    <s v="Supplier/Vendor"/>
    <s v="United States"/>
    <x v="0"/>
    <n v="5"/>
  </r>
  <r>
    <s v="HF Management Services"/>
    <n v="21640"/>
    <d v="2025-05-20T00:00:00"/>
    <n v="15700"/>
    <n v="39229"/>
    <d v="2024-07-30T00:00:00"/>
    <s v="Payer"/>
    <s v="United States"/>
    <x v="2"/>
    <n v="5"/>
  </r>
  <r>
    <s v="HIMSS"/>
    <n v="1905"/>
    <d v="2025-01-24T00:00:00"/>
    <n v="14260"/>
    <n v="35770"/>
    <d v="2009-09-11T00:00:00"/>
    <s v="Government/Professional Associations/Academic Institution"/>
    <s v="United States"/>
    <x v="1"/>
    <n v="1"/>
  </r>
  <r>
    <s v="Health Care Service Corporation"/>
    <n v="23700"/>
    <d v="2025-11-14T00:00:00"/>
    <n v="17740"/>
    <n v="43503"/>
    <d v="2000-05-04T00:00:00"/>
    <s v="Payer"/>
    <s v="United States"/>
    <x v="1"/>
    <n v="11"/>
  </r>
  <r>
    <s v="Health Chain"/>
    <n v="2990"/>
    <d v="2025-10-29T00:00:00"/>
    <n v="17614"/>
    <n v="43361"/>
    <d v="2024-12-17T00:00:00"/>
    <s v="Supplier/Vendor"/>
    <s v="United States"/>
    <x v="1"/>
    <n v="10"/>
  </r>
  <r>
    <s v="Health Gorilla"/>
    <n v="9685"/>
    <d v="2025-10-31T00:00:00"/>
    <n v="17628"/>
    <n v="43388"/>
    <d v="2023-01-23T00:00:00"/>
    <s v="Supplier/Vendor"/>
    <s v="United States"/>
    <x v="0"/>
    <n v="10"/>
  </r>
  <r>
    <s v="Health and Welfare Information Systems Centre"/>
    <n v="5460"/>
    <d v="2025-04-01T00:00:00"/>
    <n v="15080"/>
    <n v="37263"/>
    <d v="2017-04-05T00:00:00"/>
    <s v="Government/Professional Associations/Academic Institution"/>
    <s v="Estonia"/>
    <x v="0"/>
    <n v="4"/>
  </r>
  <r>
    <s v="HealthLX"/>
    <n v="1545"/>
    <d v="2025-03-31T00:00:00"/>
    <n v="15039"/>
    <n v="37132"/>
    <d v="2014-08-21T00:00:00"/>
    <s v="Supplier/Vendor"/>
    <s v="United States"/>
    <x v="0"/>
    <n v="3"/>
  </r>
  <r>
    <s v="HealthTrio, LLC"/>
    <n v="9685"/>
    <d v="2025-05-27T00:00:00"/>
    <n v="15739"/>
    <n v="39268"/>
    <d v="2009-06-01T00:00:00"/>
    <s v="Supplier/Vendor"/>
    <s v="United States"/>
    <x v="0"/>
    <n v="5"/>
  </r>
  <r>
    <s v="Healthcare Logistics Ltd"/>
    <n v="2370"/>
    <d v="2025-05-12T00:00:00"/>
    <n v="15601"/>
    <n v="39088"/>
    <d v="2025-05-09T00:00:00"/>
    <s v="Supplier/Vendor"/>
    <s v="Malta"/>
    <x v="0"/>
    <n v="5"/>
  </r>
  <r>
    <s v="Healthmap Solutions"/>
    <n v="27025"/>
    <d v="2025-01-08T00:00:00"/>
    <n v="13830"/>
    <n v="35199"/>
    <d v="2025-01-08T00:00:00"/>
    <s v="Supplier/Vendor"/>
    <s v="United States"/>
    <x v="2"/>
    <n v="1"/>
  </r>
  <r>
    <s v="Humana Inc."/>
    <n v="23700"/>
    <d v="2025-05-30T00:00:00"/>
    <n v="15758"/>
    <n v="39306"/>
    <d v="2018-08-24T00:00:00"/>
    <s v="Payer"/>
    <s v="United States"/>
    <x v="0"/>
    <n v="5"/>
  </r>
  <r>
    <s v="ICH"/>
    <n v="1545"/>
    <d v="2025-06-12T00:00:00"/>
    <n v="15874"/>
    <n v="39487"/>
    <d v="2012-07-11T00:00:00"/>
    <s v="Government/Professional Associations/Academic Institution"/>
    <s v="Switzerland"/>
    <x v="0"/>
    <n v="6"/>
  </r>
  <r>
    <s v="ICHOM"/>
    <n v="1905"/>
    <d v="2025-06-26T00:00:00"/>
    <n v="16015"/>
    <n v="39726"/>
    <d v="2021-06-24T00:00:00"/>
    <s v="Government/Professional Associations/Academic Institution"/>
    <s v="United States"/>
    <x v="1"/>
    <n v="6"/>
  </r>
  <r>
    <s v="IPRO"/>
    <n v="1545"/>
    <d v="2025-04-30T00:00:00"/>
    <n v="15467"/>
    <n v="38682"/>
    <d v="2021-05-21T00:00:00"/>
    <s v="Government/Professional Associations/Academic Institution"/>
    <s v="United States"/>
    <x v="0"/>
    <n v="4"/>
  </r>
  <r>
    <s v="Indian Health Service"/>
    <n v="5460"/>
    <d v="2025-01-31T00:00:00"/>
    <n v="14314"/>
    <n v="35850"/>
    <d v="2009-06-25T00:00:00"/>
    <s v="Government/Professional Associations/Academic Institution"/>
    <s v="United States"/>
    <x v="0"/>
    <n v="1"/>
  </r>
  <r>
    <s v="InductiveHealth Informatics"/>
    <n v="2370"/>
    <d v="2025-01-24T00:00:00"/>
    <n v="14204"/>
    <n v="35686"/>
    <d v="2023-01-09T00:00:00"/>
    <s v="Consultant"/>
    <s v="United States"/>
    <x v="0"/>
    <n v="1"/>
  </r>
  <r>
    <s v="InductiveHealth Informatics"/>
    <n v="2370"/>
    <d v="2025-08-05T00:00:00"/>
    <n v="16523"/>
    <n v="40994"/>
    <d v="2023-01-09T00:00:00"/>
    <s v="Consultant"/>
    <s v="United States"/>
    <x v="0"/>
    <n v="8"/>
  </r>
  <r>
    <s v="Infor(US), LLC"/>
    <n v="9685"/>
    <d v="2025-03-07T00:00:00"/>
    <n v="14704"/>
    <n v="36527"/>
    <d v="2010-10-04T00:00:00"/>
    <s v="Supplier/Vendor"/>
    <s v="United States"/>
    <x v="0"/>
    <n v="3"/>
  </r>
  <r>
    <s v="Intelligent Medical Objects (IMO)"/>
    <n v="7200"/>
    <d v="2025-03-04T00:00:00"/>
    <n v="14662"/>
    <n v="36435"/>
    <d v="2012-03-05T00:00:00"/>
    <s v="Supplier/Vendor"/>
    <s v="United States"/>
    <x v="1"/>
    <n v="3"/>
  </r>
  <r>
    <s v="InterSystems"/>
    <n v="38100"/>
    <d v="2025-05-08T00:00:00"/>
    <n v="15607"/>
    <n v="39103"/>
    <d v="2009-07-07T00:00:00"/>
    <s v="Supplier/Vendor"/>
    <s v="United States"/>
    <x v="2"/>
    <n v="5"/>
  </r>
  <r>
    <s v="Interbit Data, Inc."/>
    <n v="2370"/>
    <d v="2025-10-31T00:00:00"/>
    <n v="17627"/>
    <n v="43387"/>
    <d v="2011-08-25T00:00:00"/>
    <s v="Supplier/Vendor"/>
    <s v="United States"/>
    <x v="0"/>
    <n v="10"/>
  </r>
  <r>
    <s v="Intrepid Ascent"/>
    <n v="7200"/>
    <d v="2025-04-18T00:00:00"/>
    <n v="15333"/>
    <n v="38296"/>
    <d v="2025-04-18T00:00:00"/>
    <s v="Consultant"/>
    <s v="United States"/>
    <x v="1"/>
    <n v="4"/>
  </r>
  <r>
    <s v="Iowa Department of Health and Human Services"/>
    <n v="2680"/>
    <d v="2025-10-20T00:00:00"/>
    <n v="17560"/>
    <n v="43300"/>
    <d v="2010-11-04T00:00:00"/>
    <s v="Government/Professional Associations/Academic Institution"/>
    <s v="United States"/>
    <x v="0"/>
    <n v="10"/>
  </r>
  <r>
    <s v="Isak Computing"/>
    <n v="1545"/>
    <d v="2025-03-19T00:00:00"/>
    <n v="14883"/>
    <n v="36839"/>
    <d v="2025-03-19T00:00:00"/>
    <s v="Supplier/Vendor"/>
    <s v="United States"/>
    <x v="0"/>
    <n v="3"/>
  </r>
  <r>
    <s v="J Michael Consulting, LLC"/>
    <n v="1545"/>
    <d v="2025-06-13T00:00:00"/>
    <n v="15892"/>
    <n v="39518"/>
    <d v="2018-06-11T00:00:00"/>
    <s v="Consultant"/>
    <s v="United States"/>
    <x v="0"/>
    <n v="6"/>
  </r>
  <r>
    <s v="Johns Hopkins Hospital"/>
    <n v="14420"/>
    <d v="2025-04-03T00:00:00"/>
    <n v="15106"/>
    <n v="37340"/>
    <d v="2003-12-08T00:00:00"/>
    <s v="Provider"/>
    <s v="United States"/>
    <x v="0"/>
    <n v="4"/>
  </r>
  <r>
    <s v="Kaiser Permanente"/>
    <n v="30290"/>
    <d v="2025-01-24T00:00:00"/>
    <n v="14261"/>
    <n v="35771"/>
    <d v="2006-03-30T00:00:00"/>
    <s v="Provider"/>
    <s v="United States"/>
    <x v="2"/>
    <n v="1"/>
  </r>
  <r>
    <s v="KeyOn Inc."/>
    <n v="1545"/>
    <d v="2025-07-24T00:00:00"/>
    <n v="16362"/>
    <n v="40399"/>
    <d v="2025-07-24T00:00:00"/>
    <s v="Supplier/Vendor"/>
    <s v="United States"/>
    <x v="0"/>
    <n v="7"/>
  </r>
  <r>
    <s v="Kiser Healthcare Solutions, LLC"/>
    <n v="1545"/>
    <d v="2025-02-20T00:00:00"/>
    <n v="14524"/>
    <n v="36150"/>
    <d v="2023-12-20T00:00:00"/>
    <s v="Consultant"/>
    <s v="United States"/>
    <x v="0"/>
    <n v="2"/>
  </r>
  <r>
    <s v="KlearTrust"/>
    <n v="1545"/>
    <d v="2025-01-28T00:00:00"/>
    <n v="14273"/>
    <n v="35804"/>
    <d v="2024-01-12T00:00:00"/>
    <s v="Supplier/Vendor"/>
    <s v="United States"/>
    <x v="0"/>
    <n v="1"/>
  </r>
  <r>
    <s v="Korea Health Information Service"/>
    <n v="16500"/>
    <d v="2025-08-26T00:00:00"/>
    <n v="16931"/>
    <n v="42435"/>
    <d v="2024-08-21T00:00:00"/>
    <s v="Government/Professional Associations/Academic Institution"/>
    <s v=""/>
    <x v="2"/>
    <n v="8"/>
  </r>
  <r>
    <s v="Laboratory Corporation of America"/>
    <n v="14420"/>
    <d v="2025-07-31T00:00:00"/>
    <n v="16450"/>
    <n v="40595"/>
    <d v="2010-04-27T00:00:00"/>
    <s v="Provider"/>
    <s v="United States"/>
    <x v="0"/>
    <n v="7"/>
  </r>
  <r>
    <s v="Labware, Inc."/>
    <n v="7200"/>
    <d v="2025-11-03T00:00:00"/>
    <n v="17644"/>
    <n v="43405"/>
    <d v="2007-11-07T00:00:00"/>
    <s v="Supplier/Vendor"/>
    <s v="United States"/>
    <x v="1"/>
    <n v="11"/>
  </r>
  <r>
    <s v="Lantana Consulting Group"/>
    <n v="9685"/>
    <d v="2025-07-23T00:00:00"/>
    <n v="16354"/>
    <n v="40367"/>
    <d v="2009-08-20T00:00:00"/>
    <s v="Consultant"/>
    <s v="United States"/>
    <x v="0"/>
    <n v="7"/>
  </r>
  <r>
    <s v="Leidos, Inc."/>
    <n v="23375"/>
    <d v="2025-04-04T00:00:00"/>
    <n v="15148"/>
    <n v="37584"/>
    <d v="2003-07-28T00:00:00"/>
    <s v="Supplier/Vendor"/>
    <s v="United States"/>
    <x v="0"/>
    <n v="4"/>
  </r>
  <r>
    <s v="Logibec"/>
    <n v="1905"/>
    <d v="2025-11-13T00:00:00"/>
    <n v="17718"/>
    <n v="43480"/>
    <d v="2008-11-26T00:00:00"/>
    <s v="Supplier/Vendor"/>
    <s v="Canada"/>
    <x v="1"/>
    <n v="11"/>
  </r>
  <r>
    <s v="MEDENT"/>
    <n v="16175"/>
    <d v="2025-02-17T00:00:00"/>
    <n v="14479"/>
    <n v="36084"/>
    <d v="2010-01-27T00:00:00"/>
    <s v="Supplier/Vendor"/>
    <s v="United States"/>
    <x v="0"/>
    <n v="2"/>
  </r>
  <r>
    <s v="MEDITECH, Inc"/>
    <n v="23375"/>
    <d v="2025-01-31T00:00:00"/>
    <n v="14349"/>
    <n v="35900"/>
    <d v="2011-11-14T00:00:00"/>
    <s v="Supplier/Vendor"/>
    <s v="United States"/>
    <x v="0"/>
    <n v="1"/>
  </r>
  <r>
    <s v="MGear"/>
    <n v="1905"/>
    <d v="2025-09-05T00:00:00"/>
    <n v="17089"/>
    <n v="42732"/>
    <d v="2025-09-05T00:00:00"/>
    <s v="Supplier/Vendor"/>
    <s v="United States"/>
    <x v="1"/>
    <n v="9"/>
  </r>
  <r>
    <s v="Mass General Brigham"/>
    <n v="30290"/>
    <d v="2025-05-09T00:00:00"/>
    <n v="15576"/>
    <n v="39000"/>
    <d v="2003-07-08T00:00:00"/>
    <s v="Provider"/>
    <s v="United States"/>
    <x v="2"/>
    <n v="5"/>
  </r>
  <r>
    <s v="Massachusetts Health Data Consortium"/>
    <n v="1905"/>
    <d v="2025-04-16T00:00:00"/>
    <n v="15282"/>
    <n v="38056"/>
    <d v="2020-05-15T00:00:00"/>
    <s v="Government/Professional Associations/Academic Institution"/>
    <s v="United States"/>
    <x v="1"/>
    <n v="4"/>
  </r>
  <r>
    <s v="Mathematica Policy Research"/>
    <n v="23375"/>
    <d v="2025-05-27T00:00:00"/>
    <n v="15735"/>
    <n v="39264"/>
    <d v="2018-03-16T00:00:00"/>
    <s v="Consultant"/>
    <s v="United States"/>
    <x v="0"/>
    <n v="5"/>
  </r>
  <r>
    <s v="Mayo Clinic"/>
    <n v="14420"/>
    <d v="2025-07-25T00:00:00"/>
    <n v="16383"/>
    <n v="40464"/>
    <d v="1992-11-27T00:00:00"/>
    <s v="Provider"/>
    <s v="United States"/>
    <x v="0"/>
    <n v="7"/>
  </r>
  <r>
    <s v="Mayo Clinic"/>
    <n v="14420"/>
    <d v="2025-01-29T00:00:00"/>
    <n v="14284"/>
    <n v="35819"/>
    <d v="1992-11-27T00:00:00"/>
    <s v="Provider"/>
    <s v="United States"/>
    <x v="0"/>
    <n v="1"/>
  </r>
  <r>
    <s v="McKesson Corporation"/>
    <n v="23375"/>
    <d v="2025-01-09T00:00:00"/>
    <n v="13901"/>
    <n v="35281"/>
    <d v="2003-12-09T00:00:00"/>
    <s v="Supplier/Vendor"/>
    <s v="United States"/>
    <x v="0"/>
    <n v="1"/>
  </r>
  <r>
    <s v="MedCom"/>
    <n v="1905"/>
    <d v="2025-05-28T00:00:00"/>
    <n v="15744"/>
    <n v="39273"/>
    <d v="2022-08-17T00:00:00"/>
    <s v="Government/Professional Associations/Academic Institution"/>
    <s v="Denmark"/>
    <x v="1"/>
    <n v="5"/>
  </r>
  <r>
    <s v="MedicaSoft"/>
    <n v="2370"/>
    <d v="2025-02-04T00:00:00"/>
    <n v="14365"/>
    <n v="35916"/>
    <d v="2014-12-15T00:00:00"/>
    <s v="Supplier/Vendor"/>
    <s v="United States"/>
    <x v="0"/>
    <n v="2"/>
  </r>
  <r>
    <s v="Mediclinic Southern Africa"/>
    <n v="1650"/>
    <d v="2025-04-03T00:00:00"/>
    <n v="15084"/>
    <n v="37267"/>
    <d v="2016-03-30T00:00:00"/>
    <s v="Provider"/>
    <s v="South Africa"/>
    <x v="0"/>
    <n v="4"/>
  </r>
  <r>
    <s v="Medicomp Systems, Inc."/>
    <n v="2370"/>
    <d v="2025-02-24T00:00:00"/>
    <n v="14564"/>
    <n v="36212"/>
    <d v="2013-04-22T00:00:00"/>
    <s v="Supplier/Vendor"/>
    <s v="United States"/>
    <x v="0"/>
    <n v="2"/>
  </r>
  <r>
    <s v="Medtronic"/>
    <n v="23375"/>
    <d v="2025-06-10T00:00:00"/>
    <n v="15858"/>
    <n v="39470"/>
    <d v="2005-01-11T00:00:00"/>
    <s v="Supplier/Vendor"/>
    <s v="United States"/>
    <x v="0"/>
    <n v="6"/>
  </r>
  <r>
    <s v="Merck &amp; Co. Inc."/>
    <n v="23375"/>
    <d v="2025-06-12T00:00:00"/>
    <n v="15875"/>
    <n v="39488"/>
    <d v="2002-09-10T00:00:00"/>
    <s v="Pharmaceutical"/>
    <s v="United States"/>
    <x v="0"/>
    <n v="6"/>
  </r>
  <r>
    <s v="Michigan Department of Health and Human Services"/>
    <n v="3455"/>
    <d v="2025-02-11T00:00:00"/>
    <n v="14441"/>
    <n v="36032"/>
    <d v="2024-02-22T00:00:00"/>
    <s v="Government/Professional Associations/Academic Institution"/>
    <s v="United States"/>
    <x v="0"/>
    <n v="2"/>
  </r>
  <r>
    <s v="Minnesota Department of Health"/>
    <n v="2680"/>
    <d v="2025-07-18T00:00:00"/>
    <n v="16330"/>
    <n v="40308"/>
    <d v="2005-07-22T00:00:00"/>
    <s v="Government/Professional Associations/Academic Institution"/>
    <s v="United States"/>
    <x v="0"/>
    <n v="7"/>
  </r>
  <r>
    <s v="ModMed"/>
    <n v="23375"/>
    <d v="2025-10-06T00:00:00"/>
    <n v="17446"/>
    <n v="43181"/>
    <d v="2010-10-26T00:00:00"/>
    <s v="Supplier/Vendor"/>
    <s v="United States"/>
    <x v="0"/>
    <n v="10"/>
  </r>
  <r>
    <s v="Mosaic Life Tech, LLC"/>
    <n v="1545"/>
    <d v="2025-07-01T00:00:00"/>
    <n v="16062"/>
    <n v="39802"/>
    <d v="2025-07-01T00:00:00"/>
    <s v="Consultant"/>
    <s v="United States"/>
    <x v="0"/>
    <n v="7"/>
  </r>
  <r>
    <s v="NAACCR"/>
    <n v="1545"/>
    <d v="2025-07-25T00:00:00"/>
    <n v="16384"/>
    <n v="40465"/>
    <d v="1997-12-23T00:00:00"/>
    <s v="Government/Professional Associations/Academic Institution"/>
    <s v="United States"/>
    <x v="0"/>
    <n v="7"/>
  </r>
  <r>
    <s v="NCQA"/>
    <n v="16500"/>
    <d v="2025-03-04T00:00:00"/>
    <n v="14663"/>
    <n v="36436"/>
    <d v="2012-04-05T00:00:00"/>
    <s v="Government/Professional Associations/Academic Institution"/>
    <s v="United States"/>
    <x v="2"/>
    <n v="3"/>
  </r>
  <r>
    <s v="NICTIZ"/>
    <n v="16480"/>
    <d v="2025-02-21T00:00:00"/>
    <n v="14560"/>
    <n v="36208"/>
    <d v="2000-11-15T00:00:00"/>
    <s v="Government/Professional Associations/Academic Institution"/>
    <s v="Netherlands"/>
    <x v="1"/>
    <n v="2"/>
  </r>
  <r>
    <s v="NIH/Department of Clinical Research Informatics"/>
    <n v="16480"/>
    <d v="2025-11-26T00:00:00"/>
    <n v="17858"/>
    <n v="43622"/>
    <d v="2010-04-18T00:00:00"/>
    <s v="Government/Professional Associations/Academic Institution"/>
    <s v="United States"/>
    <x v="1"/>
    <n v="11"/>
  </r>
  <r>
    <s v="NJDOH"/>
    <n v="2680"/>
    <d v="2025-11-12T00:00:00"/>
    <n v="17709"/>
    <n v="43470"/>
    <d v="2013-09-18T00:00:00"/>
    <s v="Government/Professional Associations/Academic Institution"/>
    <s v="United States"/>
    <x v="0"/>
    <n v="11"/>
  </r>
  <r>
    <s v="NYCHHC - EITS"/>
    <n v="1545"/>
    <d v="2025-05-29T00:00:00"/>
    <n v="15757"/>
    <n v="39305"/>
    <d v="2025-05-29T00:00:00"/>
    <s v="Government/Professional Associations/Academic Institution"/>
    <s v="United States"/>
    <x v="0"/>
    <n v="5"/>
  </r>
  <r>
    <s v="National Association of Dental Plans"/>
    <n v="1545"/>
    <d v="2025-01-06T00:00:00"/>
    <n v="13776"/>
    <n v="35134"/>
    <d v="2006-01-03T00:00:00"/>
    <s v="Government/Professional Associations/Academic Institution"/>
    <s v="United States"/>
    <x v="0"/>
    <n v="1"/>
  </r>
  <r>
    <s v="National Cancer Institute"/>
    <n v="7010"/>
    <d v="2025-08-11T00:00:00"/>
    <n v="16583"/>
    <n v="41325"/>
    <d v="2001-11-19T00:00:00"/>
    <s v="Government/Professional Associations/Academic Institution"/>
    <s v="United States"/>
    <x v="0"/>
    <n v="8"/>
  </r>
  <r>
    <s v="National Institute of Standards and Technology"/>
    <n v="5460"/>
    <d v="2025-06-25T00:00:00"/>
    <n v="15993"/>
    <n v="39698"/>
    <d v="2002-07-29T00:00:00"/>
    <s v="Government/Professional Associations/Academic Institution"/>
    <s v="United States"/>
    <x v="0"/>
    <n v="6"/>
  </r>
  <r>
    <s v="National Library of Medicine"/>
    <n v="5460"/>
    <d v="2025-05-14T00:00:00"/>
    <n v="15633"/>
    <n v="39150"/>
    <d v="1992-01-01T00:00:00"/>
    <s v="Government/Professional Associations/Academic Institution"/>
    <s v="United States"/>
    <x v="0"/>
    <n v="5"/>
  </r>
  <r>
    <s v="National Marrow Donor Program"/>
    <n v="1905"/>
    <d v="2025-07-26T00:00:00"/>
    <n v="16394"/>
    <n v="40480"/>
    <d v="2011-08-12T00:00:00"/>
    <s v="Government/Professional Associations/Academic Institution"/>
    <s v="United States"/>
    <x v="1"/>
    <n v="7"/>
  </r>
  <r>
    <s v="Nava"/>
    <n v="5460"/>
    <d v="2025-02-12T00:00:00"/>
    <n v="14446"/>
    <n v="36044"/>
    <d v="2023-05-23T00:00:00"/>
    <s v="Government/Professional Associations/Academic Institution"/>
    <s v="United States"/>
    <x v="0"/>
    <n v="2"/>
  </r>
  <r>
    <s v="Neantix Inc"/>
    <n v="1905"/>
    <d v="2025-10-29T00:00:00"/>
    <n v="17621"/>
    <n v="43381"/>
    <d v="2024-11-04T00:00:00"/>
    <s v="Supplier/Vendor"/>
    <s v="United States"/>
    <x v="1"/>
    <n v="10"/>
  </r>
  <r>
    <s v="New Fields Technologies LLC"/>
    <n v="2990"/>
    <d v="2025-01-25T00:00:00"/>
    <n v="14229"/>
    <n v="35739"/>
    <d v="2025-01-25T00:00:00"/>
    <s v="Supplier/Vendor"/>
    <s v="United States"/>
    <x v="1"/>
    <n v="1"/>
  </r>
  <r>
    <s v="New York State Department of Health"/>
    <n v="2680"/>
    <d v="2025-07-16T00:00:00"/>
    <n v="16275"/>
    <n v="40172"/>
    <d v="2010-03-09T00:00:00"/>
    <s v="Government/Professional Associations/Academic Institution"/>
    <s v="United States"/>
    <x v="0"/>
    <n v="7"/>
  </r>
  <r>
    <s v="New York-Presbyterian Hospital"/>
    <n v="14420"/>
    <d v="2025-06-12T00:00:00"/>
    <n v="15873"/>
    <n v="39486"/>
    <d v="1993-01-05T00:00:00"/>
    <s v="Provider"/>
    <s v="United States"/>
    <x v="0"/>
    <n v="6"/>
  </r>
  <r>
    <s v="Next Level Health Innovations"/>
    <n v="2990"/>
    <d v="2025-06-06T00:00:00"/>
    <n v="15823"/>
    <n v="39395"/>
    <d v="2023-05-09T00:00:00"/>
    <s v="Consultant"/>
    <s v="United States"/>
    <x v="1"/>
    <n v="6"/>
  </r>
  <r>
    <s v="NextGen Healthcare Information Systems, Inc."/>
    <n v="4675"/>
    <d v="2025-07-25T00:00:00"/>
    <n v="16386"/>
    <n v="40467"/>
    <d v="2010-02-02T00:00:00"/>
    <s v="Supplier/Vendor"/>
    <s v="United States"/>
    <x v="0"/>
    <n v="7"/>
  </r>
  <r>
    <s v="NextGen Healthcare Information Systems, Inc."/>
    <n v="18700"/>
    <d v="2025-07-25T00:00:00"/>
    <n v="16385"/>
    <n v="40466"/>
    <d v="2010-02-02T00:00:00"/>
    <s v="Supplier/Vendor"/>
    <s v="United States"/>
    <x v="0"/>
    <n v="7"/>
  </r>
  <r>
    <s v="NoMoreClipboard.com"/>
    <n v="2370"/>
    <d v="2025-09-02T00:00:00"/>
    <n v="16999"/>
    <n v="42527"/>
    <d v="2014-07-07T00:00:00"/>
    <s v="Supplier/Vendor"/>
    <s v="United States"/>
    <x v="0"/>
    <n v="9"/>
  </r>
  <r>
    <s v="Northwestern Medicine"/>
    <n v="18025"/>
    <d v="2025-02-18T00:00:00"/>
    <n v="14494"/>
    <n v="36099"/>
    <d v="2020-04-15T00:00:00"/>
    <s v="Provider"/>
    <s v="United States"/>
    <x v="1"/>
    <n v="2"/>
  </r>
  <r>
    <s v="OR.NET"/>
    <n v="1545"/>
    <d v="2025-04-02T00:00:00"/>
    <n v="15092"/>
    <n v="37296"/>
    <d v="2020-05-28T00:00:00"/>
    <s v="Government/Professional Associations/Academic Institution"/>
    <s v="Germany"/>
    <x v="0"/>
    <n v="4"/>
  </r>
  <r>
    <s v="Oddball, Inc."/>
    <n v="1545"/>
    <d v="2025-11-24T00:00:00"/>
    <n v="17823"/>
    <n v="43588"/>
    <d v="2022-05-12T00:00:00"/>
    <s v="Consultant"/>
    <s v="United States"/>
    <x v="0"/>
    <n v="11"/>
  </r>
  <r>
    <s v="Office of the National Coordinator for Health IT"/>
    <n v="36050"/>
    <d v="2025-02-07T00:00:00"/>
    <n v="14418"/>
    <n v="36005"/>
    <d v="2010-09-20T00:00:00"/>
    <s v="Government/Professional Associations/Academic Institution"/>
    <s v="United States"/>
    <x v="2"/>
    <n v="2"/>
  </r>
  <r>
    <s v="Oklahoma State Department of Health"/>
    <n v="2680"/>
    <d v="2025-07-14T00:00:00"/>
    <n v="16256"/>
    <n v="40136"/>
    <d v="2011-03-21T00:00:00"/>
    <s v="Government/Professional Associations/Academic Institution"/>
    <s v="United States"/>
    <x v="0"/>
    <n v="7"/>
  </r>
  <r>
    <s v="Optum"/>
    <n v="38100"/>
    <d v="2025-08-29T00:00:00"/>
    <n v="16965"/>
    <n v="42480"/>
    <d v="1996-03-13T00:00:00"/>
    <s v="Supplier/Vendor"/>
    <s v="United States"/>
    <x v="2"/>
    <n v="8"/>
  </r>
  <r>
    <s v="Oracle"/>
    <n v="38100"/>
    <d v="2025-07-25T00:00:00"/>
    <n v="16397"/>
    <n v="40483"/>
    <d v="2009-05-12T00:00:00"/>
    <s v="Supplier/Vendor"/>
    <s v="United States"/>
    <x v="2"/>
    <n v="7"/>
  </r>
  <r>
    <s v="Oregon Public Health Division"/>
    <n v="2680"/>
    <d v="2025-11-18T00:00:00"/>
    <n v="17745"/>
    <n v="43508"/>
    <d v="2011-12-30T00:00:00"/>
    <s v="Government/Professional Associations/Academic Institution"/>
    <s v="United States"/>
    <x v="0"/>
    <n v="11"/>
  </r>
  <r>
    <s v="Patient Centric Solutions"/>
    <n v="1545"/>
    <d v="2025-04-30T00:00:00"/>
    <n v="15464"/>
    <n v="38674"/>
    <d v="2025-04-30T00:00:00"/>
    <s v="Supplier/Vendor"/>
    <s v="United States"/>
    <x v="0"/>
    <n v="4"/>
  </r>
  <r>
    <s v="Patient Resource LLC"/>
    <n v="1545"/>
    <d v="2025-04-09T00:00:00"/>
    <n v="15193"/>
    <n v="37734"/>
    <d v="2012-06-26T00:00:00"/>
    <s v="Supplier/Vendor"/>
    <s v="United States"/>
    <x v="0"/>
    <n v="4"/>
  </r>
  <r>
    <s v="Pfizer"/>
    <n v="38100"/>
    <d v="2025-06-25T00:00:00"/>
    <n v="16008"/>
    <n v="39716"/>
    <d v="2004-01-26T00:00:00"/>
    <s v="Pharmaceutical"/>
    <s v="United States"/>
    <x v="2"/>
    <n v="6"/>
  </r>
  <r>
    <s v="Pharmaceuticals &amp; Medical Devices Agency"/>
    <n v="5460"/>
    <d v="2025-06-30T00:00:00"/>
    <n v="16060"/>
    <n v="39800"/>
    <d v="2007-07-23T00:00:00"/>
    <s v="Government/Professional Associations/Academic Institution"/>
    <s v="Japan"/>
    <x v="0"/>
    <n v="6"/>
  </r>
  <r>
    <s v="Philips Healthcare"/>
    <n v="38100"/>
    <d v="2025-06-09T00:00:00"/>
    <n v="15838"/>
    <n v="39415"/>
    <d v="2003-02-24T00:00:00"/>
    <s v="Supplier/Vendor"/>
    <s v="United States"/>
    <x v="2"/>
    <n v="6"/>
  </r>
  <r>
    <s v="PointClickCare"/>
    <n v="38100"/>
    <d v="2025-11-05T00:00:00"/>
    <n v="17668"/>
    <n v="43431"/>
    <d v="2015-07-14T00:00:00"/>
    <s v="Supplier/Vendor"/>
    <s v="Canada"/>
    <x v="2"/>
    <n v="11"/>
  </r>
  <r>
    <s v="Premier Healthcare Alliance"/>
    <n v="23375"/>
    <d v="2025-03-14T00:00:00"/>
    <n v="14807"/>
    <n v="36714"/>
    <d v="2011-06-24T00:00:00"/>
    <s v="Supplier/Vendor"/>
    <s v="United States"/>
    <x v="0"/>
    <n v="3"/>
  </r>
  <r>
    <s v="Professional Laboratory Management, Inc."/>
    <n v="1545"/>
    <d v="2025-01-06T00:00:00"/>
    <n v="13773"/>
    <n v="35131"/>
    <d v="2010-02-16T00:00:00"/>
    <s v="Consultant"/>
    <s v="United States"/>
    <x v="0"/>
    <n v="1"/>
  </r>
  <r>
    <s v="Prometheus Computing LLC"/>
    <n v="1545"/>
    <d v="2025-11-21T00:00:00"/>
    <n v="17820"/>
    <n v="43585"/>
    <d v="2010-11-16T00:00:00"/>
    <s v="Supplier/Vendor"/>
    <s v="United States"/>
    <x v="0"/>
    <n v="11"/>
  </r>
  <r>
    <s v="Purplelab"/>
    <n v="2990"/>
    <d v="2025-01-10T00:00:00"/>
    <n v="13924"/>
    <n v="35305"/>
    <d v="2025-01-07T00:00:00"/>
    <s v="Supplier/Vendor"/>
    <s v="United States"/>
    <x v="1"/>
    <n v="1"/>
  </r>
  <r>
    <s v="Quest Diagnostics, Incorporated"/>
    <n v="30290"/>
    <d v="2025-11-03T00:00:00"/>
    <n v="17649"/>
    <n v="43410"/>
    <d v="1996-01-19T00:00:00"/>
    <s v="Provider"/>
    <s v="United States"/>
    <x v="2"/>
    <n v="11"/>
  </r>
  <r>
    <s v="Quest Diagnostics, Incorporated"/>
    <n v="30290"/>
    <d v="2025-01-16T00:00:00"/>
    <n v="14118"/>
    <n v="35580"/>
    <d v="1996-01-19T00:00:00"/>
    <s v="Provider"/>
    <s v="United States"/>
    <x v="2"/>
    <n v="1"/>
  </r>
  <r>
    <s v="RTI International"/>
    <n v="1905"/>
    <d v="2025-10-09T00:00:00"/>
    <n v="17474"/>
    <n v="43209"/>
    <d v="2011-01-12T00:00:00"/>
    <s v="Government/Professional Associations/Academic Institution"/>
    <s v="United States"/>
    <x v="1"/>
    <n v="10"/>
  </r>
  <r>
    <s v="Rady Children's Hospital"/>
    <n v="2680"/>
    <d v="2025-08-20T00:00:00"/>
    <n v="16793"/>
    <n v="42136"/>
    <d v="2007-07-30T00:00:00"/>
    <s v="Provider"/>
    <s v="United States"/>
    <x v="0"/>
    <n v="8"/>
  </r>
  <r>
    <s v="Ready Computing LLC"/>
    <n v="21630"/>
    <d v="2025-03-07T00:00:00"/>
    <n v="14694"/>
    <n v="36517"/>
    <d v="2015-10-27T00:00:00"/>
    <s v="Supplier/Vendor"/>
    <s v="United States"/>
    <x v="2"/>
    <n v="3"/>
  </r>
  <r>
    <s v="Redington-Fairview Hospital"/>
    <n v="1650"/>
    <d v="2025-11-20T00:00:00"/>
    <n v="17795"/>
    <n v="43559"/>
    <d v="2018-12-31T00:00:00"/>
    <s v="Provider"/>
    <s v="United States"/>
    <x v="0"/>
    <n v="11"/>
  </r>
  <r>
    <s v="Reed Technology and Information Services Inc."/>
    <n v="2370"/>
    <d v="2025-03-10T00:00:00"/>
    <n v="14701"/>
    <n v="36524"/>
    <d v="2005-12-22T00:00:00"/>
    <s v="Supplier/Vendor"/>
    <s v="United States"/>
    <x v="0"/>
    <n v="3"/>
  </r>
  <r>
    <s v="Regenstrief Institute, Inc."/>
    <n v="2160"/>
    <d v="2025-05-01T00:00:00"/>
    <n v="15478"/>
    <n v="38710"/>
    <d v="1998-08-25T00:00:00"/>
    <s v="Provider"/>
    <s v="United States"/>
    <x v="1"/>
    <n v="5"/>
  </r>
  <r>
    <s v="Registry Clearinghouse"/>
    <n v="1545"/>
    <d v="2025-03-05T00:00:00"/>
    <n v="14670"/>
    <n v="36450"/>
    <d v="2019-10-07T00:00:00"/>
    <s v="Supplier/Vendor"/>
    <s v="United States"/>
    <x v="0"/>
    <n v="3"/>
  </r>
  <r>
    <s v="Remo Health"/>
    <n v="2160"/>
    <d v="2025-03-28T00:00:00"/>
    <n v="15011"/>
    <n v="37072"/>
    <d v="2024-04-06T00:00:00"/>
    <s v="Provider"/>
    <s v="United States"/>
    <x v="1"/>
    <n v="3"/>
  </r>
  <r>
    <s v="RevDoc, LLC"/>
    <n v="1545"/>
    <d v="2025-07-22T00:00:00"/>
    <n v="16339"/>
    <n v="40319"/>
    <d v="2023-08-30T00:00:00"/>
    <s v="Supplier/Vendor"/>
    <s v="United States"/>
    <x v="0"/>
    <n v="7"/>
  </r>
  <r>
    <s v="Rhapsody"/>
    <n v="16175"/>
    <d v="2025-04-04T00:00:00"/>
    <n v="15149"/>
    <n v="37585"/>
    <d v="1998-03-27T00:00:00"/>
    <s v="Supplier/Vendor"/>
    <s v="United States"/>
    <x v="0"/>
    <n v="4"/>
  </r>
  <r>
    <s v="Roche Diagnostics International Ltd."/>
    <n v="23375"/>
    <d v="2025-01-10T00:00:00"/>
    <n v="14004"/>
    <n v="35416"/>
    <d v="2013-01-28T00:00:00"/>
    <s v="Supplier/Vendor"/>
    <s v="Switzerland"/>
    <x v="0"/>
    <n v="1"/>
  </r>
  <r>
    <s v="Rosch Visionary Systems"/>
    <n v="1545"/>
    <d v="2025-11-10T00:00:00"/>
    <n v="17693"/>
    <n v="43454"/>
    <d v="2004-11-30T00:00:00"/>
    <s v="Supplier/Vendor"/>
    <s v="United States"/>
    <x v="0"/>
    <n v="11"/>
  </r>
  <r>
    <s v="SLI Compliance"/>
    <n v="1545"/>
    <d v="2025-01-20T00:00:00"/>
    <n v="14144"/>
    <n v="35616"/>
    <d v="2013-02-12T00:00:00"/>
    <s v="Government/Professional Associations/Academic Institution"/>
    <s v="United States"/>
    <x v="0"/>
    <n v="1"/>
  </r>
  <r>
    <s v="SMART Health IT"/>
    <n v="1905"/>
    <d v="2025-06-04T00:00:00"/>
    <n v="15800"/>
    <n v="39370"/>
    <d v="2018-06-06T00:00:00"/>
    <s v="Government/Professional Associations/Academic Institution"/>
    <s v="United States"/>
    <x v="1"/>
    <n v="6"/>
  </r>
  <r>
    <s v="Safe Health Systems, Inc."/>
    <n v="2370"/>
    <d v="2025-03-18T00:00:00"/>
    <n v="14860"/>
    <n v="36779"/>
    <d v="2023-08-12T00:00:00"/>
    <s v="Supplier/Vendor"/>
    <s v="United States"/>
    <x v="0"/>
    <n v="3"/>
  </r>
  <r>
    <s v="Safe Software Inc."/>
    <n v="1545"/>
    <d v="2025-01-30T00:00:00"/>
    <n v="14312"/>
    <n v="35848"/>
    <d v="2024-02-14T00:00:00"/>
    <s v="Supplier/Vendor"/>
    <s v="Canada"/>
    <x v="0"/>
    <n v="1"/>
  </r>
  <r>
    <s v="Samvit Solutions"/>
    <n v="1905"/>
    <d v="2025-09-10T00:00:00"/>
    <n v="17154"/>
    <n v="42830"/>
    <d v="2018-09-26T00:00:00"/>
    <s v="Consultant"/>
    <s v="United States"/>
    <x v="1"/>
    <n v="9"/>
  </r>
  <r>
    <s v="Seqster"/>
    <n v="2370"/>
    <d v="2025-07-30T00:00:00"/>
    <n v="16434"/>
    <n v="40553"/>
    <d v="2024-07-24T00:00:00"/>
    <s v="Supplier/Vendor"/>
    <s v="United States"/>
    <x v="0"/>
    <n v="7"/>
  </r>
  <r>
    <s v="ServiceNow"/>
    <n v="9685"/>
    <d v="2025-05-21T00:00:00"/>
    <n v="15708"/>
    <n v="39237"/>
    <d v="2023-04-03T00:00:00"/>
    <s v="Supplier/Vendor"/>
    <s v="United States"/>
    <x v="0"/>
    <n v="5"/>
  </r>
  <r>
    <s v="Skyward IT Solutions"/>
    <n v="2990"/>
    <d v="2025-10-16T00:00:00"/>
    <n v="17520"/>
    <n v="43257"/>
    <d v="2023-01-31T00:00:00"/>
    <s v="Supplier/Vendor"/>
    <s v="United States"/>
    <x v="1"/>
    <n v="10"/>
  </r>
  <r>
    <s v="SoftDev Incorporated"/>
    <n v="2370"/>
    <d v="2025-04-21T00:00:00"/>
    <n v="15364"/>
    <n v="38405"/>
    <d v="2022-04-26T00:00:00"/>
    <s v="Supplier/Vendor"/>
    <s v="United States"/>
    <x v="0"/>
    <n v="4"/>
  </r>
  <r>
    <s v="Solventum"/>
    <n v="38100"/>
    <d v="2025-10-09T00:00:00"/>
    <n v="17472"/>
    <n v="43207"/>
    <d v="2025-10-09T00:00:00"/>
    <s v="Supplier/Vendor"/>
    <s v="United States"/>
    <x v="2"/>
    <n v="10"/>
  </r>
  <r>
    <s v="Stanford Children's Health"/>
    <n v="14420"/>
    <d v="2025-05-16T00:00:00"/>
    <n v="15652"/>
    <n v="39172"/>
    <d v="2001-10-10T00:00:00"/>
    <s v="Provider"/>
    <s v="United States"/>
    <x v="0"/>
    <n v="5"/>
  </r>
  <r>
    <s v="StationMD, PC"/>
    <n v="1650"/>
    <d v="2025-07-07T00:00:00"/>
    <n v="16184"/>
    <n v="39955"/>
    <d v="2021-08-05T00:00:00"/>
    <s v="Provider"/>
    <s v="United States"/>
    <x v="0"/>
    <n v="7"/>
  </r>
  <r>
    <s v="Stedi"/>
    <n v="1545"/>
    <d v="2025-03-17T00:00:00"/>
    <n v="14823"/>
    <n v="36736"/>
    <d v="2021-12-08T00:00:00"/>
    <s v="Supplier/Vendor"/>
    <s v="United States"/>
    <x v="0"/>
    <n v="3"/>
  </r>
  <r>
    <s v="Stratevora"/>
    <n v="1545"/>
    <d v="2025-05-14T00:00:00"/>
    <n v="15635"/>
    <n v="39152"/>
    <d v="2025-05-14T00:00:00"/>
    <s v="Consultant"/>
    <s v="United States"/>
    <x v="0"/>
    <n v="5"/>
  </r>
  <r>
    <s v="Surescripts"/>
    <n v="23375"/>
    <d v="2025-03-21T00:00:00"/>
    <n v="14909"/>
    <n v="36880"/>
    <d v="2002-12-12T00:00:00"/>
    <s v="Supplier/Vendor"/>
    <s v="United States"/>
    <x v="0"/>
    <n v="3"/>
  </r>
  <r>
    <s v="Technology &amp; Transformation, HSE"/>
    <n v="1545"/>
    <d v="2025-10-14T00:00:00"/>
    <n v="17505"/>
    <n v="43241"/>
    <d v="2009-11-11T00:00:00"/>
    <s v="Government/Professional Associations/Academic Institution"/>
    <s v="Ireland"/>
    <x v="0"/>
    <n v="10"/>
  </r>
  <r>
    <s v="Telligen"/>
    <n v="18950"/>
    <d v="2025-01-17T00:00:00"/>
    <n v="14140"/>
    <n v="35607"/>
    <d v="2005-12-12T00:00:00"/>
    <s v="Consultant"/>
    <s v="United States"/>
    <x v="0"/>
    <n v="1"/>
  </r>
  <r>
    <s v="Tennessee Department of Health"/>
    <n v="2680"/>
    <d v="2025-01-17T00:00:00"/>
    <n v="14123"/>
    <n v="35590"/>
    <d v="2001-04-04T00:00:00"/>
    <s v="Government/Professional Associations/Academic Institution"/>
    <s v="United States"/>
    <x v="0"/>
    <n v="1"/>
  </r>
  <r>
    <s v="TerraFrame, Inc."/>
    <n v="1545"/>
    <d v="2025-08-19T00:00:00"/>
    <n v="16720"/>
    <n v="41970"/>
    <d v="2024-07-28T00:00:00"/>
    <s v="Consultant"/>
    <s v=""/>
    <x v="0"/>
    <n v="8"/>
  </r>
  <r>
    <s v="Tetra Fields LLC"/>
    <n v="1545"/>
    <d v="2025-01-22T00:00:00"/>
    <n v="14170"/>
    <n v="35654"/>
    <d v="2025-01-22T00:00:00"/>
    <s v="Supplier/Vendor"/>
    <s v="United States"/>
    <x v="0"/>
    <n v="1"/>
  </r>
  <r>
    <s v="Texas Department of State Health Services"/>
    <n v="2680"/>
    <d v="2025-03-17T00:00:00"/>
    <n v="14811"/>
    <n v="36724"/>
    <d v="2009-12-15T00:00:00"/>
    <s v="Government/Professional Associations/Academic Institution"/>
    <s v="United States"/>
    <x v="0"/>
    <n v="3"/>
  </r>
  <r>
    <s v="The CBORD Group, Inc"/>
    <n v="9685"/>
    <d v="2025-04-03T00:00:00"/>
    <n v="15105"/>
    <n v="37339"/>
    <d v="2007-08-07T00:00:00"/>
    <s v="Supplier/Vendor"/>
    <s v="United States"/>
    <x v="0"/>
    <n v="4"/>
  </r>
  <r>
    <s v="The Joint Commission"/>
    <n v="1545"/>
    <d v="2025-10-21T00:00:00"/>
    <n v="17580"/>
    <n v="43322"/>
    <d v="2010-10-20T00:00:00"/>
    <s v="Government/Professional Associations/Academic Institution"/>
    <s v="United States"/>
    <x v="0"/>
    <n v="10"/>
  </r>
  <r>
    <s v="The SIMI Group, Inc."/>
    <n v="2370"/>
    <d v="2025-01-24T00:00:00"/>
    <n v="14214"/>
    <n v="35724"/>
    <d v="2010-06-16T00:00:00"/>
    <s v="Consultant"/>
    <s v="United States"/>
    <x v="0"/>
    <n v="1"/>
  </r>
  <r>
    <s v="The Sequoia Project"/>
    <n v="1905"/>
    <d v="2025-07-17T00:00:00"/>
    <n v="16284"/>
    <n v="40198"/>
    <d v="2015-06-17T00:00:00"/>
    <s v="Government/Professional Associations/Academic Institution"/>
    <s v="United States"/>
    <x v="1"/>
    <n v="7"/>
  </r>
  <r>
    <s v="Therap Services LLC"/>
    <n v="12050"/>
    <d v="2025-04-08T00:00:00"/>
    <n v="15180"/>
    <n v="37708"/>
    <d v="2009-11-17T00:00:00"/>
    <s v="Supplier/Vendor"/>
    <s v="United States"/>
    <x v="1"/>
    <n v="4"/>
  </r>
  <r>
    <s v="Topology Health"/>
    <n v="1545"/>
    <d v="2025-10-17T00:00:00"/>
    <n v="17532"/>
    <n v="43269"/>
    <d v="2024-12-16T00:00:00"/>
    <s v="Supplier/Vendor"/>
    <s v="Canada"/>
    <x v="0"/>
    <n v="10"/>
  </r>
  <r>
    <s v="Trisotech"/>
    <n v="2370"/>
    <d v="2025-10-03T00:00:00"/>
    <n v="17424"/>
    <n v="43159"/>
    <d v="2023-10-17T00:00:00"/>
    <s v="Supplier/Vendor"/>
    <s v="Canada"/>
    <x v="0"/>
    <n v="10"/>
  </r>
  <r>
    <s v="Trisotech"/>
    <n v="2370"/>
    <d v="2025-09-24T00:00:00"/>
    <n v="17328"/>
    <n v="43054"/>
    <d v="2023-10-17T00:00:00"/>
    <s v="Supplier/Vendor"/>
    <s v="Canada"/>
    <x v="0"/>
    <n v="9"/>
  </r>
  <r>
    <s v="Trisotech"/>
    <n v="620"/>
    <d v="2025-10-03T00:00:00"/>
    <n v="17427"/>
    <n v="43162"/>
    <d v="2023-10-17T00:00:00"/>
    <s v="Supplier/Vendor"/>
    <s v="Canada"/>
    <x v="1"/>
    <n v="10"/>
  </r>
  <r>
    <s v="U.S. Department of Veterans Affairs"/>
    <n v="36050"/>
    <d v="2025-06-20T00:00:00"/>
    <n v="15959"/>
    <n v="39634"/>
    <d v="1996-07-03T00:00:00"/>
    <s v="Government/Professional Associations/Academic Institution"/>
    <s v="United States"/>
    <x v="2"/>
    <n v="6"/>
  </r>
  <r>
    <s v="UC Davis Health"/>
    <n v="1905"/>
    <d v="2025-06-27T00:00:00"/>
    <n v="16014"/>
    <n v="39725"/>
    <d v="2013-05-21T00:00:00"/>
    <s v="Government/Professional Associations/Academic Institution"/>
    <s v="United States"/>
    <x v="1"/>
    <n v="6"/>
  </r>
  <r>
    <s v="UK HealthCare"/>
    <n v="2680"/>
    <d v="2025-10-01T00:00:00"/>
    <n v="17405"/>
    <n v="43140"/>
    <d v="1992-12-20T00:00:00"/>
    <s v="Provider"/>
    <s v="United States"/>
    <x v="0"/>
    <n v="10"/>
  </r>
  <r>
    <s v="UNC School of Medicine"/>
    <n v="1905"/>
    <d v="2025-05-28T00:00:00"/>
    <n v="15749"/>
    <n v="39289"/>
    <d v="2011-03-28T00:00:00"/>
    <s v="Government/Professional Associations/Academic Institution"/>
    <s v="United States"/>
    <x v="1"/>
    <n v="5"/>
  </r>
  <r>
    <s v="USAging"/>
    <n v="1905"/>
    <d v="2025-03-09T00:00:00"/>
    <n v="14697"/>
    <n v="36520"/>
    <d v="2022-06-06T00:00:00"/>
    <s v="Government/Professional Associations/Academic Institution"/>
    <s v="United States"/>
    <x v="1"/>
    <n v="3"/>
  </r>
  <r>
    <s v="UW Medicine Information Technology Services"/>
    <n v="1905"/>
    <d v="2025-09-03T00:00:00"/>
    <n v="17027"/>
    <n v="43328"/>
    <d v="1998-05-14T00:00:00"/>
    <s v="Government/Professional Associations/Academic Institution"/>
    <s v="United States"/>
    <x v="1"/>
    <n v="9"/>
  </r>
  <r>
    <s v="United Physicians"/>
    <n v="1905"/>
    <d v="2025-10-07T00:00:00"/>
    <n v="17451"/>
    <n v="43186"/>
    <d v="2015-11-30T00:00:00"/>
    <s v="Government/Professional Associations/Academic Institution"/>
    <s v="United States"/>
    <x v="1"/>
    <n v="10"/>
  </r>
  <r>
    <s v="Univ of TX Health Science Center San Antonio"/>
    <n v="1905"/>
    <d v="2025-01-03T00:00:00"/>
    <n v="13747"/>
    <n v="35098"/>
    <d v="2020-09-21T00:00:00"/>
    <s v="Government/Professional Associations/Academic Institution"/>
    <s v="United States"/>
    <x v="1"/>
    <n v="1"/>
  </r>
  <r>
    <s v="University of AL at Birmingham"/>
    <n v="1545"/>
    <d v="2025-11-21T00:00:00"/>
    <n v="17808"/>
    <n v="43574"/>
    <d v="2011-08-01T00:00:00"/>
    <s v="Government/Professional Associations/Academic Institution"/>
    <s v="United States"/>
    <x v="0"/>
    <n v="11"/>
  </r>
  <r>
    <s v="University of Minnesota"/>
    <n v="1905"/>
    <d v="2025-06-17T00:00:00"/>
    <n v="15924"/>
    <n v="39561"/>
    <d v="2011-08-12T00:00:00"/>
    <s v="Government/Professional Associations/Academic Institution"/>
    <s v="United States"/>
    <x v="1"/>
    <n v="6"/>
  </r>
  <r>
    <s v="University of Minnesota"/>
    <n v="360"/>
    <d v="2025-01-02T00:00:00"/>
    <n v="13732"/>
    <n v="35083"/>
    <d v="2011-08-12T00:00:00"/>
    <s v="Government/Professional Associations/Academic Institution"/>
    <s v="United States"/>
    <x v="1"/>
    <n v="1"/>
  </r>
  <r>
    <s v="University of Missouri"/>
    <n v="1545"/>
    <d v="2025-07-28T00:00:00"/>
    <n v="16415"/>
    <n v="40518"/>
    <d v="2022-08-23T00:00:00"/>
    <s v="Government/Professional Associations/Academic Institution"/>
    <s v="United States"/>
    <x v="0"/>
    <n v="7"/>
  </r>
  <r>
    <s v="University of Nebraska Medical Center"/>
    <n v="1650"/>
    <d v="2025-03-17T00:00:00"/>
    <n v="14812"/>
    <n v="36725"/>
    <d v="2002-04-05T00:00:00"/>
    <s v="Provider"/>
    <s v="United States"/>
    <x v="0"/>
    <n v="3"/>
  </r>
  <r>
    <s v="University of Utah Health Care"/>
    <n v="7210"/>
    <d v="2025-04-30T00:00:00"/>
    <n v="15474"/>
    <n v="38700"/>
    <d v="2006-05-30T00:00:00"/>
    <s v="Provider"/>
    <s v="United States"/>
    <x v="0"/>
    <n v="4"/>
  </r>
  <r>
    <s v="VICO Open Modeling"/>
    <n v="1905"/>
    <d v="2025-08-01T00:00:00"/>
    <n v="16466"/>
    <n v="40644"/>
    <d v="2020-08-06T00:00:00"/>
    <s v="Consultant"/>
    <s v="Spain"/>
    <x v="1"/>
    <n v="8"/>
  </r>
  <r>
    <s v="Varian Medical Systems, Inc."/>
    <n v="23375"/>
    <d v="2025-10-08T00:00:00"/>
    <n v="17470"/>
    <n v="43205"/>
    <d v="2013-03-18T00:00:00"/>
    <s v="Supplier/Vendor"/>
    <s v="United States"/>
    <x v="0"/>
    <n v="10"/>
  </r>
  <r>
    <s v="Veeva Systems"/>
    <n v="1545"/>
    <d v="2025-03-18T00:00:00"/>
    <n v="14830"/>
    <n v="36743"/>
    <d v="2025-03-18T00:00:00"/>
    <s v="Supplier/Vendor"/>
    <s v="United States"/>
    <x v="0"/>
    <n v="3"/>
  </r>
  <r>
    <s v="Veradigm"/>
    <n v="38100"/>
    <d v="2025-05-19T00:00:00"/>
    <n v="15688"/>
    <n v="39217"/>
    <d v="2010-04-14T00:00:00"/>
    <s v="Supplier/Vendor"/>
    <s v="United States"/>
    <x v="2"/>
    <n v="5"/>
  </r>
  <r>
    <s v="Verily"/>
    <n v="23375"/>
    <d v="2025-04-07T00:00:00"/>
    <n v="15170"/>
    <n v="37672"/>
    <d v="2025-04-08T00:00:00"/>
    <s v="Supplier/Vendor"/>
    <s v="United States"/>
    <x v="0"/>
    <n v="4"/>
  </r>
  <r>
    <s v="Vermonster"/>
    <n v="2370"/>
    <d v="2025-05-02T00:00:00"/>
    <n v="15503"/>
    <n v="38817"/>
    <d v="2024-04-10T00:00:00"/>
    <s v="Consultant"/>
    <s v="United States"/>
    <x v="0"/>
    <n v="5"/>
  </r>
  <r>
    <s v="Vernetzt, LLC"/>
    <n v="1545"/>
    <d v="2025-11-06T00:00:00"/>
    <n v="17678"/>
    <n v="43441"/>
    <d v="2013-11-12T00:00:00"/>
    <s v="Consultant"/>
    <s v="United States"/>
    <x v="0"/>
    <n v="11"/>
  </r>
  <r>
    <s v="WAYSTAR"/>
    <n v="23375"/>
    <d v="2025-05-20T00:00:00"/>
    <n v="15692"/>
    <n v="39221"/>
    <d v="2023-02-15T00:00:00"/>
    <s v="Supplier/Vendor"/>
    <s v="United States"/>
    <x v="0"/>
    <n v="5"/>
  </r>
  <r>
    <s v="WI Department of Health Services"/>
    <n v="2680"/>
    <d v="2025-05-12T00:00:00"/>
    <n v="15604"/>
    <n v="39096"/>
    <d v="2017-03-10T00:00:00"/>
    <s v="Government/Professional Associations/Academic Institution"/>
    <s v="United States"/>
    <x v="0"/>
    <n v="5"/>
  </r>
  <r>
    <s v="WNY HEALTHeLINK"/>
    <n v="1545"/>
    <d v="2025-02-10T00:00:00"/>
    <n v="14419"/>
    <n v="36006"/>
    <d v="2011-03-28T00:00:00"/>
    <s v="Government/Professional Associations/Academic Institution"/>
    <s v="United States"/>
    <x v="0"/>
    <n v="2"/>
  </r>
  <r>
    <s v="WPS Health Solutions"/>
    <n v="5770"/>
    <d v="2025-04-11T00:00:00"/>
    <n v="15239"/>
    <n v="37885"/>
    <d v="2003-01-09T00:00:00"/>
    <s v="Payer"/>
    <s v="United States"/>
    <x v="0"/>
    <n v="4"/>
  </r>
  <r>
    <s v="WSO2"/>
    <n v="1905"/>
    <d v="2025-03-05T00:00:00"/>
    <n v="14673"/>
    <n v="36453"/>
    <d v="2021-03-25T00:00:00"/>
    <s v="Supplier/Vendor"/>
    <s v="United States"/>
    <x v="1"/>
    <n v="3"/>
  </r>
  <r>
    <s v="Washington State Department of Health"/>
    <n v="3400"/>
    <d v="2025-08-01T00:00:00"/>
    <n v="16474"/>
    <n v="40664"/>
    <d v="2002-03-12T00:00:00"/>
    <s v="Government/Professional Associations/Academic Institution"/>
    <s v="United States"/>
    <x v="1"/>
    <n v="8"/>
  </r>
  <r>
    <s v="WaveOne Associates Inc."/>
    <n v="1545"/>
    <d v="2025-04-02T00:00:00"/>
    <n v="15075"/>
    <n v="37243"/>
    <d v="2013-04-25T00:00:00"/>
    <s v="Consultant"/>
    <s v="United States"/>
    <x v="0"/>
    <n v="4"/>
  </r>
  <r>
    <s v="West Coast Informatics"/>
    <n v="1545"/>
    <d v="2025-11-06T00:00:00"/>
    <n v="17677"/>
    <n v="43440"/>
    <d v="2021-11-23T00:00:00"/>
    <s v="Supplier/Vendor"/>
    <s v="United States"/>
    <x v="0"/>
    <n v="11"/>
  </r>
  <r>
    <s v="Westat"/>
    <n v="1545"/>
    <d v="2025-03-26T00:00:00"/>
    <n v="14965"/>
    <n v="36975"/>
    <d v="2010-12-10T00:00:00"/>
    <s v="Government/Professional Associations/Academic Institution"/>
    <s v="United States"/>
    <x v="0"/>
    <n v="3"/>
  </r>
  <r>
    <s v="Wolters Kluwer Health"/>
    <n v="23375"/>
    <d v="2025-07-25T00:00:00"/>
    <n v="16399"/>
    <n v="40485"/>
    <d v="2008-05-05T00:00:00"/>
    <s v="Supplier/Vendor"/>
    <s v="United States"/>
    <x v="0"/>
    <n v="7"/>
  </r>
  <r>
    <s v="WorldVistA"/>
    <n v="1545"/>
    <d v="2025-08-11T00:00:00"/>
    <n v="16592"/>
    <n v="41360"/>
    <d v="2009-01-10T00:00:00"/>
    <s v="Government/Professional Associations/Academic Institution"/>
    <s v="United States"/>
    <x v="0"/>
    <n v="8"/>
  </r>
  <r>
    <s v="XIFIN, Inc."/>
    <n v="18950"/>
    <d v="2025-03-14T00:00:00"/>
    <n v="14790"/>
    <n v="36678"/>
    <d v="1999-07-26T00:00:00"/>
    <s v="Supplier/Vendor"/>
    <s v="United States"/>
    <x v="0"/>
    <n v="3"/>
  </r>
  <r>
    <s v="XchangeWorx"/>
    <n v="1545"/>
    <d v="2025-10-28T00:00:00"/>
    <n v="17608"/>
    <n v="43354"/>
    <d v="2017-05-12T00:00:00"/>
    <s v="Supplier/Vendor"/>
    <s v="United States"/>
    <x v="0"/>
    <n v="10"/>
  </r>
  <r>
    <s v="Yardi Systems, Inc."/>
    <n v="9685"/>
    <d v="2025-03-17T00:00:00"/>
    <n v="14810"/>
    <n v="36723"/>
    <d v="2018-09-04T00:00:00"/>
    <s v="Supplier/Vendor"/>
    <s v="United States"/>
    <x v="0"/>
    <n v="3"/>
  </r>
  <r>
    <s v="Zocdoc"/>
    <n v="23375"/>
    <d v="2025-11-06T00:00:00"/>
    <n v="17681"/>
    <n v="43444"/>
    <d v="2022-02-14T00:00:00"/>
    <s v="Supplier/Vendor"/>
    <s v="United States"/>
    <x v="0"/>
    <n v="11"/>
  </r>
  <r>
    <s v="Zus Health"/>
    <n v="1545"/>
    <d v="2025-02-07T00:00:00"/>
    <n v="14410"/>
    <n v="35988"/>
    <d v="2024-05-03T00:00:00"/>
    <s v="Supplier/Vendor"/>
    <s v="United States"/>
    <x v="0"/>
    <n v="2"/>
  </r>
  <r>
    <s v="athenahealth"/>
    <n v="23375"/>
    <d v="2025-06-23T00:00:00"/>
    <n v="15984"/>
    <n v="39670"/>
    <d v="2013-01-14T00:00:00"/>
    <s v="Supplier/Vendor"/>
    <s v="United States"/>
    <x v="0"/>
    <n v="6"/>
  </r>
  <r>
    <s v="eClinicalWorks"/>
    <n v="23375"/>
    <d v="2025-03-10T00:00:00"/>
    <n v="14709"/>
    <n v="36532"/>
    <d v="2013-03-13T00:00:00"/>
    <s v="Supplier/Vendor"/>
    <s v="United States"/>
    <x v="0"/>
    <n v="3"/>
  </r>
  <r>
    <s v="ezEMRx"/>
    <n v="1545"/>
    <d v="2025-04-28T00:00:00"/>
    <n v="15442"/>
    <n v="38611"/>
    <d v="2009-05-28T00:00:00"/>
    <s v="Supplier/Vendor"/>
    <s v="United States"/>
    <x v="0"/>
    <n v="4"/>
  </r>
  <r>
    <s v="tantustech"/>
    <n v="5770"/>
    <d v="2025-08-04T00:00:00"/>
    <n v="16487"/>
    <n v="40702"/>
    <d v="2025-08-01T00:00:00"/>
    <s v="Supplier/Vendor"/>
    <s v="United States"/>
    <x v="0"/>
    <n v="8"/>
  </r>
  <r>
    <s v="tuuthfairy, Inc."/>
    <n v="2990"/>
    <d v="2025-04-30T00:00:00"/>
    <n v="15475"/>
    <n v="38701"/>
    <d v="2025-04-28T00:00:00"/>
    <s v="Supplier/Vendor"/>
    <s v="United States"/>
    <x v="1"/>
    <n v="4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206962.54"/>
  </r>
  <r>
    <x v="1"/>
    <n v="84650"/>
  </r>
  <r>
    <x v="2"/>
    <n v="2339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496D6C-0AA7-487F-9212-34D7F6B7F9DC}" name="PivotTable9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J3:K7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2025 Dues Total" fld="1" baseField="0" baseItem="0"/>
  </dataFields>
  <formats count="2">
    <format dxfId="42">
      <pivotArea outline="0" collapsedLevelsAreSubtotals="1" fieldPosition="0"/>
    </format>
    <format dxfId="41">
      <pivotArea dataOnly="0" labelOnly="1" outline="0" axis="axisValues" fieldPosition="0"/>
    </format>
  </formats>
  <chartFormats count="4"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6A709-78A3-44E1-B2EE-58557666F57D}" name="PivotTable7" cacheId="4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B8" firstHeaderRow="1" firstDataRow="1" firstDataCol="1"/>
  <pivotFields count="2">
    <pivotField axis="axisRow"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" fld="1" baseField="0" baseItem="0" numFmtId="44"/>
  </dataFields>
  <formats count="2">
    <format dxfId="44">
      <pivotArea outline="0" collapsedLevelsAreSubtotals="1" fieldPosition="0"/>
    </format>
    <format dxfId="43">
      <pivotArea dataOnly="0" labelOnly="1" outline="0" axis="axisValues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Accounts_with_Mem_and_Receipts">
        <x15:activeTabTopLevelEntity name="[Accounts_with_Mem_and_Receip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858221-7D53-4C27-90DB-68D12206D4C2}" name="PivotTable6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0:K14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7DC05B-93CB-44B0-AA3C-A95E1040BB66}" name="PivotTable3" cacheId="4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1" baseField="0" baseItem="0"/>
  </dataFields>
  <formats count="1">
    <format dxfId="34">
      <pivotArea collapsedLevelsAreSubtotals="1" fieldPosition="0">
        <references count="1">
          <reference field="0" count="0"/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Processed">
        <x15:activeTabTopLevelEntity name="[Process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6B87D9-A316-4771-8CB7-73C0C5518F9A}" name="PivotTable8" cacheId="3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23:B35" firstHeaderRow="1" firstDataRow="1" firstDataCol="1"/>
  <pivotFields count="2">
    <pivotField axis="axisRow" allDrilled="1" subtotalTop="0" showAll="0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" fld="1" baseField="0" baseItem="0" numFmtId="44"/>
  </dataFields>
  <formats count="2">
    <format dxfId="36">
      <pivotArea outline="0" collapsedLevelsAreSubtotals="1" fieldPosition="0"/>
    </format>
    <format dxfId="35">
      <pivotArea dataOnly="0" labelOnly="1" outline="0" axis="axisValues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Processed">
        <x15:activeTabTopLevelEntity name="[Process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ACB0AD-C62A-475A-9567-14E9C9D09E6F}" name="PivotTable10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L7" firstHeaderRow="1" firstDataRow="1" firstDataCol="1"/>
  <pivotFields count="10">
    <pivotField showAll="0"/>
    <pivotField showAll="0"/>
    <pivotField numFmtId="14" showAll="0"/>
    <pivotField showAll="0"/>
    <pivotField showAll="0"/>
    <pivotField numFmtId="14"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tem Name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88EC4-A140-4629-8D5F-169267161F7E}" name="PivotTable11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B26" firstHeaderRow="1" firstDataRow="1" firstDataCol="1"/>
  <pivotFields count="10"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tem Name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A51CB-9ECD-4079-985B-A6EAB3F47C16}" name="PivotTable4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5" firstHeaderRow="1" firstDataRow="1" firstDataCol="1"/>
  <pivotFields count="10">
    <pivotField showAll="0"/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5"/>
        <item x="7"/>
        <item x="4"/>
        <item x="9"/>
        <item x="10"/>
        <item x="6"/>
        <item x="2"/>
        <item x="0"/>
        <item x="1"/>
        <item x="8"/>
        <item x="3"/>
        <item m="1" x="11"/>
        <item t="default"/>
      </items>
    </pivotField>
  </pivotFields>
  <rowFields count="1">
    <field x="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" fld="1" baseField="0" baseItem="0" numFmtId="44"/>
  </dataFields>
  <formats count="1">
    <format dxfId="33">
      <pivotArea outline="0" collapsedLevelsAreSubtotals="1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F63C63-33F5-4955-8E4E-25425D32131E}" name="PivotTable2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B4:K47" firstHeaderRow="1" firstDataRow="3" firstDataCol="1" rowPageCount="1" colPageCount="1"/>
  <pivotFields count="12">
    <pivotField axis="axisRow" showAll="0">
      <items count="423">
        <item x="6"/>
        <item x="7"/>
        <item x="9"/>
        <item x="18"/>
        <item x="21"/>
        <item x="25"/>
        <item x="27"/>
        <item x="34"/>
        <item x="35"/>
        <item x="37"/>
        <item x="40"/>
        <item x="41"/>
        <item x="49"/>
        <item x="50"/>
        <item x="52"/>
        <item x="60"/>
        <item x="68"/>
        <item x="72"/>
        <item x="74"/>
        <item x="76"/>
        <item x="79"/>
        <item x="55"/>
        <item x="83"/>
        <item x="85"/>
        <item x="86"/>
        <item x="87"/>
        <item x="88"/>
        <item x="89"/>
        <item x="91"/>
        <item x="94"/>
        <item x="412"/>
        <item x="102"/>
        <item x="109"/>
        <item x="112"/>
        <item x="113"/>
        <item x="122"/>
        <item x="125"/>
        <item x="126"/>
        <item x="127"/>
        <item x="173"/>
        <item x="179"/>
        <item x="182"/>
        <item x="132"/>
        <item x="136"/>
        <item x="138"/>
        <item x="140"/>
        <item x="142"/>
        <item x="143"/>
        <item x="144"/>
        <item x="147"/>
        <item x="149"/>
        <item x="153"/>
        <item x="154"/>
        <item x="165"/>
        <item x="167"/>
        <item x="168"/>
        <item x="169"/>
        <item x="171"/>
        <item x="183"/>
        <item x="190"/>
        <item x="191"/>
        <item x="192"/>
        <item x="193"/>
        <item x="198"/>
        <item x="200"/>
        <item x="201"/>
        <item x="204"/>
        <item x="205"/>
        <item x="208"/>
        <item x="210"/>
        <item x="211"/>
        <item x="216"/>
        <item x="217"/>
        <item x="218"/>
        <item x="220"/>
        <item x="223"/>
        <item x="224"/>
        <item x="229"/>
        <item x="230"/>
        <item x="236"/>
        <item x="245"/>
        <item x="253"/>
        <item x="254"/>
        <item x="241"/>
        <item x="257"/>
        <item x="256"/>
        <item x="259"/>
        <item x="242"/>
        <item x="261"/>
        <item x="266"/>
        <item x="278"/>
        <item x="283"/>
        <item x="272"/>
        <item x="285"/>
        <item x="290"/>
        <item x="273"/>
        <item x="292"/>
        <item x="295"/>
        <item x="297"/>
        <item x="309"/>
        <item x="310"/>
        <item x="312"/>
        <item x="313"/>
        <item x="318"/>
        <item x="320"/>
        <item x="321"/>
        <item x="323"/>
        <item x="324"/>
        <item x="329"/>
        <item x="336"/>
        <item x="337"/>
        <item x="338"/>
        <item x="343"/>
        <item x="334"/>
        <item x="351"/>
        <item x="353"/>
        <item x="355"/>
        <item x="356"/>
        <item x="358"/>
        <item x="359"/>
        <item x="361"/>
        <item x="362"/>
        <item x="365"/>
        <item x="379"/>
        <item x="381"/>
        <item x="382"/>
        <item x="384"/>
        <item x="375"/>
        <item x="376"/>
        <item x="388"/>
        <item x="402"/>
        <item x="396"/>
        <item x="398"/>
        <item x="405"/>
        <item x="408"/>
        <item x="410"/>
        <item x="3"/>
        <item x="10"/>
        <item x="16"/>
        <item x="17"/>
        <item x="19"/>
        <item x="38"/>
        <item x="42"/>
        <item x="57"/>
        <item x="58"/>
        <item x="61"/>
        <item x="63"/>
        <item x="73"/>
        <item x="105"/>
        <item x="111"/>
        <item x="121"/>
        <item x="130"/>
        <item x="131"/>
        <item x="133"/>
        <item x="135"/>
        <item x="139"/>
        <item x="141"/>
        <item x="145"/>
        <item x="146"/>
        <item x="148"/>
        <item x="151"/>
        <item x="155"/>
        <item x="157"/>
        <item x="158"/>
        <item x="162"/>
        <item x="164"/>
        <item x="170"/>
        <item x="172"/>
        <item x="178"/>
        <item x="180"/>
        <item x="181"/>
        <item x="184"/>
        <item x="189"/>
        <item x="194"/>
        <item x="196"/>
        <item x="207"/>
        <item x="212"/>
        <item x="213"/>
        <item x="215"/>
        <item x="232"/>
        <item x="233"/>
        <item x="234"/>
        <item x="239"/>
        <item x="244"/>
        <item x="250"/>
        <item x="251"/>
        <item x="252"/>
        <item x="255"/>
        <item x="258"/>
        <item x="264"/>
        <item x="268"/>
        <item x="276"/>
        <item x="281"/>
        <item x="293"/>
        <item x="301"/>
        <item x="302"/>
        <item x="303"/>
        <item x="322"/>
        <item x="326"/>
        <item x="333"/>
        <item x="342"/>
        <item x="345"/>
        <item x="349"/>
        <item x="354"/>
        <item x="363"/>
        <item x="367"/>
        <item x="374"/>
        <item x="385"/>
        <item x="389"/>
        <item x="390"/>
        <item x="391"/>
        <item x="393"/>
        <item x="394"/>
        <item x="395"/>
        <item x="397"/>
        <item x="400"/>
        <item x="407"/>
        <item x="413"/>
        <item x="415"/>
        <item x="30"/>
        <item x="48"/>
        <item x="51"/>
        <item x="69"/>
        <item x="71"/>
        <item x="80"/>
        <item x="96"/>
        <item x="100"/>
        <item x="110"/>
        <item x="137"/>
        <item x="152"/>
        <item x="156"/>
        <item x="159"/>
        <item x="160"/>
        <item x="174"/>
        <item x="186"/>
        <item x="187"/>
        <item x="199"/>
        <item x="202"/>
        <item x="231"/>
        <item x="235"/>
        <item x="260"/>
        <item x="262"/>
        <item x="263"/>
        <item x="280"/>
        <item x="287"/>
        <item x="288"/>
        <item x="304"/>
        <item x="305"/>
        <item x="306"/>
        <item x="316"/>
        <item x="331"/>
        <item x="335"/>
        <item x="371"/>
        <item x="372"/>
        <item x="411"/>
        <item x="0"/>
        <item m="1" x="421"/>
        <item x="12"/>
        <item x="15"/>
        <item x="23"/>
        <item x="24"/>
        <item x="39"/>
        <item x="54"/>
        <item x="64"/>
        <item x="65"/>
        <item x="66"/>
        <item x="77"/>
        <item x="106"/>
        <item x="107"/>
        <item x="115"/>
        <item x="119"/>
        <item x="128"/>
        <item x="134"/>
        <item m="1" x="417"/>
        <item m="1" x="418"/>
        <item x="150"/>
        <item m="1" x="419"/>
        <item x="161"/>
        <item x="163"/>
        <item m="1" x="420"/>
        <item x="166"/>
        <item x="203"/>
        <item x="206"/>
        <item x="221"/>
        <item x="222"/>
        <item x="226"/>
        <item x="228"/>
        <item x="267"/>
        <item x="270"/>
        <item x="271"/>
        <item x="282"/>
        <item x="286"/>
        <item x="289"/>
        <item x="296"/>
        <item x="299"/>
        <item x="315"/>
        <item x="325"/>
        <item x="341"/>
        <item x="350"/>
        <item x="352"/>
        <item x="366"/>
        <item x="383"/>
        <item x="386"/>
        <item x="399"/>
        <item x="403"/>
        <item x="2"/>
        <item x="4"/>
        <item x="11"/>
        <item x="13"/>
        <item x="20"/>
        <item x="26"/>
        <item x="33"/>
        <item x="43"/>
        <item x="46"/>
        <item x="47"/>
        <item x="56"/>
        <item x="62"/>
        <item x="67"/>
        <item x="70"/>
        <item x="75"/>
        <item m="1" x="416"/>
        <item x="98"/>
        <item x="99"/>
        <item x="101"/>
        <item x="108"/>
        <item x="120"/>
        <item x="209"/>
        <item x="219"/>
        <item x="225"/>
        <item x="246"/>
        <item x="247"/>
        <item x="248"/>
        <item x="265"/>
        <item x="279"/>
        <item x="291"/>
        <item x="298"/>
        <item x="308"/>
        <item x="317"/>
        <item x="340"/>
        <item x="360"/>
        <item x="404"/>
        <item x="414"/>
        <item x="1"/>
        <item x="8"/>
        <item x="28"/>
        <item x="32"/>
        <item x="36"/>
        <item x="84"/>
        <item x="92"/>
        <item x="118"/>
        <item x="124"/>
        <item x="129"/>
        <item x="188"/>
        <item x="238"/>
        <item x="243"/>
        <item x="328"/>
        <item x="332"/>
        <item x="339"/>
        <item x="347"/>
        <item x="370"/>
        <item x="14"/>
        <item x="29"/>
        <item x="31"/>
        <item x="44"/>
        <item x="45"/>
        <item x="59"/>
        <item x="81"/>
        <item x="93"/>
        <item x="97"/>
        <item x="103"/>
        <item x="114"/>
        <item x="116"/>
        <item x="117"/>
        <item x="176"/>
        <item x="177"/>
        <item x="195"/>
        <item x="197"/>
        <item x="240"/>
        <item x="269"/>
        <item x="284"/>
        <item x="314"/>
        <item x="327"/>
        <item x="344"/>
        <item x="346"/>
        <item x="357"/>
        <item x="364"/>
        <item x="368"/>
        <item x="373"/>
        <item x="377"/>
        <item x="378"/>
        <item x="387"/>
        <item x="406"/>
        <item x="5"/>
        <item x="22"/>
        <item x="53"/>
        <item x="78"/>
        <item x="82"/>
        <item x="90"/>
        <item x="95"/>
        <item x="104"/>
        <item x="123"/>
        <item x="175"/>
        <item x="185"/>
        <item x="214"/>
        <item x="227"/>
        <item x="237"/>
        <item x="249"/>
        <item x="274"/>
        <item x="275"/>
        <item x="277"/>
        <item x="294"/>
        <item x="300"/>
        <item x="307"/>
        <item x="311"/>
        <item x="319"/>
        <item x="330"/>
        <item x="348"/>
        <item x="369"/>
        <item x="380"/>
        <item x="392"/>
        <item x="401"/>
        <item x="409"/>
        <item t="default"/>
      </items>
    </pivotField>
    <pivotField dataField="1" showAll="0"/>
    <pivotField axis="axisCol" numFmtId="14" showAll="0">
      <items count="207">
        <item x="197"/>
        <item x="195"/>
        <item x="52"/>
        <item x="31"/>
        <item x="99"/>
        <item x="36"/>
        <item x="135"/>
        <item x="87"/>
        <item x="67"/>
        <item x="61"/>
        <item x="173"/>
        <item x="43"/>
        <item x="81"/>
        <item x="90"/>
        <item x="190"/>
        <item x="44"/>
        <item x="164"/>
        <item x="30"/>
        <item x="142"/>
        <item x="71"/>
        <item x="91"/>
        <item x="77"/>
        <item x="98"/>
        <item x="138"/>
        <item x="116"/>
        <item x="202"/>
        <item x="153"/>
        <item x="163"/>
        <item x="6"/>
        <item x="69"/>
        <item x="149"/>
        <item x="70"/>
        <item x="46"/>
        <item x="141"/>
        <item x="157"/>
        <item x="109"/>
        <item x="72"/>
        <item x="121"/>
        <item x="63"/>
        <item x="129"/>
        <item x="178"/>
        <item x="16"/>
        <item x="128"/>
        <item x="194"/>
        <item x="176"/>
        <item x="168"/>
        <item x="24"/>
        <item x="8"/>
        <item x="187"/>
        <item x="33"/>
        <item x="134"/>
        <item x="97"/>
        <item x="104"/>
        <item x="166"/>
        <item x="37"/>
        <item x="106"/>
        <item x="74"/>
        <item x="101"/>
        <item x="19"/>
        <item x="22"/>
        <item x="108"/>
        <item x="3"/>
        <item x="9"/>
        <item x="14"/>
        <item x="15"/>
        <item x="17"/>
        <item x="34"/>
        <item x="38"/>
        <item x="49"/>
        <item x="53"/>
        <item x="55"/>
        <item x="84"/>
        <item x="89"/>
        <item x="96"/>
        <item x="100"/>
        <item x="103"/>
        <item x="107"/>
        <item x="110"/>
        <item x="111"/>
        <item x="112"/>
        <item x="115"/>
        <item x="118"/>
        <item x="120"/>
        <item x="126"/>
        <item x="130"/>
        <item x="131"/>
        <item x="144"/>
        <item x="147"/>
        <item x="150"/>
        <item x="151"/>
        <item x="159"/>
        <item x="161"/>
        <item x="170"/>
        <item x="177"/>
        <item x="184"/>
        <item x="198"/>
        <item x="199"/>
        <item x="200"/>
        <item x="204"/>
        <item x="27"/>
        <item x="42"/>
        <item x="45"/>
        <item x="59"/>
        <item x="60"/>
        <item x="66"/>
        <item x="79"/>
        <item x="88"/>
        <item x="105"/>
        <item x="113"/>
        <item x="123"/>
        <item x="124"/>
        <item x="133"/>
        <item x="152"/>
        <item x="165"/>
        <item x="171"/>
        <item x="182"/>
        <item x="193"/>
        <item x="196"/>
        <item x="0"/>
        <item x="35"/>
        <item x="10"/>
        <item x="13"/>
        <item x="21"/>
        <item x="48"/>
        <item x="56"/>
        <item x="57"/>
        <item x="64"/>
        <item x="85"/>
        <item x="92"/>
        <item x="94"/>
        <item m="1" x="205"/>
        <item x="117"/>
        <item x="136"/>
        <item x="140"/>
        <item x="154"/>
        <item x="156"/>
        <item x="162"/>
        <item x="167"/>
        <item x="179"/>
        <item x="188"/>
        <item x="2"/>
        <item x="4"/>
        <item x="11"/>
        <item x="18"/>
        <item x="23"/>
        <item x="29"/>
        <item x="41"/>
        <item x="54"/>
        <item x="58"/>
        <item x="62"/>
        <item x="183"/>
        <item x="80"/>
        <item x="86"/>
        <item x="95"/>
        <item x="114"/>
        <item x="127"/>
        <item x="137"/>
        <item x="143"/>
        <item x="160"/>
        <item x="1"/>
        <item x="7"/>
        <item x="25"/>
        <item x="32"/>
        <item x="68"/>
        <item x="75"/>
        <item x="93"/>
        <item x="125"/>
        <item x="146"/>
        <item x="181"/>
        <item x="185"/>
        <item x="192"/>
        <item x="12"/>
        <item x="26"/>
        <item x="28"/>
        <item x="39"/>
        <item x="40"/>
        <item x="50"/>
        <item x="51"/>
        <item x="76"/>
        <item x="82"/>
        <item x="102"/>
        <item x="119"/>
        <item x="132"/>
        <item x="148"/>
        <item x="155"/>
        <item x="174"/>
        <item x="189"/>
        <item x="191"/>
        <item x="203"/>
        <item x="5"/>
        <item x="20"/>
        <item x="47"/>
        <item x="65"/>
        <item x="73"/>
        <item x="78"/>
        <item x="83"/>
        <item x="122"/>
        <item x="139"/>
        <item x="145"/>
        <item x="158"/>
        <item x="169"/>
        <item x="172"/>
        <item x="175"/>
        <item x="180"/>
        <item x="186"/>
        <item x="201"/>
        <item t="default"/>
      </items>
    </pivotField>
    <pivotField showAll="0"/>
    <pivotField showAll="0"/>
    <pivotField numFmtId="14" showAll="0"/>
    <pivotField showAll="0"/>
    <pivotField showAll="0"/>
    <pivotField axis="axisPage" showAll="0">
      <items count="8">
        <item x="6"/>
        <item x="3"/>
        <item x="1"/>
        <item x="2"/>
        <item x="0"/>
        <item x="4"/>
        <item x="5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41"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228"/>
    </i>
    <i>
      <x v="229"/>
    </i>
    <i>
      <x v="230"/>
    </i>
    <i>
      <x v="231"/>
    </i>
    <i>
      <x v="232"/>
    </i>
    <i>
      <x v="272"/>
    </i>
    <i>
      <x v="275"/>
    </i>
    <i>
      <x v="277"/>
    </i>
    <i>
      <x v="278"/>
    </i>
    <i>
      <x v="280"/>
    </i>
    <i t="grand">
      <x/>
    </i>
  </rowItems>
  <colFields count="2">
    <field x="11"/>
    <field x="2"/>
  </colFields>
  <colItems count="9"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 t="grand">
      <x/>
    </i>
  </colItems>
  <pageFields count="1">
    <pageField fld="8" item="0" hier="-1"/>
  </pageFields>
  <dataFields count="1">
    <dataField name="Sum of Total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039F6D-E79B-42E4-AB47-DEFBBB97001D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M6:N12" firstHeaderRow="1" firstDataRow="1" firstDataCol="1"/>
  <pivotFields count="11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1"/>
        <item x="3"/>
        <item x="2"/>
        <item x="4"/>
        <item x="0"/>
        <item m="1" x="5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Years Member" fld="10" subtotal="count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EB12DD-807D-4FBA-9005-4678480CE21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2:E23" firstHeaderRow="1" firstDataRow="1" firstDataCol="1"/>
  <pivotFields count="2">
    <pivotField axis="axisRow" dataField="1" numFmtId="9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pct" fld="0" subtotal="count" baseField="0" baseItem="0"/>
  </dataFields>
  <chartFormats count="2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4939E32A-6B3F-4D4E-8379-B33A94FB1752}" autoFormatId="16" applyNumberFormats="0" applyBorderFormats="0" applyFontFormats="0" applyPatternFormats="0" applyAlignmentFormats="0" applyWidthHeightFormats="0">
  <queryTableRefresh nextId="11">
    <queryTableFields count="10">
      <queryTableField id="1" name="Account Name" tableColumnId="1"/>
      <queryTableField id="2" name="Total" tableColumnId="2"/>
      <queryTableField id="3" name="Posted Date" tableColumnId="3"/>
      <queryTableField id="4" name="Receipt Number" tableColumnId="4"/>
      <queryTableField id="5" name="Receipt Line ID" tableColumnId="5"/>
      <queryTableField id="6" name="Member Since" tableColumnId="6"/>
      <queryTableField id="7" name="Account Category" tableColumnId="7"/>
      <queryTableField id="8" name="Billing Country" tableColumnId="8"/>
      <queryTableField id="9" name="Item Name" tableColumnId="9"/>
      <queryTableField id="10" name="Paid_Month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25621CD-01D0-4752-B01E-20D4986A55A4}" autoFormatId="16" applyNumberFormats="0" applyBorderFormats="0" applyFontFormats="0" applyPatternFormats="0" applyAlignmentFormats="0" applyWidthHeightFormats="0">
  <queryTableRefresh nextId="11">
    <queryTableFields count="10">
      <queryTableField id="1" name="Account Name" tableColumnId="1"/>
      <queryTableField id="2" name="Total" tableColumnId="2"/>
      <queryTableField id="3" name="Posted Date" tableColumnId="3"/>
      <queryTableField id="4" name="Receipt Number" tableColumnId="4"/>
      <queryTableField id="5" name="Receipt Line ID" tableColumnId="5"/>
      <queryTableField id="6" name="Member Since" tableColumnId="6"/>
      <queryTableField id="7" name="Account Category" tableColumnId="7"/>
      <queryTableField id="8" name="Billing Country" tableColumnId="8"/>
      <queryTableField id="9" name="Item Name" tableColumnId="9"/>
      <queryTableField id="10" name="Paid_Month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C674E1B6-3516-4F9C-8C85-F921BD04BA9A}" autoFormatId="16" applyNumberFormats="0" applyBorderFormats="0" applyFontFormats="0" applyPatternFormats="0" applyAlignmentFormats="0" applyWidthHeightFormats="0">
  <queryTableRefresh nextId="13">
    <queryTableFields count="11">
      <queryTableField id="1" name="Account Name" tableColumnId="1"/>
      <queryTableField id="2" name="Total" tableColumnId="2"/>
      <queryTableField id="3" name="Posted Date" tableColumnId="3"/>
      <queryTableField id="4" name="Receipt Number" tableColumnId="4"/>
      <queryTableField id="5" name="Receipt Line ID" tableColumnId="5"/>
      <queryTableField id="6" name="Member Since" tableColumnId="6"/>
      <queryTableField id="7" name="Account Category" tableColumnId="7"/>
      <queryTableField id="8" name="Billing Country" tableColumnId="8"/>
      <queryTableField id="9" name="Item Name" tableColumnId="9"/>
      <queryTableField id="10" name="Paid_Month" tableColumnId="10"/>
      <queryTableField id="12" name="Years Member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525CF60-7640-46DD-8060-F5DF19CD1E06}" autoFormatId="16" applyNumberFormats="0" applyBorderFormats="0" applyFontFormats="0" applyPatternFormats="0" applyAlignmentFormats="0" applyWidthHeightFormats="0">
  <queryTableRefresh nextId="11">
    <queryTableFields count="10">
      <queryTableField id="1" name="Account Name" tableColumnId="1"/>
      <queryTableField id="2" name="Total" tableColumnId="2"/>
      <queryTableField id="3" name="Posted Date" tableColumnId="3"/>
      <queryTableField id="4" name="Receipt Number" tableColumnId="4"/>
      <queryTableField id="5" name="Receipt Line ID" tableColumnId="5"/>
      <queryTableField id="6" name="Member Since" tableColumnId="6"/>
      <queryTableField id="7" name="Account Category" tableColumnId="7"/>
      <queryTableField id="8" name="Billing Country" tableColumnId="8"/>
      <queryTableField id="9" name="Item Name" tableColumnId="9"/>
      <queryTableField id="10" name="Paid_Month" tableColumnId="10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3605841-21C6-4A3A-9671-42B381F66ACF}" name="Table10" displayName="Table10" ref="F3:G7" totalsRowCount="1">
  <autoFilter ref="F3:G6" xr:uid="{43605841-21C6-4A3A-9671-42B381F66ACF}"/>
  <tableColumns count="2">
    <tableColumn id="1" xr3:uid="{E1B23E9D-966B-4463-8E08-4C5BE7B39A1C}" name="Membership Class" totalsRowLabel="Grand Total" dataDxfId="40" totalsRowDxfId="39"/>
    <tableColumn id="2" xr3:uid="{4B9EBADE-A69E-47F4-A148-E91327D51523}" name="2025 Dues Total" totalsRowFunction="sum" dataDxfId="38" totalsRowDxfId="37" dataCellStyle="Currency" totalsRowCellStyl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20785D2-41D0-425F-A7E7-F1262EAD59C7}" name="tblGauge" displayName="tblGauge" ref="B15:D38" totalsRowShown="0">
  <autoFilter ref="B15:D38" xr:uid="{A20785D2-41D0-425F-A7E7-F1262EAD59C7}"/>
  <tableColumns count="3">
    <tableColumn id="1" xr3:uid="{1E86A602-1569-42FD-A6E6-84FF4C4AE602}" name="Labels"/>
    <tableColumn id="2" xr3:uid="{956F1B96-EB00-4167-A7E3-0D0A94D0414C}" name="Values"/>
    <tableColumn id="3" xr3:uid="{5B7B24AD-D106-486F-8298-37442BFDCB1C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24B561D-3DE1-4073-8C70-585970459B4A}" name="tblSpeedo" displayName="tblSpeedo" ref="B39:C42" totalsRowShown="0">
  <autoFilter ref="B39:C42" xr:uid="{124B561D-3DE1-4073-8C70-585970459B4A}"/>
  <tableColumns count="2">
    <tableColumn id="1" xr3:uid="{C2FF714A-314E-49D7-AE45-DABAAD85226D}" name="Labels"/>
    <tableColumn id="2" xr3:uid="{79B46D6F-04AF-412E-82E9-4C0937467656}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3CAA2A-3019-4CC4-8AA3-D44C337802CF}" name="Orgs" displayName="Orgs" ref="A1:J273" tableType="queryTable" totalsRowShown="0">
  <autoFilter ref="A1:J273" xr:uid="{773CAA2A-3019-4CC4-8AA3-D44C337802CF}"/>
  <tableColumns count="10">
    <tableColumn id="1" xr3:uid="{E76B5370-4112-4033-B309-979487D5D651}" uniqueName="1" name="Account Name" queryTableFieldId="1" dataDxfId="12"/>
    <tableColumn id="2" xr3:uid="{1D6F9AE6-5DC1-49F7-8782-34127926E9F0}" uniqueName="2" name="Total" queryTableFieldId="2"/>
    <tableColumn id="3" xr3:uid="{A191BF75-CA82-4ED7-BFE4-409FE5356D9C}" uniqueName="3" name="Posted Date" queryTableFieldId="3" dataDxfId="11"/>
    <tableColumn id="4" xr3:uid="{A3F179DB-DA41-4354-B404-E8A40F06566A}" uniqueName="4" name="Receipt Number" queryTableFieldId="4"/>
    <tableColumn id="5" xr3:uid="{0298857D-5D55-4E40-8DAD-4E0ECC432912}" uniqueName="5" name="Receipt Line ID" queryTableFieldId="5"/>
    <tableColumn id="6" xr3:uid="{84EB94B0-158A-42E8-8229-46F4189724D9}" uniqueName="6" name="Member Since" queryTableFieldId="6" dataDxfId="10"/>
    <tableColumn id="7" xr3:uid="{F5080EF2-13D6-4CF1-827D-B66B46B17BA6}" uniqueName="7" name="Account Category" queryTableFieldId="7" dataDxfId="9"/>
    <tableColumn id="8" xr3:uid="{8916CA15-871D-4A88-815C-AC351C43C54F}" uniqueName="8" name="Billing Country" queryTableFieldId="8" dataDxfId="8"/>
    <tableColumn id="9" xr3:uid="{D1E6271C-71EE-4185-B3CA-750E086D4BC6}" uniqueName="9" name="Item Name" queryTableFieldId="9" dataDxfId="7"/>
    <tableColumn id="10" xr3:uid="{5E9CF964-1DEF-4766-8A2A-AC838D7CCB71}" uniqueName="10" name="Paid_Month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2C88D8-0AB0-4869-83BD-80D3CA0AD69E}" name="Individual" displayName="Individual" ref="A1:J119" tableType="queryTable" totalsRowShown="0">
  <autoFilter ref="A1:J119" xr:uid="{822C88D8-0AB0-4869-83BD-80D3CA0AD69E}"/>
  <tableColumns count="10">
    <tableColumn id="1" xr3:uid="{0A652639-F825-4C53-9F52-54EA8FC3A182}" uniqueName="1" name="Account Name" queryTableFieldId="1" dataDxfId="20"/>
    <tableColumn id="2" xr3:uid="{725D92B3-6CD2-4C2A-A995-97D9C1928297}" uniqueName="2" name="Total" queryTableFieldId="2"/>
    <tableColumn id="3" xr3:uid="{81AB5C1B-B72F-42FD-96C0-58225280C517}" uniqueName="3" name="Posted Date" queryTableFieldId="3" dataDxfId="19"/>
    <tableColumn id="4" xr3:uid="{B5F11B3D-0B3F-4AB5-8653-B1D7921F2692}" uniqueName="4" name="Receipt Number" queryTableFieldId="4"/>
    <tableColumn id="5" xr3:uid="{E4E1E67D-759D-4BDB-89CA-39994CE359EA}" uniqueName="5" name="Receipt Line ID" queryTableFieldId="5"/>
    <tableColumn id="6" xr3:uid="{6A5E8887-37AD-4A6E-ADD4-36633C979DD5}" uniqueName="6" name="Member Since" queryTableFieldId="6" dataDxfId="18"/>
    <tableColumn id="7" xr3:uid="{ACD237DA-FE0E-42F8-BB56-9534A3ADA619}" uniqueName="7" name="Account Category" queryTableFieldId="7" dataDxfId="17"/>
    <tableColumn id="8" xr3:uid="{191EAEF7-5E8A-41EA-95D1-B72B1D3A54E4}" uniqueName="8" name="Billing Country" queryTableFieldId="8" dataDxfId="16"/>
    <tableColumn id="9" xr3:uid="{ED098656-FE58-4097-83FE-EF15347A26E0}" uniqueName="9" name="Item Name" queryTableFieldId="9" dataDxfId="15"/>
    <tableColumn id="10" xr3:uid="{ECB65B2F-1281-4872-B492-860C1060170C}" uniqueName="10" name="Paid_Month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0FBE7B8-77BE-44BB-9872-DD5A4D2E4E5A}" name="Yrs_of_Membership" displayName="Yrs_of_Membership" ref="A1:K417" tableType="queryTable" totalsRowShown="0">
  <autoFilter ref="A1:K417" xr:uid="{40FBE7B8-77BE-44BB-9872-DD5A4D2E4E5A}"/>
  <tableColumns count="11">
    <tableColumn id="1" xr3:uid="{A549FE1F-7DC6-4CAF-90B5-76688494F756}" uniqueName="1" name="Account Name" queryTableFieldId="1" dataDxfId="26"/>
    <tableColumn id="2" xr3:uid="{C64CD669-1D75-4D76-9379-A84CA4D633B7}" uniqueName="2" name="Total" queryTableFieldId="2"/>
    <tableColumn id="3" xr3:uid="{A32854CB-3828-4DD5-A903-94970370A90D}" uniqueName="3" name="Posted Date" queryTableFieldId="3" dataDxfId="25"/>
    <tableColumn id="4" xr3:uid="{EB795AA9-9E55-427D-A509-F41C23C7DA8B}" uniqueName="4" name="Receipt Number" queryTableFieldId="4"/>
    <tableColumn id="5" xr3:uid="{7CEA1745-3D9F-422D-9208-1848045D860B}" uniqueName="5" name="Receipt Line ID" queryTableFieldId="5"/>
    <tableColumn id="6" xr3:uid="{7C13E1B5-3485-4FB5-862E-809A2ADE3164}" uniqueName="6" name="Member Since" queryTableFieldId="6" dataDxfId="24"/>
    <tableColumn id="7" xr3:uid="{12B6136F-CBD4-47E3-974A-E3B2B5072EF1}" uniqueName="7" name="Account Category" queryTableFieldId="7" dataDxfId="23"/>
    <tableColumn id="8" xr3:uid="{BFC06638-8592-4622-AE3C-D6883A16C797}" uniqueName="8" name="Billing Country" queryTableFieldId="8" dataDxfId="22"/>
    <tableColumn id="9" xr3:uid="{44370CA2-1A63-4695-BF21-F48C5D096090}" uniqueName="9" name="Item Name" queryTableFieldId="9" dataDxfId="21"/>
    <tableColumn id="10" xr3:uid="{7095F994-6FE0-4539-B41F-60D7C19DC7AD}" uniqueName="10" name="Paid_Month" queryTableFieldId="10"/>
    <tableColumn id="12" xr3:uid="{04BBA9F9-0F2C-489F-8D32-A0B440DB5142}" uniqueName="12" name="Years Member" queryTableFieldId="1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F35BBB-6D46-4CB5-BB2B-53CE1293C4E3}" name="Accounts_with_Mem_and_Receipts" displayName="Accounts_with_Mem_and_Receipts" ref="A1:J435" tableType="queryTable" totalsRowShown="0">
  <autoFilter ref="A1:J435" xr:uid="{77F35BBB-6D46-4CB5-BB2B-53CE1293C4E3}"/>
  <tableColumns count="10">
    <tableColumn id="1" xr3:uid="{DA042C2E-F709-4840-873D-B19848EB4F96}" uniqueName="1" name="Account Name" queryTableFieldId="1" dataDxfId="32"/>
    <tableColumn id="2" xr3:uid="{69A741DC-F257-40C2-B91D-56A9AD0708E4}" uniqueName="2" name="Total" queryTableFieldId="2"/>
    <tableColumn id="3" xr3:uid="{B9AD17EF-4D79-46D2-922C-E66C05DDF247}" uniqueName="3" name="Posted Date" queryTableFieldId="3" dataDxfId="28"/>
    <tableColumn id="4" xr3:uid="{8837DB35-4DF1-44A4-8ABC-6723EF0F3665}" uniqueName="4" name="Receipt Number" queryTableFieldId="4"/>
    <tableColumn id="5" xr3:uid="{5E6DCBCD-E72A-4085-AA76-10241DEEFBAB}" uniqueName="5" name="Receipt Line ID" queryTableFieldId="5"/>
    <tableColumn id="6" xr3:uid="{9C06C63C-B1B5-4DD4-99EC-9FC7379FE8A7}" uniqueName="6" name="Member Since" queryTableFieldId="6" dataDxfId="27"/>
    <tableColumn id="7" xr3:uid="{3A413C51-D921-4E0B-B08B-25E40C57731B}" uniqueName="7" name="Account Category" queryTableFieldId="7" dataDxfId="31"/>
    <tableColumn id="8" xr3:uid="{4CD917E1-EF27-4C98-9F0B-23CB8418A848}" uniqueName="8" name="Billing Country" queryTableFieldId="8" dataDxfId="30"/>
    <tableColumn id="9" xr3:uid="{9F824C32-5E81-411D-A170-144E6B4BB618}" uniqueName="9" name="Item Name" queryTableFieldId="9" dataDxfId="29"/>
    <tableColumn id="10" xr3:uid="{E2697497-9215-4CFA-B973-F86EBEE30B9D}" uniqueName="10" name="Paid_Month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02923-A81F-42C2-B0E6-4E162B03C5CE}">
  <dimension ref="A1"/>
  <sheetViews>
    <sheetView tabSelected="1" zoomScale="90" zoomScaleNormal="90" workbookViewId="0">
      <selection activeCell="AB13" sqref="AB1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B679B-A534-45B7-9F9E-CF4BB7C468F3}">
  <dimension ref="A1:L44"/>
  <sheetViews>
    <sheetView zoomScale="90" zoomScaleNormal="90" workbookViewId="0">
      <selection activeCell="C40" sqref="C40"/>
    </sheetView>
  </sheetViews>
  <sheetFormatPr defaultRowHeight="14.5" x14ac:dyDescent="0.35"/>
  <cols>
    <col min="1" max="1" width="50.6328125" bestFit="1" customWidth="1"/>
    <col min="2" max="2" width="13.81640625" bestFit="1" customWidth="1"/>
    <col min="3" max="3" width="14.453125" bestFit="1" customWidth="1"/>
    <col min="6" max="6" width="24.08984375" bestFit="1" customWidth="1"/>
    <col min="7" max="7" width="16.26953125" bestFit="1" customWidth="1"/>
    <col min="10" max="11" width="24.08984375" bestFit="1" customWidth="1"/>
    <col min="12" max="12" width="20.6328125" bestFit="1" customWidth="1"/>
  </cols>
  <sheetData>
    <row r="1" spans="1:12" x14ac:dyDescent="0.35">
      <c r="F1" t="s">
        <v>79</v>
      </c>
      <c r="J1" t="s">
        <v>80</v>
      </c>
    </row>
    <row r="2" spans="1:12" x14ac:dyDescent="0.35">
      <c r="A2" t="s">
        <v>78</v>
      </c>
    </row>
    <row r="3" spans="1:12" x14ac:dyDescent="0.35">
      <c r="A3" s="2" t="s">
        <v>63</v>
      </c>
      <c r="B3" s="4" t="s">
        <v>65</v>
      </c>
      <c r="F3" s="3" t="s">
        <v>74</v>
      </c>
      <c r="G3" t="s">
        <v>119</v>
      </c>
      <c r="J3" s="2" t="s">
        <v>63</v>
      </c>
      <c r="K3" s="4" t="s">
        <v>120</v>
      </c>
    </row>
    <row r="4" spans="1:12" x14ac:dyDescent="0.35">
      <c r="A4" s="3" t="s">
        <v>0</v>
      </c>
      <c r="B4" s="4">
        <v>161975</v>
      </c>
      <c r="F4" s="3" t="s">
        <v>75</v>
      </c>
      <c r="G4" s="7">
        <f>GETPIVOTDATA("Total",Affiliate!$B$4)</f>
        <v>206962.54</v>
      </c>
      <c r="J4" s="3" t="s">
        <v>75</v>
      </c>
      <c r="K4" s="4">
        <v>206962.54</v>
      </c>
    </row>
    <row r="5" spans="1:12" x14ac:dyDescent="0.35">
      <c r="A5" s="3" t="s">
        <v>12</v>
      </c>
      <c r="B5" s="4">
        <v>410245</v>
      </c>
      <c r="F5" s="3" t="s">
        <v>76</v>
      </c>
      <c r="G5" s="8">
        <f>GETPIVOTDATA("Total",'Ind Revenues'!$A$3)</f>
        <v>84650</v>
      </c>
      <c r="J5" s="3" t="s">
        <v>76</v>
      </c>
      <c r="K5" s="4">
        <v>84650</v>
      </c>
    </row>
    <row r="6" spans="1:12" x14ac:dyDescent="0.35">
      <c r="A6" s="3" t="s">
        <v>1</v>
      </c>
      <c r="B6" s="4">
        <v>294175</v>
      </c>
      <c r="F6" s="3" t="s">
        <v>77</v>
      </c>
      <c r="G6" s="8">
        <f>GETPIVOTDATA("[Measures].[Sum of Total]",'Org Revenues'!$A$3)</f>
        <v>2339250</v>
      </c>
      <c r="J6" s="3" t="s">
        <v>77</v>
      </c>
      <c r="K6" s="4">
        <v>2339250</v>
      </c>
    </row>
    <row r="7" spans="1:12" x14ac:dyDescent="0.35">
      <c r="A7" s="3" t="s">
        <v>19</v>
      </c>
      <c r="B7" s="4">
        <v>1206680</v>
      </c>
      <c r="F7" s="3" t="s">
        <v>64</v>
      </c>
      <c r="G7" s="8">
        <f>SUBTOTAL(109,Table10[2025 Dues Total])</f>
        <v>2630862.54</v>
      </c>
      <c r="J7" s="3" t="s">
        <v>64</v>
      </c>
      <c r="K7" s="4">
        <v>2630862.54</v>
      </c>
      <c r="L7" t="str">
        <f>"Grand Total "&amp;TEXT(GETPIVOTDATA("2025 Dues Total",$K$7),"$#,###")</f>
        <v>Grand Total $2,630,863</v>
      </c>
    </row>
    <row r="8" spans="1:12" x14ac:dyDescent="0.35">
      <c r="A8" s="3" t="s">
        <v>64</v>
      </c>
      <c r="B8" s="4">
        <v>2073075</v>
      </c>
    </row>
    <row r="10" spans="1:12" x14ac:dyDescent="0.35">
      <c r="C10" t="str">
        <f>"Grand Total "&amp;TEXT(GETPIVOTDATA("[Measures].[Sum of Total 2]",$A$3),"$#,###")</f>
        <v>Grand Total $2,073,075</v>
      </c>
      <c r="K10" s="2" t="s">
        <v>63</v>
      </c>
    </row>
    <row r="11" spans="1:12" x14ac:dyDescent="0.35">
      <c r="K11" s="3" t="s">
        <v>75</v>
      </c>
    </row>
    <row r="12" spans="1:12" x14ac:dyDescent="0.35">
      <c r="A12" s="3" t="s">
        <v>87</v>
      </c>
      <c r="B12" s="10">
        <v>3671730</v>
      </c>
      <c r="C12" s="6" t="str">
        <f>CONCATENATE(A12," ",TEXT(B12,"$#,###,###"))</f>
        <v>Goal:  $3,671,730</v>
      </c>
      <c r="E12" s="12">
        <f>C40/B12</f>
        <v>0.35825925925925928</v>
      </c>
      <c r="K12" s="3" t="s">
        <v>76</v>
      </c>
    </row>
    <row r="13" spans="1:12" x14ac:dyDescent="0.35">
      <c r="B13" s="11">
        <f>B12/10</f>
        <v>367173</v>
      </c>
      <c r="C13" s="11">
        <f>B13/10</f>
        <v>36717.300000000003</v>
      </c>
      <c r="K13" s="3" t="s">
        <v>77</v>
      </c>
    </row>
    <row r="14" spans="1:12" x14ac:dyDescent="0.35">
      <c r="K14" s="3" t="s">
        <v>64</v>
      </c>
    </row>
    <row r="15" spans="1:12" x14ac:dyDescent="0.35">
      <c r="B15" t="s">
        <v>81</v>
      </c>
      <c r="C15" t="s">
        <v>82</v>
      </c>
      <c r="D15" t="s">
        <v>118</v>
      </c>
    </row>
    <row r="16" spans="1:12" x14ac:dyDescent="0.35">
      <c r="B16" s="9">
        <v>0.1</v>
      </c>
      <c r="C16" s="11">
        <v>367173</v>
      </c>
      <c r="D16">
        <v>10</v>
      </c>
    </row>
    <row r="17" spans="2:4" x14ac:dyDescent="0.35">
      <c r="B17" s="9">
        <v>0.2</v>
      </c>
      <c r="C17" s="11">
        <v>367173</v>
      </c>
      <c r="D17">
        <v>10</v>
      </c>
    </row>
    <row r="18" spans="2:4" x14ac:dyDescent="0.35">
      <c r="B18" s="9">
        <v>0.3</v>
      </c>
      <c r="C18" s="11">
        <v>367173</v>
      </c>
      <c r="D18">
        <v>10</v>
      </c>
    </row>
    <row r="19" spans="2:4" x14ac:dyDescent="0.35">
      <c r="B19" s="9">
        <v>0.4</v>
      </c>
      <c r="C19" s="11">
        <v>367173</v>
      </c>
      <c r="D19">
        <v>10</v>
      </c>
    </row>
    <row r="20" spans="2:4" x14ac:dyDescent="0.35">
      <c r="B20" s="9">
        <v>0.5</v>
      </c>
      <c r="C20" s="11">
        <v>367173</v>
      </c>
      <c r="D20">
        <v>10</v>
      </c>
    </row>
    <row r="21" spans="2:4" x14ac:dyDescent="0.35">
      <c r="B21" s="9">
        <v>0.6</v>
      </c>
      <c r="C21" s="11">
        <v>367173</v>
      </c>
      <c r="D21">
        <v>10</v>
      </c>
    </row>
    <row r="22" spans="2:4" x14ac:dyDescent="0.35">
      <c r="B22" s="9">
        <v>0.7</v>
      </c>
      <c r="C22" s="11">
        <v>367173</v>
      </c>
      <c r="D22">
        <v>10</v>
      </c>
    </row>
    <row r="23" spans="2:4" x14ac:dyDescent="0.35">
      <c r="B23" s="9">
        <v>0.8</v>
      </c>
      <c r="C23" s="11">
        <v>367173</v>
      </c>
      <c r="D23">
        <v>10</v>
      </c>
    </row>
    <row r="24" spans="2:4" x14ac:dyDescent="0.35">
      <c r="B24" s="9">
        <v>0.9</v>
      </c>
      <c r="C24" s="11">
        <v>367173</v>
      </c>
      <c r="D24">
        <v>10</v>
      </c>
    </row>
    <row r="25" spans="2:4" x14ac:dyDescent="0.35">
      <c r="B25" s="9">
        <v>1</v>
      </c>
      <c r="C25" s="11">
        <v>367173</v>
      </c>
      <c r="D25">
        <v>10</v>
      </c>
    </row>
    <row r="26" spans="2:4" x14ac:dyDescent="0.35">
      <c r="B26" s="9">
        <v>1.1000000000000001</v>
      </c>
      <c r="C26">
        <v>367173</v>
      </c>
      <c r="D26">
        <v>10</v>
      </c>
    </row>
    <row r="27" spans="2:4" x14ac:dyDescent="0.35">
      <c r="B27" s="9">
        <v>1.2</v>
      </c>
      <c r="C27">
        <v>0</v>
      </c>
      <c r="D27">
        <v>10</v>
      </c>
    </row>
    <row r="28" spans="2:4" x14ac:dyDescent="0.35">
      <c r="B28" s="9">
        <v>1.3</v>
      </c>
      <c r="C28">
        <v>0</v>
      </c>
      <c r="D28">
        <v>10</v>
      </c>
    </row>
    <row r="29" spans="2:4" x14ac:dyDescent="0.35">
      <c r="B29" s="9">
        <v>1.4</v>
      </c>
      <c r="C29">
        <v>0</v>
      </c>
      <c r="D29">
        <v>10</v>
      </c>
    </row>
    <row r="30" spans="2:4" x14ac:dyDescent="0.35">
      <c r="B30" s="9">
        <v>1.5</v>
      </c>
      <c r="C30">
        <v>0</v>
      </c>
      <c r="D30">
        <v>10</v>
      </c>
    </row>
    <row r="31" spans="2:4" x14ac:dyDescent="0.35">
      <c r="B31" s="9">
        <v>1.6</v>
      </c>
      <c r="C31">
        <v>0</v>
      </c>
      <c r="D31">
        <v>10</v>
      </c>
    </row>
    <row r="32" spans="2:4" x14ac:dyDescent="0.35">
      <c r="B32" s="9">
        <v>1.7</v>
      </c>
      <c r="C32">
        <v>0</v>
      </c>
      <c r="D32">
        <v>10</v>
      </c>
    </row>
    <row r="33" spans="2:4" x14ac:dyDescent="0.35">
      <c r="B33" s="9">
        <v>1.8</v>
      </c>
      <c r="C33">
        <v>0</v>
      </c>
      <c r="D33">
        <v>10</v>
      </c>
    </row>
    <row r="34" spans="2:4" x14ac:dyDescent="0.35">
      <c r="B34" s="9">
        <v>1.9</v>
      </c>
      <c r="C34">
        <v>0</v>
      </c>
      <c r="D34">
        <v>10</v>
      </c>
    </row>
    <row r="35" spans="2:4" x14ac:dyDescent="0.35">
      <c r="B35" s="9">
        <v>2</v>
      </c>
      <c r="C35">
        <v>0</v>
      </c>
      <c r="D35">
        <v>10</v>
      </c>
    </row>
    <row r="36" spans="2:4" x14ac:dyDescent="0.35">
      <c r="B36" s="9"/>
    </row>
    <row r="37" spans="2:4" x14ac:dyDescent="0.35">
      <c r="B37" s="9"/>
    </row>
    <row r="38" spans="2:4" x14ac:dyDescent="0.35">
      <c r="B38" s="9"/>
    </row>
    <row r="39" spans="2:4" x14ac:dyDescent="0.35">
      <c r="B39" t="s">
        <v>81</v>
      </c>
      <c r="C39" t="s">
        <v>83</v>
      </c>
    </row>
    <row r="40" spans="2:4" x14ac:dyDescent="0.35">
      <c r="B40" t="s">
        <v>84</v>
      </c>
      <c r="C40" s="5">
        <f>G7/2</f>
        <v>1315431.27</v>
      </c>
    </row>
    <row r="41" spans="2:4" x14ac:dyDescent="0.35">
      <c r="B41" t="s">
        <v>85</v>
      </c>
      <c r="C41">
        <v>30000</v>
      </c>
    </row>
    <row r="42" spans="2:4" x14ac:dyDescent="0.35">
      <c r="B42" t="s">
        <v>86</v>
      </c>
      <c r="C42" s="10">
        <f>C26-B12</f>
        <v>-3304557</v>
      </c>
    </row>
    <row r="44" spans="2:4" x14ac:dyDescent="0.35">
      <c r="B44" t="str">
        <f>CONCATENATE("Current: ",TEXT(2*C40,"$#,###"),", ",TEXT(2*E12,"0%"))</f>
        <v>Current: $2,630,863, 72%</v>
      </c>
    </row>
  </sheetData>
  <phoneticPr fontId="2" type="noConversion"/>
  <pageMargins left="0.7" right="0.7" top="0.75" bottom="0.75" header="0.3" footer="0.3"/>
  <drawing r:id="rId4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1CAA6-2DD0-4837-A4EE-84ECAC325805}">
  <dimension ref="A3:M35"/>
  <sheetViews>
    <sheetView workbookViewId="0">
      <selection activeCell="K5" sqref="K5"/>
    </sheetView>
  </sheetViews>
  <sheetFormatPr defaultRowHeight="14.5" x14ac:dyDescent="0.35"/>
  <cols>
    <col min="1" max="1" width="23.1796875" bestFit="1" customWidth="1"/>
    <col min="2" max="2" width="13.81640625" bestFit="1" customWidth="1"/>
    <col min="3" max="3" width="17" bestFit="1" customWidth="1"/>
    <col min="11" max="11" width="23.1796875" bestFit="1" customWidth="1"/>
    <col min="12" max="12" width="17.54296875" bestFit="1" customWidth="1"/>
  </cols>
  <sheetData>
    <row r="3" spans="1:13" x14ac:dyDescent="0.35">
      <c r="A3" s="2" t="s">
        <v>63</v>
      </c>
      <c r="B3" t="s">
        <v>65</v>
      </c>
      <c r="K3" s="2" t="s">
        <v>63</v>
      </c>
      <c r="L3" t="s">
        <v>88</v>
      </c>
    </row>
    <row r="4" spans="1:13" x14ac:dyDescent="0.35">
      <c r="A4" s="3" t="s">
        <v>23</v>
      </c>
      <c r="B4" s="5">
        <v>880255</v>
      </c>
      <c r="K4" s="3" t="s">
        <v>23</v>
      </c>
      <c r="L4" s="21">
        <v>27</v>
      </c>
      <c r="M4" t="str">
        <f>"Benefactor: "&amp;GETPIVOTDATA("Item Name",$K$3,"Item Name","Benefactor Membership")</f>
        <v>Benefactor: 27</v>
      </c>
    </row>
    <row r="5" spans="1:13" x14ac:dyDescent="0.35">
      <c r="A5" s="3" t="s">
        <v>14</v>
      </c>
      <c r="B5" s="5">
        <v>264435</v>
      </c>
      <c r="K5" s="3" t="s">
        <v>14</v>
      </c>
      <c r="L5" s="21">
        <v>64</v>
      </c>
      <c r="M5" t="str">
        <f>"Gold: "&amp;GETPIVOTDATA("Item Name",$K$4,"Item Name","Gold Membership")</f>
        <v>Gold: 64</v>
      </c>
    </row>
    <row r="6" spans="1:13" x14ac:dyDescent="0.35">
      <c r="A6" s="3" t="s">
        <v>20</v>
      </c>
      <c r="B6" s="5">
        <v>1194560</v>
      </c>
      <c r="K6" s="3" t="s">
        <v>20</v>
      </c>
      <c r="L6" s="21">
        <v>181</v>
      </c>
      <c r="M6" t="str">
        <f>"Organization: "&amp;GETPIVOTDATA("Item Name",$K$3,"Item Name","Organizational Membership")</f>
        <v>Organization: 181</v>
      </c>
    </row>
    <row r="7" spans="1:13" x14ac:dyDescent="0.35">
      <c r="A7" s="3" t="s">
        <v>64</v>
      </c>
      <c r="B7" s="21">
        <v>2339250</v>
      </c>
      <c r="K7" s="3" t="s">
        <v>64</v>
      </c>
      <c r="L7" s="21">
        <v>272</v>
      </c>
    </row>
    <row r="21" spans="1:2" x14ac:dyDescent="0.35">
      <c r="A21" t="s">
        <v>73</v>
      </c>
    </row>
    <row r="23" spans="1:2" x14ac:dyDescent="0.35">
      <c r="A23" s="2" t="s">
        <v>63</v>
      </c>
      <c r="B23" s="4" t="s">
        <v>65</v>
      </c>
    </row>
    <row r="24" spans="1:2" x14ac:dyDescent="0.35">
      <c r="A24" s="3">
        <v>1</v>
      </c>
      <c r="B24" s="4">
        <v>284075</v>
      </c>
    </row>
    <row r="25" spans="1:2" x14ac:dyDescent="0.35">
      <c r="A25" s="3">
        <v>2</v>
      </c>
      <c r="B25" s="4">
        <v>151925</v>
      </c>
    </row>
    <row r="26" spans="1:2" x14ac:dyDescent="0.35">
      <c r="A26" s="3">
        <v>3</v>
      </c>
      <c r="B26" s="4">
        <v>209320</v>
      </c>
    </row>
    <row r="27" spans="1:2" x14ac:dyDescent="0.35">
      <c r="A27" s="3">
        <v>4</v>
      </c>
      <c r="B27" s="4">
        <v>152745</v>
      </c>
    </row>
    <row r="28" spans="1:2" x14ac:dyDescent="0.35">
      <c r="A28" s="3">
        <v>5</v>
      </c>
      <c r="B28" s="4">
        <v>327810</v>
      </c>
    </row>
    <row r="29" spans="1:2" x14ac:dyDescent="0.35">
      <c r="A29" s="3">
        <v>6</v>
      </c>
      <c r="B29" s="4">
        <v>262310</v>
      </c>
    </row>
    <row r="30" spans="1:2" x14ac:dyDescent="0.35">
      <c r="A30" s="3">
        <v>7</v>
      </c>
      <c r="B30" s="4">
        <v>282975</v>
      </c>
    </row>
    <row r="31" spans="1:2" x14ac:dyDescent="0.35">
      <c r="A31" s="3">
        <v>8</v>
      </c>
      <c r="B31" s="4">
        <v>161370</v>
      </c>
    </row>
    <row r="32" spans="1:2" x14ac:dyDescent="0.35">
      <c r="A32" s="3">
        <v>9</v>
      </c>
      <c r="B32" s="4">
        <v>70510</v>
      </c>
    </row>
    <row r="33" spans="1:2" x14ac:dyDescent="0.35">
      <c r="A33" s="3">
        <v>10</v>
      </c>
      <c r="B33" s="4">
        <v>235765</v>
      </c>
    </row>
    <row r="34" spans="1:2" x14ac:dyDescent="0.35">
      <c r="A34" s="3">
        <v>11</v>
      </c>
      <c r="B34" s="4">
        <v>200445</v>
      </c>
    </row>
    <row r="35" spans="1:2" x14ac:dyDescent="0.35">
      <c r="A35" s="3" t="s">
        <v>64</v>
      </c>
      <c r="B35" s="4">
        <v>2339250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4A594-FB02-473F-9541-C982C5FAF7E6}">
  <dimension ref="A1:J273"/>
  <sheetViews>
    <sheetView workbookViewId="0">
      <selection activeCell="B10" sqref="B10"/>
    </sheetView>
  </sheetViews>
  <sheetFormatPr defaultRowHeight="14.5" x14ac:dyDescent="0.35"/>
  <cols>
    <col min="1" max="1" width="43.26953125" bestFit="1" customWidth="1"/>
    <col min="2" max="2" width="7.1796875" bestFit="1" customWidth="1"/>
    <col min="3" max="3" width="13.08984375" bestFit="1" customWidth="1"/>
    <col min="4" max="4" width="16.7265625" bestFit="1" customWidth="1"/>
    <col min="5" max="5" width="15.7265625" bestFit="1" customWidth="1"/>
    <col min="6" max="6" width="15" bestFit="1" customWidth="1"/>
    <col min="7" max="7" width="50.26953125" bestFit="1" customWidth="1"/>
    <col min="8" max="8" width="15.453125" bestFit="1" customWidth="1"/>
    <col min="9" max="9" width="23.1796875" bestFit="1" customWidth="1"/>
    <col min="10" max="10" width="12.90625" bestFit="1" customWidth="1"/>
  </cols>
  <sheetData>
    <row r="1" spans="1:10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35">
      <c r="A2" s="21" t="s">
        <v>359</v>
      </c>
      <c r="B2">
        <v>9685</v>
      </c>
      <c r="C2" s="1">
        <v>45849</v>
      </c>
      <c r="D2">
        <v>16260</v>
      </c>
      <c r="E2">
        <v>40140</v>
      </c>
      <c r="F2" s="1">
        <v>45068</v>
      </c>
      <c r="G2" s="21" t="s">
        <v>19</v>
      </c>
      <c r="H2" s="21" t="s">
        <v>13</v>
      </c>
      <c r="I2" s="21" t="s">
        <v>20</v>
      </c>
      <c r="J2">
        <v>7</v>
      </c>
    </row>
    <row r="3" spans="1:10" x14ac:dyDescent="0.35">
      <c r="A3" s="21" t="s">
        <v>446</v>
      </c>
      <c r="B3">
        <v>9645</v>
      </c>
      <c r="C3" s="1">
        <v>45905</v>
      </c>
      <c r="D3">
        <v>17080</v>
      </c>
      <c r="E3">
        <v>42715</v>
      </c>
      <c r="F3" s="1">
        <v>40322</v>
      </c>
      <c r="G3" s="21" t="s">
        <v>0</v>
      </c>
      <c r="H3" s="21" t="s">
        <v>13</v>
      </c>
      <c r="I3" s="21" t="s">
        <v>20</v>
      </c>
      <c r="J3">
        <v>9</v>
      </c>
    </row>
    <row r="4" spans="1:10" x14ac:dyDescent="0.35">
      <c r="A4" s="21" t="s">
        <v>406</v>
      </c>
      <c r="B4">
        <v>1905</v>
      </c>
      <c r="C4" s="1">
        <v>45884</v>
      </c>
      <c r="D4">
        <v>16683</v>
      </c>
      <c r="E4">
        <v>41862</v>
      </c>
      <c r="F4" s="1">
        <v>45884</v>
      </c>
      <c r="G4" s="21" t="s">
        <v>19</v>
      </c>
      <c r="H4" s="21" t="s">
        <v>13</v>
      </c>
      <c r="I4" s="21" t="s">
        <v>14</v>
      </c>
      <c r="J4">
        <v>8</v>
      </c>
    </row>
    <row r="5" spans="1:10" x14ac:dyDescent="0.35">
      <c r="A5" s="21" t="s">
        <v>159</v>
      </c>
      <c r="B5">
        <v>1650</v>
      </c>
      <c r="C5" s="1">
        <v>45748</v>
      </c>
      <c r="D5">
        <v>15065</v>
      </c>
      <c r="E5">
        <v>37188</v>
      </c>
      <c r="F5" s="1">
        <v>37460</v>
      </c>
      <c r="G5" s="21" t="s">
        <v>1</v>
      </c>
      <c r="H5" s="21" t="s">
        <v>13</v>
      </c>
      <c r="I5" s="21" t="s">
        <v>20</v>
      </c>
      <c r="J5">
        <v>4</v>
      </c>
    </row>
    <row r="6" spans="1:10" x14ac:dyDescent="0.35">
      <c r="A6" s="21" t="s">
        <v>498</v>
      </c>
      <c r="B6">
        <v>1905</v>
      </c>
      <c r="C6" s="1">
        <v>45975</v>
      </c>
      <c r="D6">
        <v>17729</v>
      </c>
      <c r="E6">
        <v>43491</v>
      </c>
      <c r="F6" s="1">
        <v>40562</v>
      </c>
      <c r="G6" s="21" t="s">
        <v>12</v>
      </c>
      <c r="H6" s="21" t="s">
        <v>13</v>
      </c>
      <c r="I6" s="21" t="s">
        <v>14</v>
      </c>
      <c r="J6">
        <v>11</v>
      </c>
    </row>
    <row r="7" spans="1:10" x14ac:dyDescent="0.35">
      <c r="A7" s="21" t="s">
        <v>121</v>
      </c>
      <c r="B7">
        <v>38100</v>
      </c>
      <c r="C7" s="1">
        <v>45702</v>
      </c>
      <c r="D7">
        <v>14481</v>
      </c>
      <c r="E7">
        <v>36086</v>
      </c>
      <c r="F7" s="1">
        <v>31778</v>
      </c>
      <c r="G7" s="21" t="s">
        <v>0</v>
      </c>
      <c r="H7" s="21" t="s">
        <v>13</v>
      </c>
      <c r="I7" s="21" t="s">
        <v>23</v>
      </c>
      <c r="J7">
        <v>2</v>
      </c>
    </row>
    <row r="8" spans="1:10" x14ac:dyDescent="0.35">
      <c r="A8" s="21" t="s">
        <v>122</v>
      </c>
      <c r="B8">
        <v>1905</v>
      </c>
      <c r="C8" s="1">
        <v>45702</v>
      </c>
      <c r="D8">
        <v>14482</v>
      </c>
      <c r="E8">
        <v>36087</v>
      </c>
      <c r="F8" s="1">
        <v>44571</v>
      </c>
      <c r="G8" s="21" t="s">
        <v>19</v>
      </c>
      <c r="H8" s="21" t="s">
        <v>13</v>
      </c>
      <c r="I8" s="21" t="s">
        <v>14</v>
      </c>
      <c r="J8">
        <v>2</v>
      </c>
    </row>
    <row r="9" spans="1:10" x14ac:dyDescent="0.35">
      <c r="A9" s="21" t="s">
        <v>160</v>
      </c>
      <c r="B9">
        <v>5460</v>
      </c>
      <c r="C9" s="1">
        <v>45730</v>
      </c>
      <c r="D9">
        <v>14782</v>
      </c>
      <c r="E9">
        <v>36662</v>
      </c>
      <c r="F9" s="1">
        <v>41085</v>
      </c>
      <c r="G9" s="21" t="s">
        <v>12</v>
      </c>
      <c r="H9" s="21" t="s">
        <v>161</v>
      </c>
      <c r="I9" s="21" t="s">
        <v>20</v>
      </c>
      <c r="J9">
        <v>3</v>
      </c>
    </row>
    <row r="10" spans="1:10" x14ac:dyDescent="0.35">
      <c r="A10" s="21" t="s">
        <v>218</v>
      </c>
      <c r="B10">
        <v>1545</v>
      </c>
      <c r="C10" s="1">
        <v>45769</v>
      </c>
      <c r="D10">
        <v>15381</v>
      </c>
      <c r="E10">
        <v>38442</v>
      </c>
      <c r="F10" s="1">
        <v>42159</v>
      </c>
      <c r="G10" s="21" t="s">
        <v>12</v>
      </c>
      <c r="H10" s="21" t="s">
        <v>219</v>
      </c>
      <c r="I10" s="21" t="s">
        <v>20</v>
      </c>
      <c r="J10">
        <v>4</v>
      </c>
    </row>
    <row r="11" spans="1:10" x14ac:dyDescent="0.35">
      <c r="A11" s="21" t="s">
        <v>408</v>
      </c>
      <c r="B11">
        <v>2680</v>
      </c>
      <c r="C11" s="1">
        <v>45884</v>
      </c>
      <c r="D11">
        <v>16669</v>
      </c>
      <c r="E11">
        <v>41835</v>
      </c>
      <c r="F11" s="1">
        <v>40518</v>
      </c>
      <c r="G11" s="21" t="s">
        <v>12</v>
      </c>
      <c r="H11" s="21" t="s">
        <v>13</v>
      </c>
      <c r="I11" s="21" t="s">
        <v>20</v>
      </c>
      <c r="J11">
        <v>8</v>
      </c>
    </row>
    <row r="12" spans="1:10" x14ac:dyDescent="0.35">
      <c r="A12" s="21" t="s">
        <v>409</v>
      </c>
      <c r="B12">
        <v>1545</v>
      </c>
      <c r="C12" s="1">
        <v>45890</v>
      </c>
      <c r="D12">
        <v>16801</v>
      </c>
      <c r="E12">
        <v>42165</v>
      </c>
      <c r="F12" s="1">
        <v>44124</v>
      </c>
      <c r="G12" s="21" t="s">
        <v>12</v>
      </c>
      <c r="H12" s="21" t="s">
        <v>13</v>
      </c>
      <c r="I12" s="21" t="s">
        <v>20</v>
      </c>
      <c r="J12">
        <v>8</v>
      </c>
    </row>
    <row r="13" spans="1:10" x14ac:dyDescent="0.35">
      <c r="A13" s="21" t="s">
        <v>464</v>
      </c>
      <c r="B13">
        <v>2990</v>
      </c>
      <c r="C13" s="1">
        <v>45931</v>
      </c>
      <c r="D13">
        <v>17411</v>
      </c>
      <c r="E13">
        <v>43146</v>
      </c>
      <c r="F13" s="1">
        <v>44130</v>
      </c>
      <c r="G13" s="21" t="s">
        <v>0</v>
      </c>
      <c r="H13" s="21" t="s">
        <v>13</v>
      </c>
      <c r="I13" s="21" t="s">
        <v>14</v>
      </c>
      <c r="J13">
        <v>10</v>
      </c>
    </row>
    <row r="14" spans="1:10" x14ac:dyDescent="0.35">
      <c r="A14" s="21" t="s">
        <v>361</v>
      </c>
      <c r="B14">
        <v>1905</v>
      </c>
      <c r="C14" s="1">
        <v>45866</v>
      </c>
      <c r="D14">
        <v>16411</v>
      </c>
      <c r="E14">
        <v>40502</v>
      </c>
      <c r="F14" s="1">
        <v>41891</v>
      </c>
      <c r="G14" s="21" t="s">
        <v>0</v>
      </c>
      <c r="H14" s="21" t="s">
        <v>13</v>
      </c>
      <c r="I14" s="21" t="s">
        <v>14</v>
      </c>
      <c r="J14">
        <v>7</v>
      </c>
    </row>
    <row r="15" spans="1:10" x14ac:dyDescent="0.35">
      <c r="A15" s="21" t="s">
        <v>220</v>
      </c>
      <c r="B15">
        <v>1905</v>
      </c>
      <c r="C15" s="1">
        <v>45758</v>
      </c>
      <c r="D15">
        <v>15216</v>
      </c>
      <c r="E15">
        <v>37814</v>
      </c>
      <c r="F15" s="1">
        <v>41361</v>
      </c>
      <c r="G15" s="21" t="s">
        <v>12</v>
      </c>
      <c r="H15" s="21" t="s">
        <v>13</v>
      </c>
      <c r="I15" s="21" t="s">
        <v>14</v>
      </c>
      <c r="J15">
        <v>4</v>
      </c>
    </row>
    <row r="16" spans="1:10" x14ac:dyDescent="0.35">
      <c r="A16" s="21" t="s">
        <v>221</v>
      </c>
      <c r="B16">
        <v>1545</v>
      </c>
      <c r="C16" s="1">
        <v>45750</v>
      </c>
      <c r="D16">
        <v>15100</v>
      </c>
      <c r="E16">
        <v>37324</v>
      </c>
      <c r="F16" s="1">
        <v>37772</v>
      </c>
      <c r="G16" s="21" t="s">
        <v>12</v>
      </c>
      <c r="H16" s="21" t="s">
        <v>13</v>
      </c>
      <c r="I16" s="21" t="s">
        <v>20</v>
      </c>
      <c r="J16">
        <v>4</v>
      </c>
    </row>
    <row r="17" spans="1:10" x14ac:dyDescent="0.35">
      <c r="A17" s="21" t="s">
        <v>162</v>
      </c>
      <c r="B17">
        <v>1545</v>
      </c>
      <c r="C17" s="1">
        <v>45722</v>
      </c>
      <c r="D17">
        <v>14689</v>
      </c>
      <c r="E17">
        <v>36502</v>
      </c>
      <c r="F17" s="1">
        <v>40976</v>
      </c>
      <c r="G17" s="21" t="s">
        <v>12</v>
      </c>
      <c r="H17" s="21" t="s">
        <v>13</v>
      </c>
      <c r="I17" s="21" t="s">
        <v>20</v>
      </c>
      <c r="J17">
        <v>3</v>
      </c>
    </row>
    <row r="18" spans="1:10" x14ac:dyDescent="0.35">
      <c r="A18" s="21" t="s">
        <v>222</v>
      </c>
      <c r="B18">
        <v>1905</v>
      </c>
      <c r="C18" s="1">
        <v>45800</v>
      </c>
      <c r="D18">
        <v>15717</v>
      </c>
      <c r="E18">
        <v>39246</v>
      </c>
      <c r="F18" s="1">
        <v>44294</v>
      </c>
      <c r="G18" s="21" t="s">
        <v>12</v>
      </c>
      <c r="H18" s="21" t="s">
        <v>13</v>
      </c>
      <c r="I18" s="21" t="s">
        <v>14</v>
      </c>
      <c r="J18">
        <v>5</v>
      </c>
    </row>
    <row r="19" spans="1:10" x14ac:dyDescent="0.35">
      <c r="A19" s="21" t="s">
        <v>410</v>
      </c>
      <c r="B19">
        <v>1545</v>
      </c>
      <c r="C19" s="1">
        <v>45902</v>
      </c>
      <c r="D19">
        <v>17007</v>
      </c>
      <c r="E19">
        <v>42540</v>
      </c>
      <c r="F19" s="1">
        <v>45532</v>
      </c>
      <c r="G19" s="21" t="s">
        <v>12</v>
      </c>
      <c r="H19" s="21" t="s">
        <v>13</v>
      </c>
      <c r="I19" s="21" t="s">
        <v>20</v>
      </c>
      <c r="J19">
        <v>9</v>
      </c>
    </row>
    <row r="20" spans="1:10" x14ac:dyDescent="0.35">
      <c r="A20" s="21" t="s">
        <v>163</v>
      </c>
      <c r="B20">
        <v>16500</v>
      </c>
      <c r="C20" s="1">
        <v>45744</v>
      </c>
      <c r="D20">
        <v>15034</v>
      </c>
      <c r="E20">
        <v>37127</v>
      </c>
      <c r="F20" s="1">
        <v>40162</v>
      </c>
      <c r="G20" s="21" t="s">
        <v>12</v>
      </c>
      <c r="H20" s="21" t="s">
        <v>13</v>
      </c>
      <c r="I20" s="21" t="s">
        <v>23</v>
      </c>
      <c r="J20">
        <v>3</v>
      </c>
    </row>
    <row r="21" spans="1:10" x14ac:dyDescent="0.35">
      <c r="A21" s="21" t="s">
        <v>165</v>
      </c>
      <c r="B21">
        <v>2370</v>
      </c>
      <c r="C21" s="1">
        <v>45728</v>
      </c>
      <c r="D21">
        <v>14744</v>
      </c>
      <c r="E21">
        <v>36595</v>
      </c>
      <c r="F21" s="1">
        <v>37839</v>
      </c>
      <c r="G21" s="21" t="s">
        <v>19</v>
      </c>
      <c r="H21" s="21" t="s">
        <v>13</v>
      </c>
      <c r="I21" s="21" t="s">
        <v>20</v>
      </c>
      <c r="J21">
        <v>3</v>
      </c>
    </row>
    <row r="22" spans="1:10" x14ac:dyDescent="0.35">
      <c r="A22" s="21" t="s">
        <v>448</v>
      </c>
      <c r="B22">
        <v>38100</v>
      </c>
      <c r="C22" s="1">
        <v>45911</v>
      </c>
      <c r="D22">
        <v>17161</v>
      </c>
      <c r="E22">
        <v>42838</v>
      </c>
      <c r="F22" s="1">
        <v>43318</v>
      </c>
      <c r="G22" s="21" t="s">
        <v>19</v>
      </c>
      <c r="H22" s="21" t="s">
        <v>13</v>
      </c>
      <c r="I22" s="21" t="s">
        <v>23</v>
      </c>
      <c r="J22">
        <v>9</v>
      </c>
    </row>
    <row r="23" spans="1:10" x14ac:dyDescent="0.35">
      <c r="A23" s="21" t="s">
        <v>465</v>
      </c>
      <c r="B23">
        <v>1545</v>
      </c>
      <c r="C23" s="1">
        <v>45938</v>
      </c>
      <c r="D23">
        <v>17461</v>
      </c>
      <c r="E23">
        <v>43196</v>
      </c>
      <c r="F23" s="1">
        <v>40798</v>
      </c>
      <c r="G23" s="21" t="s">
        <v>19</v>
      </c>
      <c r="H23" s="21" t="s">
        <v>13</v>
      </c>
      <c r="I23" s="21" t="s">
        <v>20</v>
      </c>
      <c r="J23">
        <v>10</v>
      </c>
    </row>
    <row r="24" spans="1:10" x14ac:dyDescent="0.35">
      <c r="A24" s="21" t="s">
        <v>316</v>
      </c>
      <c r="B24">
        <v>2370</v>
      </c>
      <c r="C24" s="1">
        <v>45811</v>
      </c>
      <c r="D24">
        <v>15791</v>
      </c>
      <c r="E24">
        <v>39358</v>
      </c>
      <c r="F24" s="1">
        <v>43643</v>
      </c>
      <c r="G24" s="21" t="s">
        <v>19</v>
      </c>
      <c r="H24" s="21" t="s">
        <v>13</v>
      </c>
      <c r="I24" s="21" t="s">
        <v>20</v>
      </c>
      <c r="J24">
        <v>6</v>
      </c>
    </row>
    <row r="25" spans="1:10" x14ac:dyDescent="0.35">
      <c r="A25" s="21" t="s">
        <v>466</v>
      </c>
      <c r="B25">
        <v>1545</v>
      </c>
      <c r="C25" s="1">
        <v>45940</v>
      </c>
      <c r="D25">
        <v>17481</v>
      </c>
      <c r="E25">
        <v>43216</v>
      </c>
      <c r="F25" s="1">
        <v>45632</v>
      </c>
      <c r="G25" s="21" t="s">
        <v>0</v>
      </c>
      <c r="H25" s="21" t="s">
        <v>13</v>
      </c>
      <c r="I25" s="21" t="s">
        <v>20</v>
      </c>
      <c r="J25">
        <v>10</v>
      </c>
    </row>
    <row r="26" spans="1:10" x14ac:dyDescent="0.35">
      <c r="A26" s="21" t="s">
        <v>449</v>
      </c>
      <c r="B26">
        <v>4225</v>
      </c>
      <c r="C26" s="1">
        <v>45911</v>
      </c>
      <c r="D26">
        <v>17190</v>
      </c>
      <c r="E26">
        <v>42888</v>
      </c>
      <c r="F26" s="1">
        <v>45526</v>
      </c>
      <c r="G26" s="21" t="s">
        <v>1</v>
      </c>
      <c r="H26" s="21" t="s">
        <v>13</v>
      </c>
      <c r="I26" s="21" t="s">
        <v>20</v>
      </c>
      <c r="J26">
        <v>9</v>
      </c>
    </row>
    <row r="27" spans="1:10" x14ac:dyDescent="0.35">
      <c r="A27" s="21" t="s">
        <v>412</v>
      </c>
      <c r="B27">
        <v>1905</v>
      </c>
      <c r="C27" s="1">
        <v>45889</v>
      </c>
      <c r="D27">
        <v>16779</v>
      </c>
      <c r="E27">
        <v>42106</v>
      </c>
      <c r="F27" s="1">
        <v>42577</v>
      </c>
      <c r="G27" s="21" t="s">
        <v>19</v>
      </c>
      <c r="H27" s="21" t="s">
        <v>13</v>
      </c>
      <c r="I27" s="21" t="s">
        <v>14</v>
      </c>
      <c r="J27">
        <v>8</v>
      </c>
    </row>
    <row r="28" spans="1:10" x14ac:dyDescent="0.35">
      <c r="A28" s="21" t="s">
        <v>450</v>
      </c>
      <c r="B28">
        <v>1545</v>
      </c>
      <c r="C28" s="1">
        <v>45910</v>
      </c>
      <c r="D28">
        <v>17150</v>
      </c>
      <c r="E28">
        <v>42825</v>
      </c>
      <c r="F28" s="1">
        <v>45910</v>
      </c>
      <c r="G28" s="21" t="s">
        <v>0</v>
      </c>
      <c r="H28" s="21" t="s">
        <v>13</v>
      </c>
      <c r="I28" s="21" t="s">
        <v>20</v>
      </c>
      <c r="J28">
        <v>9</v>
      </c>
    </row>
    <row r="29" spans="1:10" x14ac:dyDescent="0.35">
      <c r="A29" s="21" t="s">
        <v>166</v>
      </c>
      <c r="B29">
        <v>2680</v>
      </c>
      <c r="C29" s="1">
        <v>45734</v>
      </c>
      <c r="D29">
        <v>14837</v>
      </c>
      <c r="E29">
        <v>36750</v>
      </c>
      <c r="F29" s="1">
        <v>43559</v>
      </c>
      <c r="G29" s="21" t="s">
        <v>1</v>
      </c>
      <c r="H29" s="21" t="s">
        <v>13</v>
      </c>
      <c r="I29" s="21" t="s">
        <v>20</v>
      </c>
      <c r="J29">
        <v>3</v>
      </c>
    </row>
    <row r="30" spans="1:10" x14ac:dyDescent="0.35">
      <c r="A30" s="21" t="s">
        <v>223</v>
      </c>
      <c r="B30">
        <v>1650</v>
      </c>
      <c r="C30" s="1">
        <v>45768</v>
      </c>
      <c r="D30">
        <v>15371</v>
      </c>
      <c r="E30">
        <v>38426</v>
      </c>
      <c r="F30" s="1">
        <v>44697</v>
      </c>
      <c r="G30" s="21" t="s">
        <v>1</v>
      </c>
      <c r="H30" s="21" t="s">
        <v>13</v>
      </c>
      <c r="I30" s="21" t="s">
        <v>20</v>
      </c>
      <c r="J30">
        <v>4</v>
      </c>
    </row>
    <row r="31" spans="1:10" x14ac:dyDescent="0.35">
      <c r="A31" s="21" t="s">
        <v>123</v>
      </c>
      <c r="B31">
        <v>1545</v>
      </c>
      <c r="C31" s="1">
        <v>45890</v>
      </c>
      <c r="D31">
        <v>16846</v>
      </c>
      <c r="E31">
        <v>42288</v>
      </c>
      <c r="F31" s="1">
        <v>42675</v>
      </c>
      <c r="G31" s="21" t="s">
        <v>19</v>
      </c>
      <c r="H31" s="21" t="s">
        <v>58</v>
      </c>
      <c r="I31" s="21" t="s">
        <v>20</v>
      </c>
      <c r="J31">
        <v>8</v>
      </c>
    </row>
    <row r="32" spans="1:10" x14ac:dyDescent="0.35">
      <c r="A32" s="21" t="s">
        <v>123</v>
      </c>
      <c r="B32">
        <v>1545</v>
      </c>
      <c r="C32" s="1">
        <v>45666</v>
      </c>
      <c r="D32">
        <v>13918</v>
      </c>
      <c r="E32">
        <v>35299</v>
      </c>
      <c r="F32" s="1">
        <v>42675</v>
      </c>
      <c r="G32" s="21" t="s">
        <v>19</v>
      </c>
      <c r="H32" s="21" t="s">
        <v>58</v>
      </c>
      <c r="I32" s="21" t="s">
        <v>20</v>
      </c>
      <c r="J32">
        <v>1</v>
      </c>
    </row>
    <row r="33" spans="1:10" x14ac:dyDescent="0.35">
      <c r="A33" s="21" t="s">
        <v>167</v>
      </c>
      <c r="B33">
        <v>2680</v>
      </c>
      <c r="C33" s="1">
        <v>45740</v>
      </c>
      <c r="D33">
        <v>14939</v>
      </c>
      <c r="E33">
        <v>36931</v>
      </c>
      <c r="F33" s="1">
        <v>39965</v>
      </c>
      <c r="G33" s="21" t="s">
        <v>1</v>
      </c>
      <c r="H33" s="21" t="s">
        <v>13</v>
      </c>
      <c r="I33" s="21" t="s">
        <v>20</v>
      </c>
      <c r="J33">
        <v>3</v>
      </c>
    </row>
    <row r="34" spans="1:10" x14ac:dyDescent="0.35">
      <c r="A34" s="21" t="s">
        <v>224</v>
      </c>
      <c r="B34">
        <v>1905</v>
      </c>
      <c r="C34" s="1">
        <v>45784</v>
      </c>
      <c r="D34">
        <v>15561</v>
      </c>
      <c r="E34">
        <v>38970</v>
      </c>
      <c r="F34" s="1">
        <v>36360</v>
      </c>
      <c r="G34" s="21" t="s">
        <v>12</v>
      </c>
      <c r="H34" s="21" t="s">
        <v>13</v>
      </c>
      <c r="I34" s="21" t="s">
        <v>14</v>
      </c>
      <c r="J34">
        <v>5</v>
      </c>
    </row>
    <row r="35" spans="1:10" x14ac:dyDescent="0.35">
      <c r="A35" s="21" t="s">
        <v>413</v>
      </c>
      <c r="B35">
        <v>5770</v>
      </c>
      <c r="C35" s="1">
        <v>45890</v>
      </c>
      <c r="D35">
        <v>16845</v>
      </c>
      <c r="E35">
        <v>42310</v>
      </c>
      <c r="F35" s="1">
        <v>39907</v>
      </c>
      <c r="G35" s="21" t="s">
        <v>227</v>
      </c>
      <c r="H35" s="21" t="s">
        <v>13</v>
      </c>
      <c r="I35" s="21" t="s">
        <v>20</v>
      </c>
      <c r="J35">
        <v>8</v>
      </c>
    </row>
    <row r="36" spans="1:10" x14ac:dyDescent="0.35">
      <c r="A36" s="21" t="s">
        <v>467</v>
      </c>
      <c r="B36">
        <v>9690</v>
      </c>
      <c r="C36" s="1">
        <v>45954</v>
      </c>
      <c r="D36">
        <v>17604</v>
      </c>
      <c r="E36">
        <v>43350</v>
      </c>
      <c r="F36" s="1">
        <v>44867</v>
      </c>
      <c r="G36" s="21" t="s">
        <v>227</v>
      </c>
      <c r="H36" s="21" t="s">
        <v>13</v>
      </c>
      <c r="I36" s="21" t="s">
        <v>20</v>
      </c>
      <c r="J36">
        <v>10</v>
      </c>
    </row>
    <row r="37" spans="1:10" x14ac:dyDescent="0.35">
      <c r="A37" s="21" t="s">
        <v>468</v>
      </c>
      <c r="B37">
        <v>12050</v>
      </c>
      <c r="C37" s="1">
        <v>45947</v>
      </c>
      <c r="D37">
        <v>17556</v>
      </c>
      <c r="E37">
        <v>43296</v>
      </c>
      <c r="F37" s="1">
        <v>40079</v>
      </c>
      <c r="G37" s="21" t="s">
        <v>227</v>
      </c>
      <c r="H37" s="21" t="s">
        <v>13</v>
      </c>
      <c r="I37" s="21" t="s">
        <v>14</v>
      </c>
      <c r="J37">
        <v>10</v>
      </c>
    </row>
    <row r="38" spans="1:10" x14ac:dyDescent="0.35">
      <c r="A38" s="21" t="s">
        <v>414</v>
      </c>
      <c r="B38">
        <v>2680</v>
      </c>
      <c r="C38" s="1">
        <v>45884</v>
      </c>
      <c r="D38">
        <v>16668</v>
      </c>
      <c r="E38">
        <v>41834</v>
      </c>
      <c r="F38" s="1">
        <v>41905</v>
      </c>
      <c r="G38" s="21" t="s">
        <v>1</v>
      </c>
      <c r="H38" s="21" t="s">
        <v>13</v>
      </c>
      <c r="I38" s="21" t="s">
        <v>20</v>
      </c>
      <c r="J38">
        <v>8</v>
      </c>
    </row>
    <row r="39" spans="1:10" x14ac:dyDescent="0.35">
      <c r="A39" s="21" t="s">
        <v>41</v>
      </c>
      <c r="B39">
        <v>5770</v>
      </c>
      <c r="C39" s="1">
        <v>45681</v>
      </c>
      <c r="D39">
        <v>14208</v>
      </c>
      <c r="E39">
        <v>35690</v>
      </c>
      <c r="F39" s="1">
        <v>43105</v>
      </c>
      <c r="G39" s="21" t="s">
        <v>19</v>
      </c>
      <c r="H39" s="21" t="s">
        <v>13</v>
      </c>
      <c r="I39" s="21" t="s">
        <v>20</v>
      </c>
      <c r="J39">
        <v>1</v>
      </c>
    </row>
    <row r="40" spans="1:10" x14ac:dyDescent="0.35">
      <c r="A40" s="21" t="s">
        <v>318</v>
      </c>
      <c r="B40">
        <v>2680</v>
      </c>
      <c r="C40" s="1">
        <v>45828</v>
      </c>
      <c r="D40">
        <v>15958</v>
      </c>
      <c r="E40">
        <v>39633</v>
      </c>
      <c r="F40" s="1">
        <v>40627</v>
      </c>
      <c r="G40" s="21" t="s">
        <v>12</v>
      </c>
      <c r="H40" s="21" t="s">
        <v>13</v>
      </c>
      <c r="I40" s="21" t="s">
        <v>20</v>
      </c>
      <c r="J40">
        <v>6</v>
      </c>
    </row>
    <row r="41" spans="1:10" x14ac:dyDescent="0.35">
      <c r="A41" s="21" t="s">
        <v>124</v>
      </c>
      <c r="B41">
        <v>1905</v>
      </c>
      <c r="C41" s="1">
        <v>45707</v>
      </c>
      <c r="D41">
        <v>14507</v>
      </c>
      <c r="E41">
        <v>36134</v>
      </c>
      <c r="F41" s="1">
        <v>37725</v>
      </c>
      <c r="G41" s="21" t="s">
        <v>19</v>
      </c>
      <c r="H41" s="21" t="s">
        <v>13</v>
      </c>
      <c r="I41" s="21" t="s">
        <v>14</v>
      </c>
      <c r="J41">
        <v>2</v>
      </c>
    </row>
    <row r="42" spans="1:10" x14ac:dyDescent="0.35">
      <c r="A42" s="21" t="s">
        <v>500</v>
      </c>
      <c r="B42">
        <v>1545</v>
      </c>
      <c r="C42" s="1">
        <v>45978</v>
      </c>
      <c r="D42">
        <v>17735</v>
      </c>
      <c r="E42">
        <v>43497</v>
      </c>
      <c r="F42" s="1">
        <v>40180</v>
      </c>
      <c r="G42" s="21" t="s">
        <v>12</v>
      </c>
      <c r="H42" s="21" t="s">
        <v>13</v>
      </c>
      <c r="I42" s="21" t="s">
        <v>20</v>
      </c>
      <c r="J42">
        <v>11</v>
      </c>
    </row>
    <row r="43" spans="1:10" x14ac:dyDescent="0.35">
      <c r="A43" s="21" t="s">
        <v>365</v>
      </c>
      <c r="B43">
        <v>2680</v>
      </c>
      <c r="C43" s="1">
        <v>45863</v>
      </c>
      <c r="D43">
        <v>16375</v>
      </c>
      <c r="E43">
        <v>40446</v>
      </c>
      <c r="F43" s="1">
        <v>43570</v>
      </c>
      <c r="G43" s="21" t="s">
        <v>12</v>
      </c>
      <c r="H43" s="21" t="s">
        <v>13</v>
      </c>
      <c r="I43" s="21" t="s">
        <v>20</v>
      </c>
      <c r="J43">
        <v>7</v>
      </c>
    </row>
    <row r="44" spans="1:10" x14ac:dyDescent="0.35">
      <c r="A44" s="21" t="s">
        <v>54</v>
      </c>
      <c r="B44">
        <v>1905</v>
      </c>
      <c r="C44" s="1">
        <v>45666</v>
      </c>
      <c r="D44">
        <v>13881</v>
      </c>
      <c r="E44">
        <v>35253</v>
      </c>
      <c r="F44" s="1">
        <v>44291</v>
      </c>
      <c r="G44" s="21" t="s">
        <v>12</v>
      </c>
      <c r="H44" s="21" t="s">
        <v>13</v>
      </c>
      <c r="I44" s="21" t="s">
        <v>14</v>
      </c>
      <c r="J44">
        <v>1</v>
      </c>
    </row>
    <row r="45" spans="1:10" x14ac:dyDescent="0.35">
      <c r="A45" s="21" t="s">
        <v>416</v>
      </c>
      <c r="B45">
        <v>37900</v>
      </c>
      <c r="C45" s="1">
        <v>45869</v>
      </c>
      <c r="D45">
        <v>16460</v>
      </c>
      <c r="E45">
        <v>40634</v>
      </c>
      <c r="F45" s="1">
        <v>40998</v>
      </c>
      <c r="G45" s="21" t="s">
        <v>227</v>
      </c>
      <c r="H45" s="21" t="s">
        <v>13</v>
      </c>
      <c r="I45" s="21" t="s">
        <v>23</v>
      </c>
      <c r="J45">
        <v>7</v>
      </c>
    </row>
    <row r="46" spans="1:10" x14ac:dyDescent="0.35">
      <c r="A46" s="21" t="s">
        <v>225</v>
      </c>
      <c r="B46">
        <v>1545</v>
      </c>
      <c r="C46" s="1">
        <v>45769</v>
      </c>
      <c r="D46">
        <v>15378</v>
      </c>
      <c r="E46">
        <v>38439</v>
      </c>
      <c r="F46" s="1">
        <v>45398</v>
      </c>
      <c r="G46" s="21" t="s">
        <v>19</v>
      </c>
      <c r="H46" s="21" t="s">
        <v>13</v>
      </c>
      <c r="I46" s="21" t="s">
        <v>20</v>
      </c>
      <c r="J46">
        <v>4</v>
      </c>
    </row>
    <row r="47" spans="1:10" x14ac:dyDescent="0.35">
      <c r="A47" s="21" t="s">
        <v>226</v>
      </c>
      <c r="B47">
        <v>16180</v>
      </c>
      <c r="C47" s="1">
        <v>45799</v>
      </c>
      <c r="D47">
        <v>15720</v>
      </c>
      <c r="E47">
        <v>39249</v>
      </c>
      <c r="F47" s="1">
        <v>41611</v>
      </c>
      <c r="G47" s="21" t="s">
        <v>227</v>
      </c>
      <c r="H47" s="21" t="s">
        <v>13</v>
      </c>
      <c r="I47" s="21" t="s">
        <v>20</v>
      </c>
      <c r="J47">
        <v>5</v>
      </c>
    </row>
    <row r="48" spans="1:10" x14ac:dyDescent="0.35">
      <c r="A48" s="21" t="s">
        <v>469</v>
      </c>
      <c r="B48">
        <v>1905</v>
      </c>
      <c r="C48" s="1">
        <v>45946</v>
      </c>
      <c r="D48">
        <v>17536</v>
      </c>
      <c r="E48">
        <v>43273</v>
      </c>
      <c r="F48" s="1">
        <v>45656</v>
      </c>
      <c r="G48" s="21" t="s">
        <v>12</v>
      </c>
      <c r="H48" s="21" t="s">
        <v>13</v>
      </c>
      <c r="I48" s="21" t="s">
        <v>14</v>
      </c>
      <c r="J48">
        <v>10</v>
      </c>
    </row>
    <row r="49" spans="1:10" x14ac:dyDescent="0.35">
      <c r="A49" s="21" t="s">
        <v>61</v>
      </c>
      <c r="B49">
        <v>1545</v>
      </c>
      <c r="C49" s="1">
        <v>45663</v>
      </c>
      <c r="D49">
        <v>13765</v>
      </c>
      <c r="E49">
        <v>35119</v>
      </c>
      <c r="F49" s="1">
        <v>40187</v>
      </c>
      <c r="G49" s="21" t="s">
        <v>19</v>
      </c>
      <c r="H49" s="21" t="s">
        <v>27</v>
      </c>
      <c r="I49" s="21" t="s">
        <v>20</v>
      </c>
      <c r="J49">
        <v>1</v>
      </c>
    </row>
    <row r="50" spans="1:10" x14ac:dyDescent="0.35">
      <c r="A50" s="21" t="s">
        <v>61</v>
      </c>
      <c r="B50">
        <v>1545</v>
      </c>
      <c r="C50" s="1">
        <v>45961</v>
      </c>
      <c r="D50">
        <v>17630</v>
      </c>
      <c r="E50">
        <v>43390</v>
      </c>
      <c r="F50" s="1">
        <v>40187</v>
      </c>
      <c r="G50" s="21" t="s">
        <v>19</v>
      </c>
      <c r="H50" s="21" t="s">
        <v>27</v>
      </c>
      <c r="I50" s="21" t="s">
        <v>20</v>
      </c>
      <c r="J50">
        <v>10</v>
      </c>
    </row>
    <row r="51" spans="1:10" x14ac:dyDescent="0.35">
      <c r="A51" s="21" t="s">
        <v>228</v>
      </c>
      <c r="B51">
        <v>1905</v>
      </c>
      <c r="C51" s="1">
        <v>45804</v>
      </c>
      <c r="D51">
        <v>15734</v>
      </c>
      <c r="E51">
        <v>39263</v>
      </c>
      <c r="F51" s="1">
        <v>43304</v>
      </c>
      <c r="G51" s="21" t="s">
        <v>0</v>
      </c>
      <c r="H51" s="21" t="s">
        <v>13</v>
      </c>
      <c r="I51" s="21" t="s">
        <v>14</v>
      </c>
      <c r="J51">
        <v>5</v>
      </c>
    </row>
    <row r="52" spans="1:10" x14ac:dyDescent="0.35">
      <c r="A52" s="21" t="s">
        <v>229</v>
      </c>
      <c r="B52">
        <v>23375</v>
      </c>
      <c r="C52" s="1">
        <v>45782</v>
      </c>
      <c r="D52">
        <v>15533</v>
      </c>
      <c r="E52">
        <v>38901</v>
      </c>
      <c r="F52" s="1">
        <v>45782</v>
      </c>
      <c r="G52" s="21" t="s">
        <v>19</v>
      </c>
      <c r="H52" s="21" t="s">
        <v>13</v>
      </c>
      <c r="I52" s="21" t="s">
        <v>20</v>
      </c>
      <c r="J52">
        <v>5</v>
      </c>
    </row>
    <row r="53" spans="1:10" x14ac:dyDescent="0.35">
      <c r="A53" s="21" t="s">
        <v>366</v>
      </c>
      <c r="B53">
        <v>2680</v>
      </c>
      <c r="C53" s="1">
        <v>45869</v>
      </c>
      <c r="D53">
        <v>16451</v>
      </c>
      <c r="E53">
        <v>40596</v>
      </c>
      <c r="F53" s="1">
        <v>33832</v>
      </c>
      <c r="G53" s="21" t="s">
        <v>1</v>
      </c>
      <c r="H53" s="21" t="s">
        <v>13</v>
      </c>
      <c r="I53" s="21" t="s">
        <v>20</v>
      </c>
      <c r="J53">
        <v>7</v>
      </c>
    </row>
    <row r="54" spans="1:10" x14ac:dyDescent="0.35">
      <c r="A54" s="21" t="s">
        <v>367</v>
      </c>
      <c r="B54">
        <v>5460</v>
      </c>
      <c r="C54" s="1">
        <v>45845</v>
      </c>
      <c r="D54">
        <v>16171</v>
      </c>
      <c r="E54">
        <v>39935</v>
      </c>
      <c r="F54" s="1">
        <v>40219</v>
      </c>
      <c r="G54" s="21" t="s">
        <v>12</v>
      </c>
      <c r="H54" s="21" t="s">
        <v>13</v>
      </c>
      <c r="I54" s="21" t="s">
        <v>20</v>
      </c>
      <c r="J54">
        <v>7</v>
      </c>
    </row>
    <row r="55" spans="1:10" x14ac:dyDescent="0.35">
      <c r="A55" s="21" t="s">
        <v>368</v>
      </c>
      <c r="B55">
        <v>5460</v>
      </c>
      <c r="C55" s="1">
        <v>45867</v>
      </c>
      <c r="D55">
        <v>16439</v>
      </c>
      <c r="E55">
        <v>40560</v>
      </c>
      <c r="F55" s="1">
        <v>41495</v>
      </c>
      <c r="G55" s="21" t="s">
        <v>12</v>
      </c>
      <c r="H55" s="21" t="s">
        <v>332</v>
      </c>
      <c r="I55" s="21" t="s">
        <v>20</v>
      </c>
      <c r="J55">
        <v>7</v>
      </c>
    </row>
    <row r="56" spans="1:10" x14ac:dyDescent="0.35">
      <c r="A56" s="21" t="s">
        <v>91</v>
      </c>
      <c r="B56">
        <v>9990</v>
      </c>
      <c r="C56" s="1">
        <v>45666</v>
      </c>
      <c r="D56">
        <v>13902</v>
      </c>
      <c r="E56">
        <v>35282</v>
      </c>
      <c r="F56" s="1">
        <v>39983</v>
      </c>
      <c r="G56" s="21" t="s">
        <v>1</v>
      </c>
      <c r="H56" s="21" t="s">
        <v>13</v>
      </c>
      <c r="I56" s="21" t="s">
        <v>20</v>
      </c>
      <c r="J56">
        <v>1</v>
      </c>
    </row>
    <row r="57" spans="1:10" x14ac:dyDescent="0.35">
      <c r="A57" s="21" t="s">
        <v>320</v>
      </c>
      <c r="B57">
        <v>2370</v>
      </c>
      <c r="C57" s="1">
        <v>45816</v>
      </c>
      <c r="D57">
        <v>15832</v>
      </c>
      <c r="E57">
        <v>39409</v>
      </c>
      <c r="F57" s="1">
        <v>40863</v>
      </c>
      <c r="G57" s="21" t="s">
        <v>19</v>
      </c>
      <c r="H57" s="21" t="s">
        <v>13</v>
      </c>
      <c r="I57" s="21" t="s">
        <v>20</v>
      </c>
      <c r="J57">
        <v>6</v>
      </c>
    </row>
    <row r="58" spans="1:10" x14ac:dyDescent="0.35">
      <c r="A58" s="21" t="s">
        <v>49</v>
      </c>
      <c r="B58">
        <v>16175</v>
      </c>
      <c r="C58" s="1">
        <v>45671</v>
      </c>
      <c r="D58">
        <v>14075</v>
      </c>
      <c r="E58">
        <v>35519</v>
      </c>
      <c r="F58" s="1">
        <v>40179</v>
      </c>
      <c r="G58" s="21" t="s">
        <v>19</v>
      </c>
      <c r="H58" s="21" t="s">
        <v>13</v>
      </c>
      <c r="I58" s="21" t="s">
        <v>20</v>
      </c>
      <c r="J58">
        <v>1</v>
      </c>
    </row>
    <row r="59" spans="1:10" x14ac:dyDescent="0.35">
      <c r="A59" s="21" t="s">
        <v>230</v>
      </c>
      <c r="B59">
        <v>9685</v>
      </c>
      <c r="C59" s="1">
        <v>45799</v>
      </c>
      <c r="D59">
        <v>15719</v>
      </c>
      <c r="E59">
        <v>39248</v>
      </c>
      <c r="F59" s="1">
        <v>40665</v>
      </c>
      <c r="G59" s="21" t="s">
        <v>19</v>
      </c>
      <c r="H59" s="21" t="s">
        <v>13</v>
      </c>
      <c r="I59" s="21" t="s">
        <v>20</v>
      </c>
      <c r="J59">
        <v>5</v>
      </c>
    </row>
    <row r="60" spans="1:10" x14ac:dyDescent="0.35">
      <c r="A60" s="21" t="s">
        <v>92</v>
      </c>
      <c r="B60">
        <v>1545</v>
      </c>
      <c r="C60" s="1">
        <v>45684</v>
      </c>
      <c r="D60">
        <v>14244</v>
      </c>
      <c r="E60">
        <v>35754</v>
      </c>
      <c r="F60" s="1">
        <v>45684</v>
      </c>
      <c r="G60" s="21" t="s">
        <v>19</v>
      </c>
      <c r="H60" s="21" t="s">
        <v>13</v>
      </c>
      <c r="I60" s="21" t="s">
        <v>20</v>
      </c>
      <c r="J60">
        <v>1</v>
      </c>
    </row>
    <row r="61" spans="1:10" x14ac:dyDescent="0.35">
      <c r="A61" s="21" t="s">
        <v>420</v>
      </c>
      <c r="B61">
        <v>23375</v>
      </c>
      <c r="C61" s="1">
        <v>45897</v>
      </c>
      <c r="D61">
        <v>16964</v>
      </c>
      <c r="E61">
        <v>42479</v>
      </c>
      <c r="F61" s="1">
        <v>44235</v>
      </c>
      <c r="G61" s="21" t="s">
        <v>19</v>
      </c>
      <c r="H61" s="21" t="s">
        <v>13</v>
      </c>
      <c r="I61" s="21" t="s">
        <v>20</v>
      </c>
      <c r="J61">
        <v>8</v>
      </c>
    </row>
    <row r="62" spans="1:10" x14ac:dyDescent="0.35">
      <c r="A62" s="21" t="s">
        <v>125</v>
      </c>
      <c r="B62">
        <v>1905</v>
      </c>
      <c r="C62" s="1">
        <v>45715</v>
      </c>
      <c r="D62">
        <v>14617</v>
      </c>
      <c r="E62">
        <v>36333</v>
      </c>
      <c r="F62" s="1">
        <v>44054</v>
      </c>
      <c r="G62" s="21" t="s">
        <v>0</v>
      </c>
      <c r="H62" s="21" t="s">
        <v>13</v>
      </c>
      <c r="I62" s="21" t="s">
        <v>14</v>
      </c>
      <c r="J62">
        <v>2</v>
      </c>
    </row>
    <row r="63" spans="1:10" x14ac:dyDescent="0.35">
      <c r="A63" s="21" t="s">
        <v>369</v>
      </c>
      <c r="B63">
        <v>2990</v>
      </c>
      <c r="C63" s="1">
        <v>45855</v>
      </c>
      <c r="D63">
        <v>16286</v>
      </c>
      <c r="E63">
        <v>40200</v>
      </c>
      <c r="F63" s="1">
        <v>34751</v>
      </c>
      <c r="G63" s="21" t="s">
        <v>19</v>
      </c>
      <c r="H63" s="21" t="s">
        <v>13</v>
      </c>
      <c r="I63" s="21" t="s">
        <v>14</v>
      </c>
      <c r="J63">
        <v>7</v>
      </c>
    </row>
    <row r="64" spans="1:10" x14ac:dyDescent="0.35">
      <c r="A64" s="21" t="s">
        <v>501</v>
      </c>
      <c r="B64">
        <v>7210</v>
      </c>
      <c r="C64" s="1">
        <v>45985</v>
      </c>
      <c r="D64">
        <v>17824</v>
      </c>
      <c r="E64">
        <v>43589</v>
      </c>
      <c r="F64" s="1">
        <v>40779</v>
      </c>
      <c r="G64" s="21" t="s">
        <v>1</v>
      </c>
      <c r="H64" s="21" t="s">
        <v>13</v>
      </c>
      <c r="I64" s="21" t="s">
        <v>20</v>
      </c>
      <c r="J64">
        <v>11</v>
      </c>
    </row>
    <row r="65" spans="1:10" x14ac:dyDescent="0.35">
      <c r="A65" s="21" t="s">
        <v>93</v>
      </c>
      <c r="B65">
        <v>3400</v>
      </c>
      <c r="C65" s="1">
        <v>45975</v>
      </c>
      <c r="D65">
        <v>17728</v>
      </c>
      <c r="E65">
        <v>43490</v>
      </c>
      <c r="F65" s="1">
        <v>40960</v>
      </c>
      <c r="G65" s="21" t="s">
        <v>12</v>
      </c>
      <c r="H65" s="21" t="s">
        <v>13</v>
      </c>
      <c r="I65" s="21" t="s">
        <v>14</v>
      </c>
      <c r="J65">
        <v>11</v>
      </c>
    </row>
    <row r="66" spans="1:10" x14ac:dyDescent="0.35">
      <c r="A66" s="21" t="s">
        <v>93</v>
      </c>
      <c r="B66">
        <v>3400</v>
      </c>
      <c r="C66" s="1">
        <v>45671</v>
      </c>
      <c r="D66">
        <v>14073</v>
      </c>
      <c r="E66">
        <v>35517</v>
      </c>
      <c r="F66" s="1">
        <v>40960</v>
      </c>
      <c r="G66" s="21" t="s">
        <v>12</v>
      </c>
      <c r="H66" s="21" t="s">
        <v>13</v>
      </c>
      <c r="I66" s="21" t="s">
        <v>14</v>
      </c>
      <c r="J66">
        <v>1</v>
      </c>
    </row>
    <row r="67" spans="1:10" x14ac:dyDescent="0.35">
      <c r="A67" s="21" t="s">
        <v>321</v>
      </c>
      <c r="B67">
        <v>2680</v>
      </c>
      <c r="C67" s="1">
        <v>45821</v>
      </c>
      <c r="D67">
        <v>15903</v>
      </c>
      <c r="E67">
        <v>39530</v>
      </c>
      <c r="F67" s="1">
        <v>39878</v>
      </c>
      <c r="G67" s="21" t="s">
        <v>12</v>
      </c>
      <c r="H67" s="21" t="s">
        <v>13</v>
      </c>
      <c r="I67" s="21" t="s">
        <v>20</v>
      </c>
      <c r="J67">
        <v>6</v>
      </c>
    </row>
    <row r="68" spans="1:10" x14ac:dyDescent="0.35">
      <c r="A68" s="21" t="s">
        <v>470</v>
      </c>
      <c r="B68">
        <v>38100</v>
      </c>
      <c r="C68" s="1">
        <v>45938</v>
      </c>
      <c r="D68">
        <v>17460</v>
      </c>
      <c r="E68">
        <v>43195</v>
      </c>
      <c r="F68" s="1">
        <v>40260</v>
      </c>
      <c r="G68" s="21" t="s">
        <v>19</v>
      </c>
      <c r="H68" s="21" t="s">
        <v>13</v>
      </c>
      <c r="I68" s="21" t="s">
        <v>23</v>
      </c>
      <c r="J68">
        <v>10</v>
      </c>
    </row>
    <row r="69" spans="1:10" x14ac:dyDescent="0.35">
      <c r="A69" s="21" t="s">
        <v>502</v>
      </c>
      <c r="B69">
        <v>1905</v>
      </c>
      <c r="C69" s="1">
        <v>45978</v>
      </c>
      <c r="D69">
        <v>17739</v>
      </c>
      <c r="E69">
        <v>43502</v>
      </c>
      <c r="F69" s="1">
        <v>40947</v>
      </c>
      <c r="G69" s="21" t="s">
        <v>12</v>
      </c>
      <c r="H69" s="21" t="s">
        <v>13</v>
      </c>
      <c r="I69" s="21" t="s">
        <v>14</v>
      </c>
      <c r="J69">
        <v>11</v>
      </c>
    </row>
    <row r="70" spans="1:10" x14ac:dyDescent="0.35">
      <c r="A70" s="21" t="s">
        <v>94</v>
      </c>
      <c r="B70">
        <v>7210</v>
      </c>
      <c r="C70" s="1">
        <v>45670</v>
      </c>
      <c r="D70">
        <v>14070</v>
      </c>
      <c r="E70">
        <v>35509</v>
      </c>
      <c r="F70" s="1">
        <v>45168</v>
      </c>
      <c r="G70" s="21" t="s">
        <v>1</v>
      </c>
      <c r="H70" s="21" t="s">
        <v>13</v>
      </c>
      <c r="I70" s="21" t="s">
        <v>20</v>
      </c>
      <c r="J70">
        <v>1</v>
      </c>
    </row>
    <row r="71" spans="1:10" x14ac:dyDescent="0.35">
      <c r="A71" s="21" t="s">
        <v>127</v>
      </c>
      <c r="B71">
        <v>1545</v>
      </c>
      <c r="C71" s="1">
        <v>45706</v>
      </c>
      <c r="D71">
        <v>14505</v>
      </c>
      <c r="E71">
        <v>36131</v>
      </c>
      <c r="F71" s="1">
        <v>41137</v>
      </c>
      <c r="G71" s="21" t="s">
        <v>19</v>
      </c>
      <c r="H71" s="21" t="s">
        <v>128</v>
      </c>
      <c r="I71" s="21" t="s">
        <v>20</v>
      </c>
      <c r="J71">
        <v>2</v>
      </c>
    </row>
    <row r="72" spans="1:10" x14ac:dyDescent="0.35">
      <c r="A72" s="21" t="s">
        <v>503</v>
      </c>
      <c r="B72">
        <v>1545</v>
      </c>
      <c r="C72" s="1">
        <v>45987</v>
      </c>
      <c r="D72">
        <v>17842</v>
      </c>
      <c r="E72">
        <v>43607</v>
      </c>
      <c r="F72" s="1">
        <v>41143</v>
      </c>
      <c r="G72" s="21" t="s">
        <v>19</v>
      </c>
      <c r="H72" s="21" t="s">
        <v>13</v>
      </c>
      <c r="I72" s="21" t="s">
        <v>20</v>
      </c>
      <c r="J72">
        <v>11</v>
      </c>
    </row>
    <row r="73" spans="1:10" x14ac:dyDescent="0.35">
      <c r="A73" s="21" t="s">
        <v>452</v>
      </c>
      <c r="B73">
        <v>1545</v>
      </c>
      <c r="C73" s="1">
        <v>45929</v>
      </c>
      <c r="D73">
        <v>17383</v>
      </c>
      <c r="E73">
        <v>43114</v>
      </c>
      <c r="F73" s="1">
        <v>45184</v>
      </c>
      <c r="G73" s="21" t="s">
        <v>19</v>
      </c>
      <c r="H73" s="21" t="s">
        <v>13</v>
      </c>
      <c r="I73" s="21" t="s">
        <v>20</v>
      </c>
      <c r="J73">
        <v>9</v>
      </c>
    </row>
    <row r="74" spans="1:10" x14ac:dyDescent="0.35">
      <c r="A74" s="21" t="s">
        <v>471</v>
      </c>
      <c r="B74">
        <v>1545</v>
      </c>
      <c r="C74" s="1">
        <v>45937</v>
      </c>
      <c r="D74">
        <v>17450</v>
      </c>
      <c r="E74">
        <v>43185</v>
      </c>
      <c r="F74" s="1">
        <v>43039</v>
      </c>
      <c r="G74" s="21" t="s">
        <v>12</v>
      </c>
      <c r="H74" s="21" t="s">
        <v>13</v>
      </c>
      <c r="I74" s="21" t="s">
        <v>20</v>
      </c>
      <c r="J74">
        <v>10</v>
      </c>
    </row>
    <row r="75" spans="1:10" x14ac:dyDescent="0.35">
      <c r="A75" s="21" t="s">
        <v>504</v>
      </c>
      <c r="B75">
        <v>1905</v>
      </c>
      <c r="C75" s="1">
        <v>45982</v>
      </c>
      <c r="D75">
        <v>17819</v>
      </c>
      <c r="E75">
        <v>43584</v>
      </c>
      <c r="F75" s="1">
        <v>44911</v>
      </c>
      <c r="G75" s="21" t="s">
        <v>0</v>
      </c>
      <c r="H75" s="21" t="s">
        <v>27</v>
      </c>
      <c r="I75" s="21" t="s">
        <v>14</v>
      </c>
      <c r="J75">
        <v>11</v>
      </c>
    </row>
    <row r="76" spans="1:10" x14ac:dyDescent="0.35">
      <c r="A76" s="21" t="s">
        <v>472</v>
      </c>
      <c r="B76">
        <v>2990</v>
      </c>
      <c r="C76" s="1">
        <v>45946</v>
      </c>
      <c r="D76">
        <v>17535</v>
      </c>
      <c r="E76">
        <v>43272</v>
      </c>
      <c r="F76" s="1">
        <v>44133</v>
      </c>
      <c r="G76" s="21" t="s">
        <v>0</v>
      </c>
      <c r="H76" s="21" t="s">
        <v>13</v>
      </c>
      <c r="I76" s="21" t="s">
        <v>14</v>
      </c>
      <c r="J76">
        <v>10</v>
      </c>
    </row>
    <row r="77" spans="1:10" x14ac:dyDescent="0.35">
      <c r="A77" s="21" t="s">
        <v>421</v>
      </c>
      <c r="B77">
        <v>1545</v>
      </c>
      <c r="C77" s="1">
        <v>45891</v>
      </c>
      <c r="D77">
        <v>16850</v>
      </c>
      <c r="E77">
        <v>42293</v>
      </c>
      <c r="F77" s="1">
        <v>41114</v>
      </c>
      <c r="G77" s="21" t="s">
        <v>19</v>
      </c>
      <c r="H77" s="21" t="s">
        <v>13</v>
      </c>
      <c r="I77" s="21" t="s">
        <v>20</v>
      </c>
      <c r="J77">
        <v>8</v>
      </c>
    </row>
    <row r="78" spans="1:10" x14ac:dyDescent="0.35">
      <c r="A78" s="21" t="s">
        <v>422</v>
      </c>
      <c r="B78">
        <v>1905</v>
      </c>
      <c r="C78" s="1">
        <v>45902</v>
      </c>
      <c r="D78">
        <v>17002</v>
      </c>
      <c r="E78">
        <v>42531</v>
      </c>
      <c r="F78" s="1">
        <v>43711</v>
      </c>
      <c r="G78" s="21" t="s">
        <v>0</v>
      </c>
      <c r="H78" s="21" t="s">
        <v>13</v>
      </c>
      <c r="I78" s="21" t="s">
        <v>14</v>
      </c>
      <c r="J78">
        <v>9</v>
      </c>
    </row>
    <row r="79" spans="1:10" x14ac:dyDescent="0.35">
      <c r="A79" s="21" t="s">
        <v>323</v>
      </c>
      <c r="B79">
        <v>1545</v>
      </c>
      <c r="C79" s="1">
        <v>45817</v>
      </c>
      <c r="D79">
        <v>15847</v>
      </c>
      <c r="E79">
        <v>39444</v>
      </c>
      <c r="F79" s="1">
        <v>43195</v>
      </c>
      <c r="G79" s="21" t="s">
        <v>19</v>
      </c>
      <c r="H79" s="21" t="s">
        <v>13</v>
      </c>
      <c r="I79" s="21" t="s">
        <v>20</v>
      </c>
      <c r="J79">
        <v>6</v>
      </c>
    </row>
    <row r="80" spans="1:10" x14ac:dyDescent="0.35">
      <c r="A80" s="21" t="s">
        <v>505</v>
      </c>
      <c r="B80">
        <v>23700</v>
      </c>
      <c r="C80" s="1">
        <v>45980</v>
      </c>
      <c r="D80">
        <v>17788</v>
      </c>
      <c r="E80">
        <v>43552</v>
      </c>
      <c r="F80" s="1">
        <v>41299</v>
      </c>
      <c r="G80" s="21" t="s">
        <v>227</v>
      </c>
      <c r="H80" s="21" t="s">
        <v>13</v>
      </c>
      <c r="I80" s="21" t="s">
        <v>20</v>
      </c>
      <c r="J80">
        <v>11</v>
      </c>
    </row>
    <row r="81" spans="1:10" x14ac:dyDescent="0.35">
      <c r="A81" s="21" t="s">
        <v>231</v>
      </c>
      <c r="B81">
        <v>2370</v>
      </c>
      <c r="C81" s="1">
        <v>45807</v>
      </c>
      <c r="D81">
        <v>15759</v>
      </c>
      <c r="E81">
        <v>39307</v>
      </c>
      <c r="F81" s="1">
        <v>42869</v>
      </c>
      <c r="G81" s="21" t="s">
        <v>0</v>
      </c>
      <c r="H81" s="21" t="s">
        <v>13</v>
      </c>
      <c r="I81" s="21" t="s">
        <v>20</v>
      </c>
      <c r="J81">
        <v>5</v>
      </c>
    </row>
    <row r="82" spans="1:10" x14ac:dyDescent="0.35">
      <c r="A82" s="21" t="s">
        <v>371</v>
      </c>
      <c r="B82">
        <v>5770</v>
      </c>
      <c r="C82" s="1">
        <v>45861</v>
      </c>
      <c r="D82">
        <v>16349</v>
      </c>
      <c r="E82">
        <v>40353</v>
      </c>
      <c r="F82" s="1">
        <v>44126</v>
      </c>
      <c r="G82" s="21" t="s">
        <v>19</v>
      </c>
      <c r="H82" s="21" t="s">
        <v>13</v>
      </c>
      <c r="I82" s="21" t="s">
        <v>20</v>
      </c>
      <c r="J82">
        <v>7</v>
      </c>
    </row>
    <row r="83" spans="1:10" x14ac:dyDescent="0.35">
      <c r="A83" s="21" t="s">
        <v>424</v>
      </c>
      <c r="B83">
        <v>36050</v>
      </c>
      <c r="C83" s="1">
        <v>45894</v>
      </c>
      <c r="D83">
        <v>16917</v>
      </c>
      <c r="E83">
        <v>42414</v>
      </c>
      <c r="F83" s="1">
        <v>40043</v>
      </c>
      <c r="G83" s="21" t="s">
        <v>12</v>
      </c>
      <c r="H83" s="21" t="s">
        <v>150</v>
      </c>
      <c r="I83" s="21" t="s">
        <v>23</v>
      </c>
      <c r="J83">
        <v>8</v>
      </c>
    </row>
    <row r="84" spans="1:10" x14ac:dyDescent="0.35">
      <c r="A84" s="21" t="s">
        <v>324</v>
      </c>
      <c r="B84">
        <v>29250</v>
      </c>
      <c r="C84" s="1">
        <v>45833</v>
      </c>
      <c r="D84">
        <v>16005</v>
      </c>
      <c r="E84">
        <v>39713</v>
      </c>
      <c r="F84" s="1">
        <v>44265</v>
      </c>
      <c r="G84" s="21" t="s">
        <v>227</v>
      </c>
      <c r="H84" s="21" t="s">
        <v>13</v>
      </c>
      <c r="I84" s="21" t="s">
        <v>14</v>
      </c>
      <c r="J84">
        <v>6</v>
      </c>
    </row>
    <row r="85" spans="1:10" x14ac:dyDescent="0.35">
      <c r="A85" s="21" t="s">
        <v>36</v>
      </c>
      <c r="B85">
        <v>1905</v>
      </c>
      <c r="C85" s="1">
        <v>45678</v>
      </c>
      <c r="D85">
        <v>14154</v>
      </c>
      <c r="E85">
        <v>35633</v>
      </c>
      <c r="F85" s="1">
        <v>45341</v>
      </c>
      <c r="G85" s="21" t="s">
        <v>19</v>
      </c>
      <c r="H85" s="21" t="s">
        <v>13</v>
      </c>
      <c r="I85" s="21" t="s">
        <v>14</v>
      </c>
      <c r="J85">
        <v>1</v>
      </c>
    </row>
    <row r="86" spans="1:10" x14ac:dyDescent="0.35">
      <c r="A86" s="21" t="s">
        <v>39</v>
      </c>
      <c r="B86">
        <v>9685</v>
      </c>
      <c r="C86" s="1">
        <v>45687</v>
      </c>
      <c r="D86">
        <v>14313</v>
      </c>
      <c r="E86">
        <v>35849</v>
      </c>
      <c r="F86" s="1">
        <v>42144</v>
      </c>
      <c r="G86" s="21" t="s">
        <v>19</v>
      </c>
      <c r="H86" s="21" t="s">
        <v>13</v>
      </c>
      <c r="I86" s="21" t="s">
        <v>20</v>
      </c>
      <c r="J86">
        <v>1</v>
      </c>
    </row>
    <row r="87" spans="1:10" x14ac:dyDescent="0.35">
      <c r="A87" s="21" t="s">
        <v>474</v>
      </c>
      <c r="B87">
        <v>2680</v>
      </c>
      <c r="C87" s="1">
        <v>45954</v>
      </c>
      <c r="D87">
        <v>17591</v>
      </c>
      <c r="E87">
        <v>43338</v>
      </c>
      <c r="F87" s="1">
        <v>41172</v>
      </c>
      <c r="G87" s="21" t="s">
        <v>12</v>
      </c>
      <c r="H87" s="21" t="s">
        <v>13</v>
      </c>
      <c r="I87" s="21" t="s">
        <v>20</v>
      </c>
      <c r="J87">
        <v>10</v>
      </c>
    </row>
    <row r="88" spans="1:10" x14ac:dyDescent="0.35">
      <c r="A88" s="21" t="s">
        <v>475</v>
      </c>
      <c r="B88">
        <v>36050</v>
      </c>
      <c r="C88" s="1">
        <v>45940</v>
      </c>
      <c r="D88">
        <v>17491</v>
      </c>
      <c r="E88">
        <v>43226</v>
      </c>
      <c r="F88" s="1">
        <v>36985</v>
      </c>
      <c r="G88" s="21" t="s">
        <v>12</v>
      </c>
      <c r="H88" s="21" t="s">
        <v>13</v>
      </c>
      <c r="I88" s="21" t="s">
        <v>23</v>
      </c>
      <c r="J88">
        <v>10</v>
      </c>
    </row>
    <row r="89" spans="1:10" x14ac:dyDescent="0.35">
      <c r="A89" s="21" t="s">
        <v>453</v>
      </c>
      <c r="B89">
        <v>1545</v>
      </c>
      <c r="C89" s="1">
        <v>45921</v>
      </c>
      <c r="D89">
        <v>17279</v>
      </c>
      <c r="E89">
        <v>43006</v>
      </c>
      <c r="F89" s="1">
        <v>45921</v>
      </c>
      <c r="G89" s="21" t="s">
        <v>19</v>
      </c>
      <c r="H89" s="21" t="s">
        <v>13</v>
      </c>
      <c r="I89" s="21" t="s">
        <v>20</v>
      </c>
      <c r="J89">
        <v>9</v>
      </c>
    </row>
    <row r="90" spans="1:10" x14ac:dyDescent="0.35">
      <c r="A90" s="21" t="s">
        <v>372</v>
      </c>
      <c r="B90">
        <v>23375</v>
      </c>
      <c r="C90" s="1">
        <v>45841</v>
      </c>
      <c r="D90">
        <v>16190</v>
      </c>
      <c r="E90">
        <v>39970</v>
      </c>
      <c r="F90" s="1">
        <v>37396</v>
      </c>
      <c r="G90" s="21" t="s">
        <v>19</v>
      </c>
      <c r="H90" s="21" t="s">
        <v>13</v>
      </c>
      <c r="I90" s="21" t="s">
        <v>20</v>
      </c>
      <c r="J90">
        <v>7</v>
      </c>
    </row>
    <row r="91" spans="1:10" x14ac:dyDescent="0.35">
      <c r="A91" s="21" t="s">
        <v>426</v>
      </c>
      <c r="B91">
        <v>1545</v>
      </c>
      <c r="C91" s="1">
        <v>45881</v>
      </c>
      <c r="D91">
        <v>16596</v>
      </c>
      <c r="E91">
        <v>41393</v>
      </c>
      <c r="F91" s="1">
        <v>42591</v>
      </c>
      <c r="G91" s="21" t="s">
        <v>12</v>
      </c>
      <c r="H91" s="21" t="s">
        <v>13</v>
      </c>
      <c r="I91" s="21" t="s">
        <v>20</v>
      </c>
      <c r="J91">
        <v>8</v>
      </c>
    </row>
    <row r="92" spans="1:10" x14ac:dyDescent="0.35">
      <c r="A92" s="21" t="s">
        <v>130</v>
      </c>
      <c r="B92">
        <v>1545</v>
      </c>
      <c r="C92" s="1">
        <v>45692</v>
      </c>
      <c r="D92">
        <v>14362</v>
      </c>
      <c r="E92">
        <v>35913</v>
      </c>
      <c r="F92" s="1">
        <v>44207</v>
      </c>
      <c r="G92" s="21" t="s">
        <v>0</v>
      </c>
      <c r="H92" s="21" t="s">
        <v>13</v>
      </c>
      <c r="I92" s="21" t="s">
        <v>20</v>
      </c>
      <c r="J92">
        <v>2</v>
      </c>
    </row>
    <row r="93" spans="1:10" x14ac:dyDescent="0.35">
      <c r="A93" s="21" t="s">
        <v>373</v>
      </c>
      <c r="B93">
        <v>38100</v>
      </c>
      <c r="C93" s="1">
        <v>45863</v>
      </c>
      <c r="D93">
        <v>16398</v>
      </c>
      <c r="E93">
        <v>40484</v>
      </c>
      <c r="F93" s="1">
        <v>43402</v>
      </c>
      <c r="G93" s="21" t="s">
        <v>19</v>
      </c>
      <c r="H93" s="21" t="s">
        <v>13</v>
      </c>
      <c r="I93" s="21" t="s">
        <v>23</v>
      </c>
      <c r="J93">
        <v>7</v>
      </c>
    </row>
    <row r="94" spans="1:10" x14ac:dyDescent="0.35">
      <c r="A94" s="21" t="s">
        <v>234</v>
      </c>
      <c r="B94">
        <v>16175</v>
      </c>
      <c r="C94" s="1">
        <v>45784</v>
      </c>
      <c r="D94">
        <v>15554</v>
      </c>
      <c r="E94">
        <v>38950</v>
      </c>
      <c r="F94" s="1">
        <v>41946</v>
      </c>
      <c r="G94" s="21" t="s">
        <v>19</v>
      </c>
      <c r="H94" s="21" t="s">
        <v>13</v>
      </c>
      <c r="I94" s="21" t="s">
        <v>20</v>
      </c>
      <c r="J94">
        <v>5</v>
      </c>
    </row>
    <row r="95" spans="1:10" x14ac:dyDescent="0.35">
      <c r="A95" s="21" t="s">
        <v>235</v>
      </c>
      <c r="B95">
        <v>21640</v>
      </c>
      <c r="C95" s="1">
        <v>45797</v>
      </c>
      <c r="D95">
        <v>15700</v>
      </c>
      <c r="E95">
        <v>39229</v>
      </c>
      <c r="F95" s="1">
        <v>45503</v>
      </c>
      <c r="G95" s="21" t="s">
        <v>227</v>
      </c>
      <c r="H95" s="21" t="s">
        <v>13</v>
      </c>
      <c r="I95" s="21" t="s">
        <v>23</v>
      </c>
      <c r="J95">
        <v>5</v>
      </c>
    </row>
    <row r="96" spans="1:10" x14ac:dyDescent="0.35">
      <c r="A96" s="21" t="s">
        <v>102</v>
      </c>
      <c r="B96">
        <v>1905</v>
      </c>
      <c r="C96" s="1">
        <v>45681</v>
      </c>
      <c r="D96">
        <v>14260</v>
      </c>
      <c r="E96">
        <v>35770</v>
      </c>
      <c r="F96" s="1">
        <v>40067</v>
      </c>
      <c r="G96" s="21" t="s">
        <v>12</v>
      </c>
      <c r="H96" s="21" t="s">
        <v>13</v>
      </c>
      <c r="I96" s="21" t="s">
        <v>14</v>
      </c>
      <c r="J96">
        <v>1</v>
      </c>
    </row>
    <row r="97" spans="1:10" x14ac:dyDescent="0.35">
      <c r="A97" s="21" t="s">
        <v>507</v>
      </c>
      <c r="B97">
        <v>23700</v>
      </c>
      <c r="C97" s="1">
        <v>45975</v>
      </c>
      <c r="D97">
        <v>17740</v>
      </c>
      <c r="E97">
        <v>43503</v>
      </c>
      <c r="F97" s="1">
        <v>36650</v>
      </c>
      <c r="G97" s="21" t="s">
        <v>227</v>
      </c>
      <c r="H97" s="21" t="s">
        <v>13</v>
      </c>
      <c r="I97" s="21" t="s">
        <v>14</v>
      </c>
      <c r="J97">
        <v>11</v>
      </c>
    </row>
    <row r="98" spans="1:10" x14ac:dyDescent="0.35">
      <c r="A98" s="21" t="s">
        <v>477</v>
      </c>
      <c r="B98">
        <v>2990</v>
      </c>
      <c r="C98" s="1">
        <v>45959</v>
      </c>
      <c r="D98">
        <v>17614</v>
      </c>
      <c r="E98">
        <v>43361</v>
      </c>
      <c r="F98" s="1">
        <v>45643</v>
      </c>
      <c r="G98" s="21" t="s">
        <v>19</v>
      </c>
      <c r="H98" s="21" t="s">
        <v>13</v>
      </c>
      <c r="I98" s="21" t="s">
        <v>14</v>
      </c>
      <c r="J98">
        <v>10</v>
      </c>
    </row>
    <row r="99" spans="1:10" x14ac:dyDescent="0.35">
      <c r="A99" s="21" t="s">
        <v>478</v>
      </c>
      <c r="B99">
        <v>9685</v>
      </c>
      <c r="C99" s="1">
        <v>45961</v>
      </c>
      <c r="D99">
        <v>17628</v>
      </c>
      <c r="E99">
        <v>43388</v>
      </c>
      <c r="F99" s="1">
        <v>44949</v>
      </c>
      <c r="G99" s="21" t="s">
        <v>19</v>
      </c>
      <c r="H99" s="21" t="s">
        <v>13</v>
      </c>
      <c r="I99" s="21" t="s">
        <v>20</v>
      </c>
      <c r="J99">
        <v>10</v>
      </c>
    </row>
    <row r="100" spans="1:10" x14ac:dyDescent="0.35">
      <c r="A100" s="21" t="s">
        <v>261</v>
      </c>
      <c r="B100">
        <v>5460</v>
      </c>
      <c r="C100" s="1">
        <v>45748</v>
      </c>
      <c r="D100">
        <v>15080</v>
      </c>
      <c r="E100">
        <v>37263</v>
      </c>
      <c r="F100" s="1">
        <v>42830</v>
      </c>
      <c r="G100" s="21" t="s">
        <v>12</v>
      </c>
      <c r="H100" s="21" t="s">
        <v>262</v>
      </c>
      <c r="I100" s="21" t="s">
        <v>20</v>
      </c>
      <c r="J100">
        <v>4</v>
      </c>
    </row>
    <row r="101" spans="1:10" x14ac:dyDescent="0.35">
      <c r="A101" s="21" t="s">
        <v>182</v>
      </c>
      <c r="B101">
        <v>1545</v>
      </c>
      <c r="C101" s="1">
        <v>45747</v>
      </c>
      <c r="D101">
        <v>15039</v>
      </c>
      <c r="E101">
        <v>37132</v>
      </c>
      <c r="F101" s="1">
        <v>41872</v>
      </c>
      <c r="G101" s="21" t="s">
        <v>19</v>
      </c>
      <c r="H101" s="21" t="s">
        <v>13</v>
      </c>
      <c r="I101" s="21" t="s">
        <v>20</v>
      </c>
      <c r="J101">
        <v>3</v>
      </c>
    </row>
    <row r="102" spans="1:10" x14ac:dyDescent="0.35">
      <c r="A102" s="21" t="s">
        <v>263</v>
      </c>
      <c r="B102">
        <v>9685</v>
      </c>
      <c r="C102" s="1">
        <v>45804</v>
      </c>
      <c r="D102">
        <v>15739</v>
      </c>
      <c r="E102">
        <v>39268</v>
      </c>
      <c r="F102" s="1">
        <v>39965</v>
      </c>
      <c r="G102" s="21" t="s">
        <v>19</v>
      </c>
      <c r="H102" s="21" t="s">
        <v>13</v>
      </c>
      <c r="I102" s="21" t="s">
        <v>20</v>
      </c>
      <c r="J102">
        <v>5</v>
      </c>
    </row>
    <row r="103" spans="1:10" x14ac:dyDescent="0.35">
      <c r="A103" s="21" t="s">
        <v>264</v>
      </c>
      <c r="B103">
        <v>2370</v>
      </c>
      <c r="C103" s="1">
        <v>45789</v>
      </c>
      <c r="D103">
        <v>15601</v>
      </c>
      <c r="E103">
        <v>39088</v>
      </c>
      <c r="F103" s="1">
        <v>45786</v>
      </c>
      <c r="G103" s="21" t="s">
        <v>19</v>
      </c>
      <c r="H103" s="21" t="s">
        <v>265</v>
      </c>
      <c r="I103" s="21" t="s">
        <v>20</v>
      </c>
      <c r="J103">
        <v>5</v>
      </c>
    </row>
    <row r="104" spans="1:10" x14ac:dyDescent="0.35">
      <c r="A104" s="21" t="s">
        <v>103</v>
      </c>
      <c r="B104">
        <v>27025</v>
      </c>
      <c r="C104" s="1">
        <v>45665</v>
      </c>
      <c r="D104">
        <v>13830</v>
      </c>
      <c r="E104">
        <v>35199</v>
      </c>
      <c r="F104" s="1">
        <v>45665</v>
      </c>
      <c r="G104" s="21" t="s">
        <v>19</v>
      </c>
      <c r="H104" s="21" t="s">
        <v>13</v>
      </c>
      <c r="I104" s="21" t="s">
        <v>23</v>
      </c>
      <c r="J104">
        <v>1</v>
      </c>
    </row>
    <row r="105" spans="1:10" x14ac:dyDescent="0.35">
      <c r="A105" s="21" t="s">
        <v>266</v>
      </c>
      <c r="B105">
        <v>23700</v>
      </c>
      <c r="C105" s="1">
        <v>45807</v>
      </c>
      <c r="D105">
        <v>15758</v>
      </c>
      <c r="E105">
        <v>39306</v>
      </c>
      <c r="F105" s="1">
        <v>43336</v>
      </c>
      <c r="G105" s="21" t="s">
        <v>227</v>
      </c>
      <c r="H105" s="21" t="s">
        <v>13</v>
      </c>
      <c r="I105" s="21" t="s">
        <v>20</v>
      </c>
      <c r="J105">
        <v>5</v>
      </c>
    </row>
    <row r="106" spans="1:10" x14ac:dyDescent="0.35">
      <c r="A106" s="21" t="s">
        <v>336</v>
      </c>
      <c r="B106">
        <v>1545</v>
      </c>
      <c r="C106" s="1">
        <v>45820</v>
      </c>
      <c r="D106">
        <v>15874</v>
      </c>
      <c r="E106">
        <v>39487</v>
      </c>
      <c r="F106" s="1">
        <v>41101</v>
      </c>
      <c r="G106" s="21" t="s">
        <v>12</v>
      </c>
      <c r="H106" s="21" t="s">
        <v>51</v>
      </c>
      <c r="I106" s="21" t="s">
        <v>20</v>
      </c>
      <c r="J106">
        <v>6</v>
      </c>
    </row>
    <row r="107" spans="1:10" x14ac:dyDescent="0.35">
      <c r="A107" s="21" t="s">
        <v>337</v>
      </c>
      <c r="B107">
        <v>1905</v>
      </c>
      <c r="C107" s="1">
        <v>45834</v>
      </c>
      <c r="D107">
        <v>16015</v>
      </c>
      <c r="E107">
        <v>39726</v>
      </c>
      <c r="F107" s="1">
        <v>44371</v>
      </c>
      <c r="G107" s="21" t="s">
        <v>12</v>
      </c>
      <c r="H107" s="21" t="s">
        <v>13</v>
      </c>
      <c r="I107" s="21" t="s">
        <v>14</v>
      </c>
      <c r="J107">
        <v>6</v>
      </c>
    </row>
    <row r="108" spans="1:10" x14ac:dyDescent="0.35">
      <c r="A108" s="21" t="s">
        <v>267</v>
      </c>
      <c r="B108">
        <v>1545</v>
      </c>
      <c r="C108" s="1">
        <v>45777</v>
      </c>
      <c r="D108">
        <v>15467</v>
      </c>
      <c r="E108">
        <v>38682</v>
      </c>
      <c r="F108" s="1">
        <v>44337</v>
      </c>
      <c r="G108" s="21" t="s">
        <v>12</v>
      </c>
      <c r="H108" s="21" t="s">
        <v>13</v>
      </c>
      <c r="I108" s="21" t="s">
        <v>20</v>
      </c>
      <c r="J108">
        <v>4</v>
      </c>
    </row>
    <row r="109" spans="1:10" x14ac:dyDescent="0.35">
      <c r="A109" s="21" t="s">
        <v>42</v>
      </c>
      <c r="B109">
        <v>5460</v>
      </c>
      <c r="C109" s="1">
        <v>45688</v>
      </c>
      <c r="D109">
        <v>14314</v>
      </c>
      <c r="E109">
        <v>35850</v>
      </c>
      <c r="F109" s="1">
        <v>39989</v>
      </c>
      <c r="G109" s="21" t="s">
        <v>12</v>
      </c>
      <c r="H109" s="21" t="s">
        <v>13</v>
      </c>
      <c r="I109" s="21" t="s">
        <v>20</v>
      </c>
      <c r="J109">
        <v>1</v>
      </c>
    </row>
    <row r="110" spans="1:10" x14ac:dyDescent="0.35">
      <c r="A110" s="21" t="s">
        <v>25</v>
      </c>
      <c r="B110">
        <v>2370</v>
      </c>
      <c r="C110" s="1">
        <v>45681</v>
      </c>
      <c r="D110">
        <v>14204</v>
      </c>
      <c r="E110">
        <v>35686</v>
      </c>
      <c r="F110" s="1">
        <v>44935</v>
      </c>
      <c r="G110" s="21" t="s">
        <v>0</v>
      </c>
      <c r="H110" s="21" t="s">
        <v>13</v>
      </c>
      <c r="I110" s="21" t="s">
        <v>20</v>
      </c>
      <c r="J110">
        <v>1</v>
      </c>
    </row>
    <row r="111" spans="1:10" x14ac:dyDescent="0.35">
      <c r="A111" s="21" t="s">
        <v>25</v>
      </c>
      <c r="B111">
        <v>2370</v>
      </c>
      <c r="C111" s="1">
        <v>45874</v>
      </c>
      <c r="D111">
        <v>16523</v>
      </c>
      <c r="E111">
        <v>40994</v>
      </c>
      <c r="F111" s="1">
        <v>44935</v>
      </c>
      <c r="G111" s="21" t="s">
        <v>0</v>
      </c>
      <c r="H111" s="21" t="s">
        <v>13</v>
      </c>
      <c r="I111" s="21" t="s">
        <v>20</v>
      </c>
      <c r="J111">
        <v>8</v>
      </c>
    </row>
    <row r="112" spans="1:10" x14ac:dyDescent="0.35">
      <c r="A112" s="21" t="s">
        <v>183</v>
      </c>
      <c r="B112">
        <v>9685</v>
      </c>
      <c r="C112" s="1">
        <v>45723</v>
      </c>
      <c r="D112">
        <v>14704</v>
      </c>
      <c r="E112">
        <v>36527</v>
      </c>
      <c r="F112" s="1">
        <v>40455</v>
      </c>
      <c r="G112" s="21" t="s">
        <v>19</v>
      </c>
      <c r="H112" s="21" t="s">
        <v>13</v>
      </c>
      <c r="I112" s="21" t="s">
        <v>20</v>
      </c>
      <c r="J112">
        <v>3</v>
      </c>
    </row>
    <row r="113" spans="1:10" x14ac:dyDescent="0.35">
      <c r="A113" s="21" t="s">
        <v>138</v>
      </c>
      <c r="B113">
        <v>7200</v>
      </c>
      <c r="C113" s="1">
        <v>45720</v>
      </c>
      <c r="D113">
        <v>14662</v>
      </c>
      <c r="E113">
        <v>36435</v>
      </c>
      <c r="F113" s="1">
        <v>40973</v>
      </c>
      <c r="G113" s="21" t="s">
        <v>19</v>
      </c>
      <c r="H113" s="21" t="s">
        <v>13</v>
      </c>
      <c r="I113" s="21" t="s">
        <v>14</v>
      </c>
      <c r="J113">
        <v>3</v>
      </c>
    </row>
    <row r="114" spans="1:10" x14ac:dyDescent="0.35">
      <c r="A114" s="21" t="s">
        <v>268</v>
      </c>
      <c r="B114">
        <v>38100</v>
      </c>
      <c r="C114" s="1">
        <v>45785</v>
      </c>
      <c r="D114">
        <v>15607</v>
      </c>
      <c r="E114">
        <v>39103</v>
      </c>
      <c r="F114" s="1">
        <v>40001</v>
      </c>
      <c r="G114" s="21" t="s">
        <v>19</v>
      </c>
      <c r="H114" s="21" t="s">
        <v>13</v>
      </c>
      <c r="I114" s="21" t="s">
        <v>23</v>
      </c>
      <c r="J114">
        <v>5</v>
      </c>
    </row>
    <row r="115" spans="1:10" x14ac:dyDescent="0.35">
      <c r="A115" s="21" t="s">
        <v>479</v>
      </c>
      <c r="B115">
        <v>2370</v>
      </c>
      <c r="C115" s="1">
        <v>45961</v>
      </c>
      <c r="D115">
        <v>17627</v>
      </c>
      <c r="E115">
        <v>43387</v>
      </c>
      <c r="F115" s="1">
        <v>40780</v>
      </c>
      <c r="G115" s="21" t="s">
        <v>19</v>
      </c>
      <c r="H115" s="21" t="s">
        <v>13</v>
      </c>
      <c r="I115" s="21" t="s">
        <v>20</v>
      </c>
      <c r="J115">
        <v>10</v>
      </c>
    </row>
    <row r="116" spans="1:10" x14ac:dyDescent="0.35">
      <c r="A116" s="21" t="s">
        <v>269</v>
      </c>
      <c r="B116">
        <v>7200</v>
      </c>
      <c r="C116" s="1">
        <v>45765</v>
      </c>
      <c r="D116">
        <v>15333</v>
      </c>
      <c r="E116">
        <v>38296</v>
      </c>
      <c r="F116" s="1">
        <v>45765</v>
      </c>
      <c r="G116" s="21" t="s">
        <v>0</v>
      </c>
      <c r="H116" s="21" t="s">
        <v>13</v>
      </c>
      <c r="I116" s="21" t="s">
        <v>14</v>
      </c>
      <c r="J116">
        <v>4</v>
      </c>
    </row>
    <row r="117" spans="1:10" x14ac:dyDescent="0.35">
      <c r="A117" s="21" t="s">
        <v>480</v>
      </c>
      <c r="B117">
        <v>2680</v>
      </c>
      <c r="C117" s="1">
        <v>45950</v>
      </c>
      <c r="D117">
        <v>17560</v>
      </c>
      <c r="E117">
        <v>43300</v>
      </c>
      <c r="F117" s="1">
        <v>40486</v>
      </c>
      <c r="G117" s="21" t="s">
        <v>12</v>
      </c>
      <c r="H117" s="21" t="s">
        <v>13</v>
      </c>
      <c r="I117" s="21" t="s">
        <v>20</v>
      </c>
      <c r="J117">
        <v>10</v>
      </c>
    </row>
    <row r="118" spans="1:10" x14ac:dyDescent="0.35">
      <c r="A118" s="21" t="s">
        <v>184</v>
      </c>
      <c r="B118">
        <v>1545</v>
      </c>
      <c r="C118" s="1">
        <v>45735</v>
      </c>
      <c r="D118">
        <v>14883</v>
      </c>
      <c r="E118">
        <v>36839</v>
      </c>
      <c r="F118" s="1">
        <v>45735</v>
      </c>
      <c r="G118" s="21" t="s">
        <v>19</v>
      </c>
      <c r="H118" s="21" t="s">
        <v>13</v>
      </c>
      <c r="I118" s="21" t="s">
        <v>20</v>
      </c>
      <c r="J118">
        <v>3</v>
      </c>
    </row>
    <row r="119" spans="1:10" x14ac:dyDescent="0.35">
      <c r="A119" s="21" t="s">
        <v>339</v>
      </c>
      <c r="B119">
        <v>1545</v>
      </c>
      <c r="C119" s="1">
        <v>45821</v>
      </c>
      <c r="D119">
        <v>15892</v>
      </c>
      <c r="E119">
        <v>39518</v>
      </c>
      <c r="F119" s="1">
        <v>43262</v>
      </c>
      <c r="G119" s="21" t="s">
        <v>0</v>
      </c>
      <c r="H119" s="21" t="s">
        <v>13</v>
      </c>
      <c r="I119" s="21" t="s">
        <v>20</v>
      </c>
      <c r="J119">
        <v>6</v>
      </c>
    </row>
    <row r="120" spans="1:10" x14ac:dyDescent="0.35">
      <c r="A120" s="21" t="s">
        <v>273</v>
      </c>
      <c r="B120">
        <v>14420</v>
      </c>
      <c r="C120" s="1">
        <v>45750</v>
      </c>
      <c r="D120">
        <v>15106</v>
      </c>
      <c r="E120">
        <v>37340</v>
      </c>
      <c r="F120" s="1">
        <v>37963</v>
      </c>
      <c r="G120" s="21" t="s">
        <v>1</v>
      </c>
      <c r="H120" s="21" t="s">
        <v>13</v>
      </c>
      <c r="I120" s="21" t="s">
        <v>20</v>
      </c>
      <c r="J120">
        <v>4</v>
      </c>
    </row>
    <row r="121" spans="1:10" x14ac:dyDescent="0.35">
      <c r="A121" s="21" t="s">
        <v>31</v>
      </c>
      <c r="B121">
        <v>30290</v>
      </c>
      <c r="C121" s="1">
        <v>45681</v>
      </c>
      <c r="D121">
        <v>14261</v>
      </c>
      <c r="E121">
        <v>35771</v>
      </c>
      <c r="F121" s="1">
        <v>38806</v>
      </c>
      <c r="G121" s="21" t="s">
        <v>1</v>
      </c>
      <c r="H121" s="21" t="s">
        <v>13</v>
      </c>
      <c r="I121" s="21" t="s">
        <v>23</v>
      </c>
      <c r="J121">
        <v>1</v>
      </c>
    </row>
    <row r="122" spans="1:10" x14ac:dyDescent="0.35">
      <c r="A122" s="21" t="s">
        <v>386</v>
      </c>
      <c r="B122">
        <v>1545</v>
      </c>
      <c r="C122" s="1">
        <v>45862</v>
      </c>
      <c r="D122">
        <v>16362</v>
      </c>
      <c r="E122">
        <v>40399</v>
      </c>
      <c r="F122" s="1">
        <v>45862</v>
      </c>
      <c r="G122" s="21" t="s">
        <v>19</v>
      </c>
      <c r="H122" s="21" t="s">
        <v>13</v>
      </c>
      <c r="I122" s="21" t="s">
        <v>20</v>
      </c>
      <c r="J122">
        <v>7</v>
      </c>
    </row>
    <row r="123" spans="1:10" x14ac:dyDescent="0.35">
      <c r="A123" s="21" t="s">
        <v>141</v>
      </c>
      <c r="B123">
        <v>1545</v>
      </c>
      <c r="C123" s="1">
        <v>45708</v>
      </c>
      <c r="D123">
        <v>14524</v>
      </c>
      <c r="E123">
        <v>36150</v>
      </c>
      <c r="F123" s="1">
        <v>45280</v>
      </c>
      <c r="G123" s="21" t="s">
        <v>0</v>
      </c>
      <c r="H123" s="21" t="s">
        <v>13</v>
      </c>
      <c r="I123" s="21" t="s">
        <v>20</v>
      </c>
      <c r="J123">
        <v>2</v>
      </c>
    </row>
    <row r="124" spans="1:10" x14ac:dyDescent="0.35">
      <c r="A124" s="21" t="s">
        <v>24</v>
      </c>
      <c r="B124">
        <v>1545</v>
      </c>
      <c r="C124" s="1">
        <v>45685</v>
      </c>
      <c r="D124">
        <v>14273</v>
      </c>
      <c r="E124">
        <v>35804</v>
      </c>
      <c r="F124" s="1">
        <v>45303</v>
      </c>
      <c r="G124" s="21" t="s">
        <v>19</v>
      </c>
      <c r="H124" s="21" t="s">
        <v>13</v>
      </c>
      <c r="I124" s="21" t="s">
        <v>20</v>
      </c>
      <c r="J124">
        <v>1</v>
      </c>
    </row>
    <row r="125" spans="1:10" x14ac:dyDescent="0.35">
      <c r="A125" s="21" t="s">
        <v>429</v>
      </c>
      <c r="B125">
        <v>16500</v>
      </c>
      <c r="C125" s="1">
        <v>45895</v>
      </c>
      <c r="D125">
        <v>16931</v>
      </c>
      <c r="E125">
        <v>42435</v>
      </c>
      <c r="F125" s="1">
        <v>45525</v>
      </c>
      <c r="G125" s="21" t="s">
        <v>12</v>
      </c>
      <c r="H125" s="21" t="s">
        <v>17</v>
      </c>
      <c r="I125" s="21" t="s">
        <v>23</v>
      </c>
      <c r="J125">
        <v>8</v>
      </c>
    </row>
    <row r="126" spans="1:10" x14ac:dyDescent="0.35">
      <c r="A126" s="21" t="s">
        <v>387</v>
      </c>
      <c r="B126">
        <v>14420</v>
      </c>
      <c r="C126" s="1">
        <v>45869</v>
      </c>
      <c r="D126">
        <v>16450</v>
      </c>
      <c r="E126">
        <v>40595</v>
      </c>
      <c r="F126" s="1">
        <v>40295</v>
      </c>
      <c r="G126" s="21" t="s">
        <v>1</v>
      </c>
      <c r="H126" s="21" t="s">
        <v>13</v>
      </c>
      <c r="I126" s="21" t="s">
        <v>20</v>
      </c>
      <c r="J126">
        <v>7</v>
      </c>
    </row>
    <row r="127" spans="1:10" x14ac:dyDescent="0.35">
      <c r="A127" s="21" t="s">
        <v>510</v>
      </c>
      <c r="B127">
        <v>7200</v>
      </c>
      <c r="C127" s="1">
        <v>45964</v>
      </c>
      <c r="D127">
        <v>17644</v>
      </c>
      <c r="E127">
        <v>43405</v>
      </c>
      <c r="F127" s="1">
        <v>39393</v>
      </c>
      <c r="G127" s="21" t="s">
        <v>19</v>
      </c>
      <c r="H127" s="21" t="s">
        <v>13</v>
      </c>
      <c r="I127" s="21" t="s">
        <v>14</v>
      </c>
      <c r="J127">
        <v>11</v>
      </c>
    </row>
    <row r="128" spans="1:10" x14ac:dyDescent="0.35">
      <c r="A128" s="21" t="s">
        <v>388</v>
      </c>
      <c r="B128">
        <v>9685</v>
      </c>
      <c r="C128" s="1">
        <v>45861</v>
      </c>
      <c r="D128">
        <v>16354</v>
      </c>
      <c r="E128">
        <v>40367</v>
      </c>
      <c r="F128" s="1">
        <v>40045</v>
      </c>
      <c r="G128" s="21" t="s">
        <v>0</v>
      </c>
      <c r="H128" s="21" t="s">
        <v>13</v>
      </c>
      <c r="I128" s="21" t="s">
        <v>20</v>
      </c>
      <c r="J128">
        <v>7</v>
      </c>
    </row>
    <row r="129" spans="1:10" x14ac:dyDescent="0.35">
      <c r="A129" s="21" t="s">
        <v>274</v>
      </c>
      <c r="B129">
        <v>23375</v>
      </c>
      <c r="C129" s="1">
        <v>45751</v>
      </c>
      <c r="D129">
        <v>15148</v>
      </c>
      <c r="E129">
        <v>37584</v>
      </c>
      <c r="F129" s="1">
        <v>37830</v>
      </c>
      <c r="G129" s="21" t="s">
        <v>19</v>
      </c>
      <c r="H129" s="21" t="s">
        <v>13</v>
      </c>
      <c r="I129" s="21" t="s">
        <v>20</v>
      </c>
      <c r="J129">
        <v>4</v>
      </c>
    </row>
    <row r="130" spans="1:10" x14ac:dyDescent="0.35">
      <c r="A130" s="21" t="s">
        <v>511</v>
      </c>
      <c r="B130">
        <v>1905</v>
      </c>
      <c r="C130" s="1">
        <v>45974</v>
      </c>
      <c r="D130">
        <v>17718</v>
      </c>
      <c r="E130">
        <v>43480</v>
      </c>
      <c r="F130" s="1">
        <v>39778</v>
      </c>
      <c r="G130" s="21" t="s">
        <v>19</v>
      </c>
      <c r="H130" s="21" t="s">
        <v>27</v>
      </c>
      <c r="I130" s="21" t="s">
        <v>14</v>
      </c>
      <c r="J130">
        <v>11</v>
      </c>
    </row>
    <row r="131" spans="1:10" x14ac:dyDescent="0.35">
      <c r="A131" s="21" t="s">
        <v>142</v>
      </c>
      <c r="B131">
        <v>16175</v>
      </c>
      <c r="C131" s="1">
        <v>45705</v>
      </c>
      <c r="D131">
        <v>14479</v>
      </c>
      <c r="E131">
        <v>36084</v>
      </c>
      <c r="F131" s="1">
        <v>40205</v>
      </c>
      <c r="G131" s="21" t="s">
        <v>19</v>
      </c>
      <c r="H131" s="21" t="s">
        <v>13</v>
      </c>
      <c r="I131" s="21" t="s">
        <v>20</v>
      </c>
      <c r="J131">
        <v>2</v>
      </c>
    </row>
    <row r="132" spans="1:10" x14ac:dyDescent="0.35">
      <c r="A132" s="21" t="s">
        <v>143</v>
      </c>
      <c r="B132">
        <v>23375</v>
      </c>
      <c r="C132" s="1">
        <v>45688</v>
      </c>
      <c r="D132">
        <v>14349</v>
      </c>
      <c r="E132">
        <v>35900</v>
      </c>
      <c r="F132" s="1">
        <v>40861</v>
      </c>
      <c r="G132" s="21" t="s">
        <v>19</v>
      </c>
      <c r="H132" s="21" t="s">
        <v>13</v>
      </c>
      <c r="I132" s="21" t="s">
        <v>20</v>
      </c>
      <c r="J132">
        <v>1</v>
      </c>
    </row>
    <row r="133" spans="1:10" x14ac:dyDescent="0.35">
      <c r="A133" s="21" t="s">
        <v>458</v>
      </c>
      <c r="B133">
        <v>1905</v>
      </c>
      <c r="C133" s="1">
        <v>45905</v>
      </c>
      <c r="D133">
        <v>17089</v>
      </c>
      <c r="E133">
        <v>42732</v>
      </c>
      <c r="F133" s="1">
        <v>45905</v>
      </c>
      <c r="G133" s="21" t="s">
        <v>19</v>
      </c>
      <c r="H133" s="21" t="s">
        <v>13</v>
      </c>
      <c r="I133" s="21" t="s">
        <v>14</v>
      </c>
      <c r="J133">
        <v>9</v>
      </c>
    </row>
    <row r="134" spans="1:10" x14ac:dyDescent="0.35">
      <c r="A134" s="21" t="s">
        <v>279</v>
      </c>
      <c r="B134">
        <v>30290</v>
      </c>
      <c r="C134" s="1">
        <v>45786</v>
      </c>
      <c r="D134">
        <v>15576</v>
      </c>
      <c r="E134">
        <v>39000</v>
      </c>
      <c r="F134" s="1">
        <v>37810</v>
      </c>
      <c r="G134" s="21" t="s">
        <v>1</v>
      </c>
      <c r="H134" s="21" t="s">
        <v>13</v>
      </c>
      <c r="I134" s="21" t="s">
        <v>23</v>
      </c>
      <c r="J134">
        <v>5</v>
      </c>
    </row>
    <row r="135" spans="1:10" x14ac:dyDescent="0.35">
      <c r="A135" s="21" t="s">
        <v>280</v>
      </c>
      <c r="B135">
        <v>1905</v>
      </c>
      <c r="C135" s="1">
        <v>45763</v>
      </c>
      <c r="D135">
        <v>15282</v>
      </c>
      <c r="E135">
        <v>38056</v>
      </c>
      <c r="F135" s="1">
        <v>43966</v>
      </c>
      <c r="G135" s="21" t="s">
        <v>12</v>
      </c>
      <c r="H135" s="21" t="s">
        <v>13</v>
      </c>
      <c r="I135" s="21" t="s">
        <v>14</v>
      </c>
      <c r="J135">
        <v>4</v>
      </c>
    </row>
    <row r="136" spans="1:10" x14ac:dyDescent="0.35">
      <c r="A136" s="21" t="s">
        <v>281</v>
      </c>
      <c r="B136">
        <v>23375</v>
      </c>
      <c r="C136" s="1">
        <v>45804</v>
      </c>
      <c r="D136">
        <v>15735</v>
      </c>
      <c r="E136">
        <v>39264</v>
      </c>
      <c r="F136" s="1">
        <v>43175</v>
      </c>
      <c r="G136" s="21" t="s">
        <v>0</v>
      </c>
      <c r="H136" s="21" t="s">
        <v>13</v>
      </c>
      <c r="I136" s="21" t="s">
        <v>20</v>
      </c>
      <c r="J136">
        <v>5</v>
      </c>
    </row>
    <row r="137" spans="1:10" x14ac:dyDescent="0.35">
      <c r="A137" s="21" t="s">
        <v>108</v>
      </c>
      <c r="B137">
        <v>14420</v>
      </c>
      <c r="C137" s="1">
        <v>45863</v>
      </c>
      <c r="D137">
        <v>16383</v>
      </c>
      <c r="E137">
        <v>40464</v>
      </c>
      <c r="F137" s="1">
        <v>33935</v>
      </c>
      <c r="G137" s="21" t="s">
        <v>1</v>
      </c>
      <c r="H137" s="21" t="s">
        <v>13</v>
      </c>
      <c r="I137" s="21" t="s">
        <v>20</v>
      </c>
      <c r="J137">
        <v>7</v>
      </c>
    </row>
    <row r="138" spans="1:10" x14ac:dyDescent="0.35">
      <c r="A138" s="21" t="s">
        <v>108</v>
      </c>
      <c r="B138">
        <v>14420</v>
      </c>
      <c r="C138" s="1">
        <v>45686</v>
      </c>
      <c r="D138">
        <v>14284</v>
      </c>
      <c r="E138">
        <v>35819</v>
      </c>
      <c r="F138" s="1">
        <v>33935</v>
      </c>
      <c r="G138" s="21" t="s">
        <v>1</v>
      </c>
      <c r="H138" s="21" t="s">
        <v>13</v>
      </c>
      <c r="I138" s="21" t="s">
        <v>20</v>
      </c>
      <c r="J138">
        <v>1</v>
      </c>
    </row>
    <row r="139" spans="1:10" x14ac:dyDescent="0.35">
      <c r="A139" s="21" t="s">
        <v>109</v>
      </c>
      <c r="B139">
        <v>23375</v>
      </c>
      <c r="C139" s="1">
        <v>45666</v>
      </c>
      <c r="D139">
        <v>13901</v>
      </c>
      <c r="E139">
        <v>35281</v>
      </c>
      <c r="F139" s="1">
        <v>37964</v>
      </c>
      <c r="G139" s="21" t="s">
        <v>19</v>
      </c>
      <c r="H139" s="21" t="s">
        <v>13</v>
      </c>
      <c r="I139" s="21" t="s">
        <v>20</v>
      </c>
      <c r="J139">
        <v>1</v>
      </c>
    </row>
    <row r="140" spans="1:10" x14ac:dyDescent="0.35">
      <c r="A140" s="21" t="s">
        <v>282</v>
      </c>
      <c r="B140">
        <v>1905</v>
      </c>
      <c r="C140" s="1">
        <v>45805</v>
      </c>
      <c r="D140">
        <v>15744</v>
      </c>
      <c r="E140">
        <v>39273</v>
      </c>
      <c r="F140" s="1">
        <v>44790</v>
      </c>
      <c r="G140" s="21" t="s">
        <v>12</v>
      </c>
      <c r="H140" s="21" t="s">
        <v>175</v>
      </c>
      <c r="I140" s="21" t="s">
        <v>14</v>
      </c>
      <c r="J140">
        <v>5</v>
      </c>
    </row>
    <row r="141" spans="1:10" x14ac:dyDescent="0.35">
      <c r="A141" s="21" t="s">
        <v>144</v>
      </c>
      <c r="B141">
        <v>2370</v>
      </c>
      <c r="C141" s="1">
        <v>45692</v>
      </c>
      <c r="D141">
        <v>14365</v>
      </c>
      <c r="E141">
        <v>35916</v>
      </c>
      <c r="F141" s="1">
        <v>41988</v>
      </c>
      <c r="G141" s="21" t="s">
        <v>19</v>
      </c>
      <c r="H141" s="21" t="s">
        <v>13</v>
      </c>
      <c r="I141" s="21" t="s">
        <v>20</v>
      </c>
      <c r="J141">
        <v>2</v>
      </c>
    </row>
    <row r="142" spans="1:10" x14ac:dyDescent="0.35">
      <c r="A142" s="21" t="s">
        <v>283</v>
      </c>
      <c r="B142">
        <v>1650</v>
      </c>
      <c r="C142" s="1">
        <v>45750</v>
      </c>
      <c r="D142">
        <v>15084</v>
      </c>
      <c r="E142">
        <v>37267</v>
      </c>
      <c r="F142" s="1">
        <v>42459</v>
      </c>
      <c r="G142" s="21" t="s">
        <v>1</v>
      </c>
      <c r="H142" s="21" t="s">
        <v>284</v>
      </c>
      <c r="I142" s="21" t="s">
        <v>20</v>
      </c>
      <c r="J142">
        <v>4</v>
      </c>
    </row>
    <row r="143" spans="1:10" x14ac:dyDescent="0.35">
      <c r="A143" s="21" t="s">
        <v>145</v>
      </c>
      <c r="B143">
        <v>2370</v>
      </c>
      <c r="C143" s="1">
        <v>45712</v>
      </c>
      <c r="D143">
        <v>14564</v>
      </c>
      <c r="E143">
        <v>36212</v>
      </c>
      <c r="F143" s="1">
        <v>41386</v>
      </c>
      <c r="G143" s="21" t="s">
        <v>19</v>
      </c>
      <c r="H143" s="21" t="s">
        <v>13</v>
      </c>
      <c r="I143" s="21" t="s">
        <v>20</v>
      </c>
      <c r="J143">
        <v>2</v>
      </c>
    </row>
    <row r="144" spans="1:10" x14ac:dyDescent="0.35">
      <c r="A144" s="21" t="s">
        <v>342</v>
      </c>
      <c r="B144">
        <v>23375</v>
      </c>
      <c r="C144" s="1">
        <v>45818</v>
      </c>
      <c r="D144">
        <v>15858</v>
      </c>
      <c r="E144">
        <v>39470</v>
      </c>
      <c r="F144" s="1">
        <v>38363</v>
      </c>
      <c r="G144" s="21" t="s">
        <v>19</v>
      </c>
      <c r="H144" s="21" t="s">
        <v>13</v>
      </c>
      <c r="I144" s="21" t="s">
        <v>20</v>
      </c>
      <c r="J144">
        <v>6</v>
      </c>
    </row>
    <row r="145" spans="1:10" x14ac:dyDescent="0.35">
      <c r="A145" s="21" t="s">
        <v>343</v>
      </c>
      <c r="B145">
        <v>23375</v>
      </c>
      <c r="C145" s="1">
        <v>45820</v>
      </c>
      <c r="D145">
        <v>15875</v>
      </c>
      <c r="E145">
        <v>39488</v>
      </c>
      <c r="F145" s="1">
        <v>37509</v>
      </c>
      <c r="G145" s="21" t="s">
        <v>344</v>
      </c>
      <c r="H145" s="21" t="s">
        <v>13</v>
      </c>
      <c r="I145" s="21" t="s">
        <v>20</v>
      </c>
      <c r="J145">
        <v>6</v>
      </c>
    </row>
    <row r="146" spans="1:10" x14ac:dyDescent="0.35">
      <c r="A146" s="21" t="s">
        <v>147</v>
      </c>
      <c r="B146">
        <v>3455</v>
      </c>
      <c r="C146" s="1">
        <v>45699</v>
      </c>
      <c r="D146">
        <v>14441</v>
      </c>
      <c r="E146">
        <v>36032</v>
      </c>
      <c r="F146" s="1">
        <v>45344</v>
      </c>
      <c r="G146" s="21" t="s">
        <v>12</v>
      </c>
      <c r="H146" s="21" t="s">
        <v>13</v>
      </c>
      <c r="I146" s="21" t="s">
        <v>20</v>
      </c>
      <c r="J146">
        <v>2</v>
      </c>
    </row>
    <row r="147" spans="1:10" x14ac:dyDescent="0.35">
      <c r="A147" s="21" t="s">
        <v>389</v>
      </c>
      <c r="B147">
        <v>2680</v>
      </c>
      <c r="C147" s="1">
        <v>45856</v>
      </c>
      <c r="D147">
        <v>16330</v>
      </c>
      <c r="E147">
        <v>40308</v>
      </c>
      <c r="F147" s="1">
        <v>38555</v>
      </c>
      <c r="G147" s="21" t="s">
        <v>12</v>
      </c>
      <c r="H147" s="21" t="s">
        <v>13</v>
      </c>
      <c r="I147" s="21" t="s">
        <v>20</v>
      </c>
      <c r="J147">
        <v>7</v>
      </c>
    </row>
    <row r="148" spans="1:10" x14ac:dyDescent="0.35">
      <c r="A148" s="21" t="s">
        <v>482</v>
      </c>
      <c r="B148">
        <v>23375</v>
      </c>
      <c r="C148" s="1">
        <v>45936</v>
      </c>
      <c r="D148">
        <v>17446</v>
      </c>
      <c r="E148">
        <v>43181</v>
      </c>
      <c r="F148" s="1">
        <v>40477</v>
      </c>
      <c r="G148" s="21" t="s">
        <v>19</v>
      </c>
      <c r="H148" s="21" t="s">
        <v>13</v>
      </c>
      <c r="I148" s="21" t="s">
        <v>20</v>
      </c>
      <c r="J148">
        <v>10</v>
      </c>
    </row>
    <row r="149" spans="1:10" x14ac:dyDescent="0.35">
      <c r="A149" s="21" t="s">
        <v>390</v>
      </c>
      <c r="B149">
        <v>1545</v>
      </c>
      <c r="C149" s="1">
        <v>45839</v>
      </c>
      <c r="D149">
        <v>16062</v>
      </c>
      <c r="E149">
        <v>39802</v>
      </c>
      <c r="F149" s="1">
        <v>45839</v>
      </c>
      <c r="G149" s="21" t="s">
        <v>0</v>
      </c>
      <c r="H149" s="21" t="s">
        <v>13</v>
      </c>
      <c r="I149" s="21" t="s">
        <v>20</v>
      </c>
      <c r="J149">
        <v>7</v>
      </c>
    </row>
    <row r="150" spans="1:10" x14ac:dyDescent="0.35">
      <c r="A150" s="21" t="s">
        <v>391</v>
      </c>
      <c r="B150">
        <v>1545</v>
      </c>
      <c r="C150" s="1">
        <v>45863</v>
      </c>
      <c r="D150">
        <v>16384</v>
      </c>
      <c r="E150">
        <v>40465</v>
      </c>
      <c r="F150" s="1">
        <v>35787</v>
      </c>
      <c r="G150" s="21" t="s">
        <v>12</v>
      </c>
      <c r="H150" s="21" t="s">
        <v>13</v>
      </c>
      <c r="I150" s="21" t="s">
        <v>20</v>
      </c>
      <c r="J150">
        <v>7</v>
      </c>
    </row>
    <row r="151" spans="1:10" x14ac:dyDescent="0.35">
      <c r="A151" s="21" t="s">
        <v>148</v>
      </c>
      <c r="B151">
        <v>16500</v>
      </c>
      <c r="C151" s="1">
        <v>45720</v>
      </c>
      <c r="D151">
        <v>14663</v>
      </c>
      <c r="E151">
        <v>36436</v>
      </c>
      <c r="F151" s="1">
        <v>41004</v>
      </c>
      <c r="G151" s="21" t="s">
        <v>12</v>
      </c>
      <c r="H151" s="21" t="s">
        <v>13</v>
      </c>
      <c r="I151" s="21" t="s">
        <v>23</v>
      </c>
      <c r="J151">
        <v>3</v>
      </c>
    </row>
    <row r="152" spans="1:10" x14ac:dyDescent="0.35">
      <c r="A152" s="21" t="s">
        <v>149</v>
      </c>
      <c r="B152">
        <v>16480</v>
      </c>
      <c r="C152" s="1">
        <v>45709</v>
      </c>
      <c r="D152">
        <v>14560</v>
      </c>
      <c r="E152">
        <v>36208</v>
      </c>
      <c r="F152" s="1">
        <v>36845</v>
      </c>
      <c r="G152" s="21" t="s">
        <v>12</v>
      </c>
      <c r="H152" s="21" t="s">
        <v>150</v>
      </c>
      <c r="I152" s="21" t="s">
        <v>14</v>
      </c>
      <c r="J152">
        <v>2</v>
      </c>
    </row>
    <row r="153" spans="1:10" x14ac:dyDescent="0.35">
      <c r="A153" s="21" t="s">
        <v>513</v>
      </c>
      <c r="B153">
        <v>16480</v>
      </c>
      <c r="C153" s="1">
        <v>45987</v>
      </c>
      <c r="D153">
        <v>17858</v>
      </c>
      <c r="E153">
        <v>43622</v>
      </c>
      <c r="F153" s="1">
        <v>40286</v>
      </c>
      <c r="G153" s="21" t="s">
        <v>12</v>
      </c>
      <c r="H153" s="21" t="s">
        <v>13</v>
      </c>
      <c r="I153" s="21" t="s">
        <v>14</v>
      </c>
      <c r="J153">
        <v>11</v>
      </c>
    </row>
    <row r="154" spans="1:10" x14ac:dyDescent="0.35">
      <c r="A154" s="21" t="s">
        <v>514</v>
      </c>
      <c r="B154">
        <v>2680</v>
      </c>
      <c r="C154" s="1">
        <v>45973</v>
      </c>
      <c r="D154">
        <v>17709</v>
      </c>
      <c r="E154">
        <v>43470</v>
      </c>
      <c r="F154" s="1">
        <v>41535</v>
      </c>
      <c r="G154" s="21" t="s">
        <v>12</v>
      </c>
      <c r="H154" s="21" t="s">
        <v>13</v>
      </c>
      <c r="I154" s="21" t="s">
        <v>20</v>
      </c>
      <c r="J154">
        <v>11</v>
      </c>
    </row>
    <row r="155" spans="1:10" x14ac:dyDescent="0.35">
      <c r="A155" s="21" t="s">
        <v>287</v>
      </c>
      <c r="B155">
        <v>1545</v>
      </c>
      <c r="C155" s="1">
        <v>45806</v>
      </c>
      <c r="D155">
        <v>15757</v>
      </c>
      <c r="E155">
        <v>39305</v>
      </c>
      <c r="F155" s="1">
        <v>45806</v>
      </c>
      <c r="G155" s="21" t="s">
        <v>12</v>
      </c>
      <c r="H155" s="21" t="s">
        <v>13</v>
      </c>
      <c r="I155" s="21" t="s">
        <v>20</v>
      </c>
      <c r="J155">
        <v>5</v>
      </c>
    </row>
    <row r="156" spans="1:10" x14ac:dyDescent="0.35">
      <c r="A156" s="21" t="s">
        <v>15</v>
      </c>
      <c r="B156">
        <v>1545</v>
      </c>
      <c r="C156" s="1">
        <v>45663</v>
      </c>
      <c r="D156">
        <v>13776</v>
      </c>
      <c r="E156">
        <v>35134</v>
      </c>
      <c r="F156" s="1">
        <v>38720</v>
      </c>
      <c r="G156" s="21" t="s">
        <v>12</v>
      </c>
      <c r="H156" s="21" t="s">
        <v>13</v>
      </c>
      <c r="I156" s="21" t="s">
        <v>20</v>
      </c>
      <c r="J156">
        <v>1</v>
      </c>
    </row>
    <row r="157" spans="1:10" x14ac:dyDescent="0.35">
      <c r="A157" s="21" t="s">
        <v>434</v>
      </c>
      <c r="B157">
        <v>7010</v>
      </c>
      <c r="C157" s="1">
        <v>45880</v>
      </c>
      <c r="D157">
        <v>16583</v>
      </c>
      <c r="E157">
        <v>41325</v>
      </c>
      <c r="F157" s="1">
        <v>37214</v>
      </c>
      <c r="G157" s="21" t="s">
        <v>12</v>
      </c>
      <c r="H157" s="21" t="s">
        <v>13</v>
      </c>
      <c r="I157" s="21" t="s">
        <v>20</v>
      </c>
      <c r="J157">
        <v>8</v>
      </c>
    </row>
    <row r="158" spans="1:10" x14ac:dyDescent="0.35">
      <c r="A158" s="21" t="s">
        <v>346</v>
      </c>
      <c r="B158">
        <v>5460</v>
      </c>
      <c r="C158" s="1">
        <v>45833</v>
      </c>
      <c r="D158">
        <v>15993</v>
      </c>
      <c r="E158">
        <v>39698</v>
      </c>
      <c r="F158" s="1">
        <v>37466</v>
      </c>
      <c r="G158" s="21" t="s">
        <v>12</v>
      </c>
      <c r="H158" s="21" t="s">
        <v>13</v>
      </c>
      <c r="I158" s="21" t="s">
        <v>20</v>
      </c>
      <c r="J158">
        <v>6</v>
      </c>
    </row>
    <row r="159" spans="1:10" x14ac:dyDescent="0.35">
      <c r="A159" s="21" t="s">
        <v>288</v>
      </c>
      <c r="B159">
        <v>5460</v>
      </c>
      <c r="C159" s="1">
        <v>45791</v>
      </c>
      <c r="D159">
        <v>15633</v>
      </c>
      <c r="E159">
        <v>39150</v>
      </c>
      <c r="F159" s="1">
        <v>33604</v>
      </c>
      <c r="G159" s="21" t="s">
        <v>12</v>
      </c>
      <c r="H159" s="21" t="s">
        <v>13</v>
      </c>
      <c r="I159" s="21" t="s">
        <v>20</v>
      </c>
      <c r="J159">
        <v>5</v>
      </c>
    </row>
    <row r="160" spans="1:10" x14ac:dyDescent="0.35">
      <c r="A160" s="21" t="s">
        <v>392</v>
      </c>
      <c r="B160">
        <v>1905</v>
      </c>
      <c r="C160" s="1">
        <v>45864</v>
      </c>
      <c r="D160">
        <v>16394</v>
      </c>
      <c r="E160">
        <v>40480</v>
      </c>
      <c r="F160" s="1">
        <v>40767</v>
      </c>
      <c r="G160" s="21" t="s">
        <v>12</v>
      </c>
      <c r="H160" s="21" t="s">
        <v>13</v>
      </c>
      <c r="I160" s="21" t="s">
        <v>14</v>
      </c>
      <c r="J160">
        <v>7</v>
      </c>
    </row>
    <row r="161" spans="1:10" x14ac:dyDescent="0.35">
      <c r="A161" s="21" t="s">
        <v>151</v>
      </c>
      <c r="B161">
        <v>5460</v>
      </c>
      <c r="C161" s="1">
        <v>45700</v>
      </c>
      <c r="D161">
        <v>14446</v>
      </c>
      <c r="E161">
        <v>36044</v>
      </c>
      <c r="F161" s="1">
        <v>45069</v>
      </c>
      <c r="G161" s="21" t="s">
        <v>12</v>
      </c>
      <c r="H161" s="21" t="s">
        <v>13</v>
      </c>
      <c r="I161" s="21" t="s">
        <v>20</v>
      </c>
      <c r="J161">
        <v>2</v>
      </c>
    </row>
    <row r="162" spans="1:10" x14ac:dyDescent="0.35">
      <c r="A162" s="21" t="s">
        <v>483</v>
      </c>
      <c r="B162">
        <v>1905</v>
      </c>
      <c r="C162" s="1">
        <v>45959</v>
      </c>
      <c r="D162">
        <v>17621</v>
      </c>
      <c r="E162">
        <v>43381</v>
      </c>
      <c r="F162" s="1">
        <v>45600</v>
      </c>
      <c r="G162" s="21" t="s">
        <v>19</v>
      </c>
      <c r="H162" s="21" t="s">
        <v>13</v>
      </c>
      <c r="I162" s="21" t="s">
        <v>14</v>
      </c>
      <c r="J162">
        <v>10</v>
      </c>
    </row>
    <row r="163" spans="1:10" x14ac:dyDescent="0.35">
      <c r="A163" s="21" t="s">
        <v>110</v>
      </c>
      <c r="B163">
        <v>2990</v>
      </c>
      <c r="C163" s="1">
        <v>45682</v>
      </c>
      <c r="D163">
        <v>14229</v>
      </c>
      <c r="E163">
        <v>35739</v>
      </c>
      <c r="F163" s="1">
        <v>45682</v>
      </c>
      <c r="G163" s="21" t="s">
        <v>19</v>
      </c>
      <c r="H163" s="21" t="s">
        <v>13</v>
      </c>
      <c r="I163" s="21" t="s">
        <v>14</v>
      </c>
      <c r="J163">
        <v>1</v>
      </c>
    </row>
    <row r="164" spans="1:10" x14ac:dyDescent="0.35">
      <c r="A164" s="21" t="s">
        <v>393</v>
      </c>
      <c r="B164">
        <v>2680</v>
      </c>
      <c r="C164" s="1">
        <v>45854</v>
      </c>
      <c r="D164">
        <v>16275</v>
      </c>
      <c r="E164">
        <v>40172</v>
      </c>
      <c r="F164" s="1">
        <v>40246</v>
      </c>
      <c r="G164" s="21" t="s">
        <v>12</v>
      </c>
      <c r="H164" s="21" t="s">
        <v>13</v>
      </c>
      <c r="I164" s="21" t="s">
        <v>20</v>
      </c>
      <c r="J164">
        <v>7</v>
      </c>
    </row>
    <row r="165" spans="1:10" x14ac:dyDescent="0.35">
      <c r="A165" s="21" t="s">
        <v>347</v>
      </c>
      <c r="B165">
        <v>14420</v>
      </c>
      <c r="C165" s="1">
        <v>45820</v>
      </c>
      <c r="D165">
        <v>15873</v>
      </c>
      <c r="E165">
        <v>39486</v>
      </c>
      <c r="F165" s="1">
        <v>33974</v>
      </c>
      <c r="G165" s="21" t="s">
        <v>1</v>
      </c>
      <c r="H165" s="21" t="s">
        <v>13</v>
      </c>
      <c r="I165" s="21" t="s">
        <v>20</v>
      </c>
      <c r="J165">
        <v>6</v>
      </c>
    </row>
    <row r="166" spans="1:10" x14ac:dyDescent="0.35">
      <c r="A166" s="21" t="s">
        <v>348</v>
      </c>
      <c r="B166">
        <v>2990</v>
      </c>
      <c r="C166" s="1">
        <v>45814</v>
      </c>
      <c r="D166">
        <v>15823</v>
      </c>
      <c r="E166">
        <v>39395</v>
      </c>
      <c r="F166" s="1">
        <v>45055</v>
      </c>
      <c r="G166" s="21" t="s">
        <v>0</v>
      </c>
      <c r="H166" s="21" t="s">
        <v>13</v>
      </c>
      <c r="I166" s="21" t="s">
        <v>14</v>
      </c>
      <c r="J166">
        <v>6</v>
      </c>
    </row>
    <row r="167" spans="1:10" x14ac:dyDescent="0.35">
      <c r="A167" s="21" t="s">
        <v>394</v>
      </c>
      <c r="B167">
        <v>4675</v>
      </c>
      <c r="C167" s="1">
        <v>45863</v>
      </c>
      <c r="D167">
        <v>16386</v>
      </c>
      <c r="E167">
        <v>40467</v>
      </c>
      <c r="F167" s="1">
        <v>40211</v>
      </c>
      <c r="G167" s="21" t="s">
        <v>19</v>
      </c>
      <c r="H167" s="21" t="s">
        <v>13</v>
      </c>
      <c r="I167" s="21" t="s">
        <v>20</v>
      </c>
      <c r="J167">
        <v>7</v>
      </c>
    </row>
    <row r="168" spans="1:10" x14ac:dyDescent="0.35">
      <c r="A168" s="21" t="s">
        <v>394</v>
      </c>
      <c r="B168">
        <v>18700</v>
      </c>
      <c r="C168" s="1">
        <v>45863</v>
      </c>
      <c r="D168">
        <v>16385</v>
      </c>
      <c r="E168">
        <v>40466</v>
      </c>
      <c r="F168" s="1">
        <v>40211</v>
      </c>
      <c r="G168" s="21" t="s">
        <v>19</v>
      </c>
      <c r="H168" s="21" t="s">
        <v>13</v>
      </c>
      <c r="I168" s="21" t="s">
        <v>20</v>
      </c>
      <c r="J168">
        <v>7</v>
      </c>
    </row>
    <row r="169" spans="1:10" x14ac:dyDescent="0.35">
      <c r="A169" s="21" t="s">
        <v>435</v>
      </c>
      <c r="B169">
        <v>2370</v>
      </c>
      <c r="C169" s="1">
        <v>45902</v>
      </c>
      <c r="D169">
        <v>16999</v>
      </c>
      <c r="E169">
        <v>42527</v>
      </c>
      <c r="F169" s="1">
        <v>41827</v>
      </c>
      <c r="G169" s="21" t="s">
        <v>19</v>
      </c>
      <c r="H169" s="21" t="s">
        <v>13</v>
      </c>
      <c r="I169" s="21" t="s">
        <v>20</v>
      </c>
      <c r="J169">
        <v>9</v>
      </c>
    </row>
    <row r="170" spans="1:10" x14ac:dyDescent="0.35">
      <c r="A170" s="21" t="s">
        <v>152</v>
      </c>
      <c r="B170">
        <v>18025</v>
      </c>
      <c r="C170" s="1">
        <v>45706</v>
      </c>
      <c r="D170">
        <v>14494</v>
      </c>
      <c r="E170">
        <v>36099</v>
      </c>
      <c r="F170" s="1">
        <v>43936</v>
      </c>
      <c r="G170" s="21" t="s">
        <v>1</v>
      </c>
      <c r="H170" s="21" t="s">
        <v>13</v>
      </c>
      <c r="I170" s="21" t="s">
        <v>14</v>
      </c>
      <c r="J170">
        <v>2</v>
      </c>
    </row>
    <row r="171" spans="1:10" x14ac:dyDescent="0.35">
      <c r="A171" s="21" t="s">
        <v>289</v>
      </c>
      <c r="B171">
        <v>1545</v>
      </c>
      <c r="C171" s="1">
        <v>45749</v>
      </c>
      <c r="D171">
        <v>15092</v>
      </c>
      <c r="E171">
        <v>37296</v>
      </c>
      <c r="F171" s="1">
        <v>43979</v>
      </c>
      <c r="G171" s="21" t="s">
        <v>12</v>
      </c>
      <c r="H171" s="21" t="s">
        <v>176</v>
      </c>
      <c r="I171" s="21" t="s">
        <v>20</v>
      </c>
      <c r="J171">
        <v>4</v>
      </c>
    </row>
    <row r="172" spans="1:10" x14ac:dyDescent="0.35">
      <c r="A172" s="21" t="s">
        <v>516</v>
      </c>
      <c r="B172">
        <v>1545</v>
      </c>
      <c r="C172" s="1">
        <v>45985</v>
      </c>
      <c r="D172">
        <v>17823</v>
      </c>
      <c r="E172">
        <v>43588</v>
      </c>
      <c r="F172" s="1">
        <v>44693</v>
      </c>
      <c r="G172" s="21" t="s">
        <v>0</v>
      </c>
      <c r="H172" s="21" t="s">
        <v>13</v>
      </c>
      <c r="I172" s="21" t="s">
        <v>20</v>
      </c>
      <c r="J172">
        <v>11</v>
      </c>
    </row>
    <row r="173" spans="1:10" x14ac:dyDescent="0.35">
      <c r="A173" s="21" t="s">
        <v>153</v>
      </c>
      <c r="B173">
        <v>36050</v>
      </c>
      <c r="C173" s="1">
        <v>45695</v>
      </c>
      <c r="D173">
        <v>14418</v>
      </c>
      <c r="E173">
        <v>36005</v>
      </c>
      <c r="F173" s="1">
        <v>40441</v>
      </c>
      <c r="G173" s="21" t="s">
        <v>12</v>
      </c>
      <c r="H173" s="21" t="s">
        <v>13</v>
      </c>
      <c r="I173" s="21" t="s">
        <v>23</v>
      </c>
      <c r="J173">
        <v>2</v>
      </c>
    </row>
    <row r="174" spans="1:10" x14ac:dyDescent="0.35">
      <c r="A174" s="21" t="s">
        <v>395</v>
      </c>
      <c r="B174">
        <v>2680</v>
      </c>
      <c r="C174" s="1">
        <v>45852</v>
      </c>
      <c r="D174">
        <v>16256</v>
      </c>
      <c r="E174">
        <v>40136</v>
      </c>
      <c r="F174" s="1">
        <v>40623</v>
      </c>
      <c r="G174" s="21" t="s">
        <v>12</v>
      </c>
      <c r="H174" s="21" t="s">
        <v>13</v>
      </c>
      <c r="I174" s="21" t="s">
        <v>20</v>
      </c>
      <c r="J174">
        <v>7</v>
      </c>
    </row>
    <row r="175" spans="1:10" x14ac:dyDescent="0.35">
      <c r="A175" s="21" t="s">
        <v>436</v>
      </c>
      <c r="B175">
        <v>38100</v>
      </c>
      <c r="C175" s="1">
        <v>45898</v>
      </c>
      <c r="D175">
        <v>16965</v>
      </c>
      <c r="E175">
        <v>42480</v>
      </c>
      <c r="F175" s="1">
        <v>35137</v>
      </c>
      <c r="G175" s="21" t="s">
        <v>19</v>
      </c>
      <c r="H175" s="21" t="s">
        <v>13</v>
      </c>
      <c r="I175" s="21" t="s">
        <v>23</v>
      </c>
      <c r="J175">
        <v>8</v>
      </c>
    </row>
    <row r="176" spans="1:10" x14ac:dyDescent="0.35">
      <c r="A176" s="21" t="s">
        <v>396</v>
      </c>
      <c r="B176">
        <v>38100</v>
      </c>
      <c r="C176" s="1">
        <v>45863</v>
      </c>
      <c r="D176">
        <v>16397</v>
      </c>
      <c r="E176">
        <v>40483</v>
      </c>
      <c r="F176" s="1">
        <v>39945</v>
      </c>
      <c r="G176" s="21" t="s">
        <v>19</v>
      </c>
      <c r="H176" s="21" t="s">
        <v>13</v>
      </c>
      <c r="I176" s="21" t="s">
        <v>23</v>
      </c>
      <c r="J176">
        <v>7</v>
      </c>
    </row>
    <row r="177" spans="1:10" x14ac:dyDescent="0.35">
      <c r="A177" s="21" t="s">
        <v>517</v>
      </c>
      <c r="B177">
        <v>2680</v>
      </c>
      <c r="C177" s="1">
        <v>45979</v>
      </c>
      <c r="D177">
        <v>17745</v>
      </c>
      <c r="E177">
        <v>43508</v>
      </c>
      <c r="F177" s="1">
        <v>40907</v>
      </c>
      <c r="G177" s="21" t="s">
        <v>12</v>
      </c>
      <c r="H177" s="21" t="s">
        <v>13</v>
      </c>
      <c r="I177" s="21" t="s">
        <v>20</v>
      </c>
      <c r="J177">
        <v>11</v>
      </c>
    </row>
    <row r="178" spans="1:10" x14ac:dyDescent="0.35">
      <c r="A178" s="21" t="s">
        <v>290</v>
      </c>
      <c r="B178">
        <v>1545</v>
      </c>
      <c r="C178" s="1">
        <v>45777</v>
      </c>
      <c r="D178">
        <v>15464</v>
      </c>
      <c r="E178">
        <v>38674</v>
      </c>
      <c r="F178" s="1">
        <v>45777</v>
      </c>
      <c r="G178" s="21" t="s">
        <v>19</v>
      </c>
      <c r="H178" s="21" t="s">
        <v>13</v>
      </c>
      <c r="I178" s="21" t="s">
        <v>20</v>
      </c>
      <c r="J178">
        <v>4</v>
      </c>
    </row>
    <row r="179" spans="1:10" x14ac:dyDescent="0.35">
      <c r="A179" s="21" t="s">
        <v>291</v>
      </c>
      <c r="B179">
        <v>1545</v>
      </c>
      <c r="C179" s="1">
        <v>45756</v>
      </c>
      <c r="D179">
        <v>15193</v>
      </c>
      <c r="E179">
        <v>37734</v>
      </c>
      <c r="F179" s="1">
        <v>41086</v>
      </c>
      <c r="G179" s="21" t="s">
        <v>19</v>
      </c>
      <c r="H179" s="21" t="s">
        <v>13</v>
      </c>
      <c r="I179" s="21" t="s">
        <v>20</v>
      </c>
      <c r="J179">
        <v>4</v>
      </c>
    </row>
    <row r="180" spans="1:10" x14ac:dyDescent="0.35">
      <c r="A180" s="21" t="s">
        <v>349</v>
      </c>
      <c r="B180">
        <v>38100</v>
      </c>
      <c r="C180" s="1">
        <v>45833</v>
      </c>
      <c r="D180">
        <v>16008</v>
      </c>
      <c r="E180">
        <v>39716</v>
      </c>
      <c r="F180" s="1">
        <v>38012</v>
      </c>
      <c r="G180" s="21" t="s">
        <v>344</v>
      </c>
      <c r="H180" s="21" t="s">
        <v>13</v>
      </c>
      <c r="I180" s="21" t="s">
        <v>23</v>
      </c>
      <c r="J180">
        <v>6</v>
      </c>
    </row>
    <row r="181" spans="1:10" x14ac:dyDescent="0.35">
      <c r="A181" s="21" t="s">
        <v>350</v>
      </c>
      <c r="B181">
        <v>5460</v>
      </c>
      <c r="C181" s="1">
        <v>45838</v>
      </c>
      <c r="D181">
        <v>16060</v>
      </c>
      <c r="E181">
        <v>39800</v>
      </c>
      <c r="F181" s="1">
        <v>39286</v>
      </c>
      <c r="G181" s="21" t="s">
        <v>12</v>
      </c>
      <c r="H181" s="21" t="s">
        <v>328</v>
      </c>
      <c r="I181" s="21" t="s">
        <v>20</v>
      </c>
      <c r="J181">
        <v>6</v>
      </c>
    </row>
    <row r="182" spans="1:10" x14ac:dyDescent="0.35">
      <c r="A182" s="21" t="s">
        <v>351</v>
      </c>
      <c r="B182">
        <v>38100</v>
      </c>
      <c r="C182" s="1">
        <v>45817</v>
      </c>
      <c r="D182">
        <v>15838</v>
      </c>
      <c r="E182">
        <v>39415</v>
      </c>
      <c r="F182" s="1">
        <v>37676</v>
      </c>
      <c r="G182" s="21" t="s">
        <v>19</v>
      </c>
      <c r="H182" s="21" t="s">
        <v>13</v>
      </c>
      <c r="I182" s="21" t="s">
        <v>23</v>
      </c>
      <c r="J182">
        <v>6</v>
      </c>
    </row>
    <row r="183" spans="1:10" x14ac:dyDescent="0.35">
      <c r="A183" s="21" t="s">
        <v>518</v>
      </c>
      <c r="B183">
        <v>38100</v>
      </c>
      <c r="C183" s="1">
        <v>45966</v>
      </c>
      <c r="D183">
        <v>17668</v>
      </c>
      <c r="E183">
        <v>43431</v>
      </c>
      <c r="F183" s="1">
        <v>42199</v>
      </c>
      <c r="G183" s="21" t="s">
        <v>19</v>
      </c>
      <c r="H183" s="21" t="s">
        <v>27</v>
      </c>
      <c r="I183" s="21" t="s">
        <v>23</v>
      </c>
      <c r="J183">
        <v>11</v>
      </c>
    </row>
    <row r="184" spans="1:10" x14ac:dyDescent="0.35">
      <c r="A184" s="21" t="s">
        <v>195</v>
      </c>
      <c r="B184">
        <v>23375</v>
      </c>
      <c r="C184" s="1">
        <v>45730</v>
      </c>
      <c r="D184">
        <v>14807</v>
      </c>
      <c r="E184">
        <v>36714</v>
      </c>
      <c r="F184" s="1">
        <v>40718</v>
      </c>
      <c r="G184" s="21" t="s">
        <v>19</v>
      </c>
      <c r="H184" s="21" t="s">
        <v>13</v>
      </c>
      <c r="I184" s="21" t="s">
        <v>20</v>
      </c>
      <c r="J184">
        <v>3</v>
      </c>
    </row>
    <row r="185" spans="1:10" x14ac:dyDescent="0.35">
      <c r="A185" s="21" t="s">
        <v>21</v>
      </c>
      <c r="B185">
        <v>1545</v>
      </c>
      <c r="C185" s="1">
        <v>45663</v>
      </c>
      <c r="D185">
        <v>13773</v>
      </c>
      <c r="E185">
        <v>35131</v>
      </c>
      <c r="F185" s="1">
        <v>40225</v>
      </c>
      <c r="G185" s="21" t="s">
        <v>0</v>
      </c>
      <c r="H185" s="21" t="s">
        <v>13</v>
      </c>
      <c r="I185" s="21" t="s">
        <v>20</v>
      </c>
      <c r="J185">
        <v>1</v>
      </c>
    </row>
    <row r="186" spans="1:10" x14ac:dyDescent="0.35">
      <c r="A186" s="21" t="s">
        <v>519</v>
      </c>
      <c r="B186">
        <v>1545</v>
      </c>
      <c r="C186" s="1">
        <v>45982</v>
      </c>
      <c r="D186">
        <v>17820</v>
      </c>
      <c r="E186">
        <v>43585</v>
      </c>
      <c r="F186" s="1">
        <v>40498</v>
      </c>
      <c r="G186" s="21" t="s">
        <v>19</v>
      </c>
      <c r="H186" s="21" t="s">
        <v>13</v>
      </c>
      <c r="I186" s="21" t="s">
        <v>20</v>
      </c>
      <c r="J186">
        <v>11</v>
      </c>
    </row>
    <row r="187" spans="1:10" x14ac:dyDescent="0.35">
      <c r="A187" s="21" t="s">
        <v>111</v>
      </c>
      <c r="B187">
        <v>2990</v>
      </c>
      <c r="C187" s="1">
        <v>45667</v>
      </c>
      <c r="D187">
        <v>13924</v>
      </c>
      <c r="E187">
        <v>35305</v>
      </c>
      <c r="F187" s="1">
        <v>45664</v>
      </c>
      <c r="G187" s="21" t="s">
        <v>19</v>
      </c>
      <c r="H187" s="21" t="s">
        <v>13</v>
      </c>
      <c r="I187" s="21" t="s">
        <v>14</v>
      </c>
      <c r="J187">
        <v>1</v>
      </c>
    </row>
    <row r="188" spans="1:10" x14ac:dyDescent="0.35">
      <c r="A188" s="21" t="s">
        <v>32</v>
      </c>
      <c r="B188">
        <v>30290</v>
      </c>
      <c r="C188" s="1">
        <v>45964</v>
      </c>
      <c r="D188">
        <v>17649</v>
      </c>
      <c r="E188">
        <v>43410</v>
      </c>
      <c r="F188" s="1">
        <v>35083</v>
      </c>
      <c r="G188" s="21" t="s">
        <v>1</v>
      </c>
      <c r="H188" s="21" t="s">
        <v>13</v>
      </c>
      <c r="I188" s="21" t="s">
        <v>23</v>
      </c>
      <c r="J188">
        <v>11</v>
      </c>
    </row>
    <row r="189" spans="1:10" x14ac:dyDescent="0.35">
      <c r="A189" s="21" t="s">
        <v>32</v>
      </c>
      <c r="B189">
        <v>30290</v>
      </c>
      <c r="C189" s="1">
        <v>45673</v>
      </c>
      <c r="D189">
        <v>14118</v>
      </c>
      <c r="E189">
        <v>35580</v>
      </c>
      <c r="F189" s="1">
        <v>35083</v>
      </c>
      <c r="G189" s="21" t="s">
        <v>1</v>
      </c>
      <c r="H189" s="21" t="s">
        <v>13</v>
      </c>
      <c r="I189" s="21" t="s">
        <v>23</v>
      </c>
      <c r="J189">
        <v>1</v>
      </c>
    </row>
    <row r="190" spans="1:10" x14ac:dyDescent="0.35">
      <c r="A190" s="21" t="s">
        <v>484</v>
      </c>
      <c r="B190">
        <v>1905</v>
      </c>
      <c r="C190" s="1">
        <v>45939</v>
      </c>
      <c r="D190">
        <v>17474</v>
      </c>
      <c r="E190">
        <v>43209</v>
      </c>
      <c r="F190" s="1">
        <v>40555</v>
      </c>
      <c r="G190" s="21" t="s">
        <v>12</v>
      </c>
      <c r="H190" s="21" t="s">
        <v>13</v>
      </c>
      <c r="I190" s="21" t="s">
        <v>14</v>
      </c>
      <c r="J190">
        <v>10</v>
      </c>
    </row>
    <row r="191" spans="1:10" x14ac:dyDescent="0.35">
      <c r="A191" s="21" t="s">
        <v>438</v>
      </c>
      <c r="B191">
        <v>2680</v>
      </c>
      <c r="C191" s="1">
        <v>45889</v>
      </c>
      <c r="D191">
        <v>16793</v>
      </c>
      <c r="E191">
        <v>42136</v>
      </c>
      <c r="F191" s="1">
        <v>39293</v>
      </c>
      <c r="G191" s="21" t="s">
        <v>1</v>
      </c>
      <c r="H191" s="21" t="s">
        <v>13</v>
      </c>
      <c r="I191" s="21" t="s">
        <v>20</v>
      </c>
      <c r="J191">
        <v>8</v>
      </c>
    </row>
    <row r="192" spans="1:10" x14ac:dyDescent="0.35">
      <c r="A192" s="21" t="s">
        <v>196</v>
      </c>
      <c r="B192">
        <v>21630</v>
      </c>
      <c r="C192" s="1">
        <v>45723</v>
      </c>
      <c r="D192">
        <v>14694</v>
      </c>
      <c r="E192">
        <v>36517</v>
      </c>
      <c r="F192" s="1">
        <v>42304</v>
      </c>
      <c r="G192" s="21" t="s">
        <v>19</v>
      </c>
      <c r="H192" s="21" t="s">
        <v>13</v>
      </c>
      <c r="I192" s="21" t="s">
        <v>23</v>
      </c>
      <c r="J192">
        <v>3</v>
      </c>
    </row>
    <row r="193" spans="1:10" x14ac:dyDescent="0.35">
      <c r="A193" s="21" t="s">
        <v>520</v>
      </c>
      <c r="B193">
        <v>1650</v>
      </c>
      <c r="C193" s="1">
        <v>45981</v>
      </c>
      <c r="D193">
        <v>17795</v>
      </c>
      <c r="E193">
        <v>43559</v>
      </c>
      <c r="F193" s="1">
        <v>43465</v>
      </c>
      <c r="G193" s="21" t="s">
        <v>1</v>
      </c>
      <c r="H193" s="21" t="s">
        <v>13</v>
      </c>
      <c r="I193" s="21" t="s">
        <v>20</v>
      </c>
      <c r="J193">
        <v>11</v>
      </c>
    </row>
    <row r="194" spans="1:10" x14ac:dyDescent="0.35">
      <c r="A194" s="21" t="s">
        <v>198</v>
      </c>
      <c r="B194">
        <v>2370</v>
      </c>
      <c r="C194" s="1">
        <v>45726</v>
      </c>
      <c r="D194">
        <v>14701</v>
      </c>
      <c r="E194">
        <v>36524</v>
      </c>
      <c r="F194" s="1">
        <v>38708</v>
      </c>
      <c r="G194" s="21" t="s">
        <v>19</v>
      </c>
      <c r="H194" s="21" t="s">
        <v>13</v>
      </c>
      <c r="I194" s="21" t="s">
        <v>20</v>
      </c>
      <c r="J194">
        <v>3</v>
      </c>
    </row>
    <row r="195" spans="1:10" x14ac:dyDescent="0.35">
      <c r="A195" s="21" t="s">
        <v>293</v>
      </c>
      <c r="B195">
        <v>2160</v>
      </c>
      <c r="C195" s="1">
        <v>45778</v>
      </c>
      <c r="D195">
        <v>15478</v>
      </c>
      <c r="E195">
        <v>38710</v>
      </c>
      <c r="F195" s="1">
        <v>36032</v>
      </c>
      <c r="G195" s="21" t="s">
        <v>1</v>
      </c>
      <c r="H195" s="21" t="s">
        <v>13</v>
      </c>
      <c r="I195" s="21" t="s">
        <v>14</v>
      </c>
      <c r="J195">
        <v>5</v>
      </c>
    </row>
    <row r="196" spans="1:10" x14ac:dyDescent="0.35">
      <c r="A196" s="21" t="s">
        <v>154</v>
      </c>
      <c r="B196">
        <v>1545</v>
      </c>
      <c r="C196" s="1">
        <v>45721</v>
      </c>
      <c r="D196">
        <v>14670</v>
      </c>
      <c r="E196">
        <v>36450</v>
      </c>
      <c r="F196" s="1">
        <v>43745</v>
      </c>
      <c r="G196" s="21" t="s">
        <v>19</v>
      </c>
      <c r="H196" s="21" t="s">
        <v>13</v>
      </c>
      <c r="I196" s="21" t="s">
        <v>20</v>
      </c>
      <c r="J196">
        <v>3</v>
      </c>
    </row>
    <row r="197" spans="1:10" x14ac:dyDescent="0.35">
      <c r="A197" s="21" t="s">
        <v>199</v>
      </c>
      <c r="B197">
        <v>2160</v>
      </c>
      <c r="C197" s="1">
        <v>45744</v>
      </c>
      <c r="D197">
        <v>15011</v>
      </c>
      <c r="E197">
        <v>37072</v>
      </c>
      <c r="F197" s="1">
        <v>45388</v>
      </c>
      <c r="G197" s="21" t="s">
        <v>1</v>
      </c>
      <c r="H197" s="21" t="s">
        <v>13</v>
      </c>
      <c r="I197" s="21" t="s">
        <v>14</v>
      </c>
      <c r="J197">
        <v>3</v>
      </c>
    </row>
    <row r="198" spans="1:10" x14ac:dyDescent="0.35">
      <c r="A198" s="21" t="s">
        <v>398</v>
      </c>
      <c r="B198">
        <v>1545</v>
      </c>
      <c r="C198" s="1">
        <v>45860</v>
      </c>
      <c r="D198">
        <v>16339</v>
      </c>
      <c r="E198">
        <v>40319</v>
      </c>
      <c r="F198" s="1">
        <v>45168</v>
      </c>
      <c r="G198" s="21" t="s">
        <v>19</v>
      </c>
      <c r="H198" s="21" t="s">
        <v>13</v>
      </c>
      <c r="I198" s="21" t="s">
        <v>20</v>
      </c>
      <c r="J198">
        <v>7</v>
      </c>
    </row>
    <row r="199" spans="1:10" x14ac:dyDescent="0.35">
      <c r="A199" s="21" t="s">
        <v>294</v>
      </c>
      <c r="B199">
        <v>16175</v>
      </c>
      <c r="C199" s="1">
        <v>45751</v>
      </c>
      <c r="D199">
        <v>15149</v>
      </c>
      <c r="E199">
        <v>37585</v>
      </c>
      <c r="F199" s="1">
        <v>35881</v>
      </c>
      <c r="G199" s="21" t="s">
        <v>19</v>
      </c>
      <c r="H199" s="21" t="s">
        <v>13</v>
      </c>
      <c r="I199" s="21" t="s">
        <v>20</v>
      </c>
      <c r="J199">
        <v>4</v>
      </c>
    </row>
    <row r="200" spans="1:10" x14ac:dyDescent="0.35">
      <c r="A200" s="21" t="s">
        <v>112</v>
      </c>
      <c r="B200">
        <v>23375</v>
      </c>
      <c r="C200" s="1">
        <v>45667</v>
      </c>
      <c r="D200">
        <v>14004</v>
      </c>
      <c r="E200">
        <v>35416</v>
      </c>
      <c r="F200" s="1">
        <v>41302</v>
      </c>
      <c r="G200" s="21" t="s">
        <v>19</v>
      </c>
      <c r="H200" s="21" t="s">
        <v>51</v>
      </c>
      <c r="I200" s="21" t="s">
        <v>20</v>
      </c>
      <c r="J200">
        <v>1</v>
      </c>
    </row>
    <row r="201" spans="1:10" x14ac:dyDescent="0.35">
      <c r="A201" s="21" t="s">
        <v>521</v>
      </c>
      <c r="B201">
        <v>1545</v>
      </c>
      <c r="C201" s="1">
        <v>45971</v>
      </c>
      <c r="D201">
        <v>17693</v>
      </c>
      <c r="E201">
        <v>43454</v>
      </c>
      <c r="F201" s="1">
        <v>38321</v>
      </c>
      <c r="G201" s="21" t="s">
        <v>19</v>
      </c>
      <c r="H201" s="21" t="s">
        <v>13</v>
      </c>
      <c r="I201" s="21" t="s">
        <v>20</v>
      </c>
      <c r="J201">
        <v>11</v>
      </c>
    </row>
    <row r="202" spans="1:10" x14ac:dyDescent="0.35">
      <c r="A202" s="21" t="s">
        <v>29</v>
      </c>
      <c r="B202">
        <v>1545</v>
      </c>
      <c r="C202" s="1">
        <v>45677</v>
      </c>
      <c r="D202">
        <v>14144</v>
      </c>
      <c r="E202">
        <v>35616</v>
      </c>
      <c r="F202" s="1">
        <v>41317</v>
      </c>
      <c r="G202" s="21" t="s">
        <v>12</v>
      </c>
      <c r="H202" s="21" t="s">
        <v>13</v>
      </c>
      <c r="I202" s="21" t="s">
        <v>20</v>
      </c>
      <c r="J202">
        <v>1</v>
      </c>
    </row>
    <row r="203" spans="1:10" x14ac:dyDescent="0.35">
      <c r="A203" s="21" t="s">
        <v>354</v>
      </c>
      <c r="B203">
        <v>1905</v>
      </c>
      <c r="C203" s="1">
        <v>45812</v>
      </c>
      <c r="D203">
        <v>15800</v>
      </c>
      <c r="E203">
        <v>39370</v>
      </c>
      <c r="F203" s="1">
        <v>43257</v>
      </c>
      <c r="G203" s="21" t="s">
        <v>12</v>
      </c>
      <c r="H203" s="21" t="s">
        <v>13</v>
      </c>
      <c r="I203" s="21" t="s">
        <v>14</v>
      </c>
      <c r="J203">
        <v>6</v>
      </c>
    </row>
    <row r="204" spans="1:10" x14ac:dyDescent="0.35">
      <c r="A204" s="21" t="s">
        <v>201</v>
      </c>
      <c r="B204">
        <v>2370</v>
      </c>
      <c r="C204" s="1">
        <v>45734</v>
      </c>
      <c r="D204">
        <v>14860</v>
      </c>
      <c r="E204">
        <v>36779</v>
      </c>
      <c r="F204" s="1">
        <v>45150</v>
      </c>
      <c r="G204" s="21" t="s">
        <v>19</v>
      </c>
      <c r="H204" s="21" t="s">
        <v>13</v>
      </c>
      <c r="I204" s="21" t="s">
        <v>20</v>
      </c>
      <c r="J204">
        <v>3</v>
      </c>
    </row>
    <row r="205" spans="1:10" x14ac:dyDescent="0.35">
      <c r="A205" s="21" t="s">
        <v>34</v>
      </c>
      <c r="B205">
        <v>1545</v>
      </c>
      <c r="C205" s="1">
        <v>45687</v>
      </c>
      <c r="D205">
        <v>14312</v>
      </c>
      <c r="E205">
        <v>35848</v>
      </c>
      <c r="F205" s="1">
        <v>45336</v>
      </c>
      <c r="G205" s="21" t="s">
        <v>19</v>
      </c>
      <c r="H205" s="21" t="s">
        <v>27</v>
      </c>
      <c r="I205" s="21" t="s">
        <v>20</v>
      </c>
      <c r="J205">
        <v>1</v>
      </c>
    </row>
    <row r="206" spans="1:10" x14ac:dyDescent="0.35">
      <c r="A206" s="21" t="s">
        <v>461</v>
      </c>
      <c r="B206">
        <v>1905</v>
      </c>
      <c r="C206" s="1">
        <v>45910</v>
      </c>
      <c r="D206">
        <v>17154</v>
      </c>
      <c r="E206">
        <v>42830</v>
      </c>
      <c r="F206" s="1">
        <v>43369</v>
      </c>
      <c r="G206" s="21" t="s">
        <v>0</v>
      </c>
      <c r="H206" s="21" t="s">
        <v>13</v>
      </c>
      <c r="I206" s="21" t="s">
        <v>14</v>
      </c>
      <c r="J206">
        <v>9</v>
      </c>
    </row>
    <row r="207" spans="1:10" x14ac:dyDescent="0.35">
      <c r="A207" s="21" t="s">
        <v>399</v>
      </c>
      <c r="B207">
        <v>2370</v>
      </c>
      <c r="C207" s="1">
        <v>45868</v>
      </c>
      <c r="D207">
        <v>16434</v>
      </c>
      <c r="E207">
        <v>40553</v>
      </c>
      <c r="F207" s="1">
        <v>45497</v>
      </c>
      <c r="G207" s="21" t="s">
        <v>19</v>
      </c>
      <c r="H207" s="21" t="s">
        <v>13</v>
      </c>
      <c r="I207" s="21" t="s">
        <v>20</v>
      </c>
      <c r="J207">
        <v>7</v>
      </c>
    </row>
    <row r="208" spans="1:10" x14ac:dyDescent="0.35">
      <c r="A208" s="21" t="s">
        <v>295</v>
      </c>
      <c r="B208">
        <v>9685</v>
      </c>
      <c r="C208" s="1">
        <v>45798</v>
      </c>
      <c r="D208">
        <v>15708</v>
      </c>
      <c r="E208">
        <v>39237</v>
      </c>
      <c r="F208" s="1">
        <v>45019</v>
      </c>
      <c r="G208" s="21" t="s">
        <v>19</v>
      </c>
      <c r="H208" s="21" t="s">
        <v>13</v>
      </c>
      <c r="I208" s="21" t="s">
        <v>20</v>
      </c>
      <c r="J208">
        <v>5</v>
      </c>
    </row>
    <row r="209" spans="1:10" x14ac:dyDescent="0.35">
      <c r="A209" s="21" t="s">
        <v>486</v>
      </c>
      <c r="B209">
        <v>2990</v>
      </c>
      <c r="C209" s="1">
        <v>45946</v>
      </c>
      <c r="D209">
        <v>17520</v>
      </c>
      <c r="E209">
        <v>43257</v>
      </c>
      <c r="F209" s="1">
        <v>44957</v>
      </c>
      <c r="G209" s="21" t="s">
        <v>19</v>
      </c>
      <c r="H209" s="21" t="s">
        <v>13</v>
      </c>
      <c r="I209" s="21" t="s">
        <v>14</v>
      </c>
      <c r="J209">
        <v>10</v>
      </c>
    </row>
    <row r="210" spans="1:10" x14ac:dyDescent="0.35">
      <c r="A210" s="21" t="s">
        <v>296</v>
      </c>
      <c r="B210">
        <v>2370</v>
      </c>
      <c r="C210" s="1">
        <v>45768</v>
      </c>
      <c r="D210">
        <v>15364</v>
      </c>
      <c r="E210">
        <v>38405</v>
      </c>
      <c r="F210" s="1">
        <v>44677</v>
      </c>
      <c r="G210" s="21" t="s">
        <v>19</v>
      </c>
      <c r="H210" s="21" t="s">
        <v>13</v>
      </c>
      <c r="I210" s="21" t="s">
        <v>20</v>
      </c>
      <c r="J210">
        <v>4</v>
      </c>
    </row>
    <row r="211" spans="1:10" x14ac:dyDescent="0.35">
      <c r="A211" s="21" t="s">
        <v>487</v>
      </c>
      <c r="B211">
        <v>38100</v>
      </c>
      <c r="C211" s="1">
        <v>45939</v>
      </c>
      <c r="D211">
        <v>17472</v>
      </c>
      <c r="E211">
        <v>43207</v>
      </c>
      <c r="F211" s="1">
        <v>45939</v>
      </c>
      <c r="G211" s="21" t="s">
        <v>19</v>
      </c>
      <c r="H211" s="21" t="s">
        <v>13</v>
      </c>
      <c r="I211" s="21" t="s">
        <v>23</v>
      </c>
      <c r="J211">
        <v>10</v>
      </c>
    </row>
    <row r="212" spans="1:10" x14ac:dyDescent="0.35">
      <c r="A212" s="21" t="s">
        <v>297</v>
      </c>
      <c r="B212">
        <v>14420</v>
      </c>
      <c r="C212" s="1">
        <v>45793</v>
      </c>
      <c r="D212">
        <v>15652</v>
      </c>
      <c r="E212">
        <v>39172</v>
      </c>
      <c r="F212" s="1">
        <v>37174</v>
      </c>
      <c r="G212" s="21" t="s">
        <v>1</v>
      </c>
      <c r="H212" s="21" t="s">
        <v>13</v>
      </c>
      <c r="I212" s="21" t="s">
        <v>20</v>
      </c>
      <c r="J212">
        <v>5</v>
      </c>
    </row>
    <row r="213" spans="1:10" x14ac:dyDescent="0.35">
      <c r="A213" s="21" t="s">
        <v>400</v>
      </c>
      <c r="B213">
        <v>1650</v>
      </c>
      <c r="C213" s="1">
        <v>45845</v>
      </c>
      <c r="D213">
        <v>16184</v>
      </c>
      <c r="E213">
        <v>39955</v>
      </c>
      <c r="F213" s="1">
        <v>44413</v>
      </c>
      <c r="G213" s="21" t="s">
        <v>1</v>
      </c>
      <c r="H213" s="21" t="s">
        <v>13</v>
      </c>
      <c r="I213" s="21" t="s">
        <v>20</v>
      </c>
      <c r="J213">
        <v>7</v>
      </c>
    </row>
    <row r="214" spans="1:10" x14ac:dyDescent="0.35">
      <c r="A214" s="21" t="s">
        <v>203</v>
      </c>
      <c r="B214">
        <v>1545</v>
      </c>
      <c r="C214" s="1">
        <v>45733</v>
      </c>
      <c r="D214">
        <v>14823</v>
      </c>
      <c r="E214">
        <v>36736</v>
      </c>
      <c r="F214" s="1">
        <v>44538</v>
      </c>
      <c r="G214" s="21" t="s">
        <v>19</v>
      </c>
      <c r="H214" s="21" t="s">
        <v>13</v>
      </c>
      <c r="I214" s="21" t="s">
        <v>20</v>
      </c>
      <c r="J214">
        <v>3</v>
      </c>
    </row>
    <row r="215" spans="1:10" x14ac:dyDescent="0.35">
      <c r="A215" s="21" t="s">
        <v>298</v>
      </c>
      <c r="B215">
        <v>1545</v>
      </c>
      <c r="C215" s="1">
        <v>45791</v>
      </c>
      <c r="D215">
        <v>15635</v>
      </c>
      <c r="E215">
        <v>39152</v>
      </c>
      <c r="F215" s="1">
        <v>45791</v>
      </c>
      <c r="G215" s="21" t="s">
        <v>0</v>
      </c>
      <c r="H215" s="21" t="s">
        <v>13</v>
      </c>
      <c r="I215" s="21" t="s">
        <v>20</v>
      </c>
      <c r="J215">
        <v>5</v>
      </c>
    </row>
    <row r="216" spans="1:10" x14ac:dyDescent="0.35">
      <c r="A216" s="21" t="s">
        <v>205</v>
      </c>
      <c r="B216">
        <v>23375</v>
      </c>
      <c r="C216" s="1">
        <v>45737</v>
      </c>
      <c r="D216">
        <v>14909</v>
      </c>
      <c r="E216">
        <v>36880</v>
      </c>
      <c r="F216" s="1">
        <v>37602</v>
      </c>
      <c r="G216" s="21" t="s">
        <v>19</v>
      </c>
      <c r="H216" s="21" t="s">
        <v>13</v>
      </c>
      <c r="I216" s="21" t="s">
        <v>20</v>
      </c>
      <c r="J216">
        <v>3</v>
      </c>
    </row>
    <row r="217" spans="1:10" x14ac:dyDescent="0.35">
      <c r="A217" s="21" t="s">
        <v>488</v>
      </c>
      <c r="B217">
        <v>1545</v>
      </c>
      <c r="C217" s="1">
        <v>45944</v>
      </c>
      <c r="D217">
        <v>17505</v>
      </c>
      <c r="E217">
        <v>43241</v>
      </c>
      <c r="F217" s="1">
        <v>40128</v>
      </c>
      <c r="G217" s="21" t="s">
        <v>12</v>
      </c>
      <c r="H217" s="21" t="s">
        <v>489</v>
      </c>
      <c r="I217" s="21" t="s">
        <v>20</v>
      </c>
      <c r="J217">
        <v>10</v>
      </c>
    </row>
    <row r="218" spans="1:10" x14ac:dyDescent="0.35">
      <c r="A218" s="21" t="s">
        <v>26</v>
      </c>
      <c r="B218">
        <v>18950</v>
      </c>
      <c r="C218" s="1">
        <v>45674</v>
      </c>
      <c r="D218">
        <v>14140</v>
      </c>
      <c r="E218">
        <v>35607</v>
      </c>
      <c r="F218" s="1">
        <v>38698</v>
      </c>
      <c r="G218" s="21" t="s">
        <v>0</v>
      </c>
      <c r="H218" s="21" t="s">
        <v>13</v>
      </c>
      <c r="I218" s="21" t="s">
        <v>20</v>
      </c>
      <c r="J218">
        <v>1</v>
      </c>
    </row>
    <row r="219" spans="1:10" x14ac:dyDescent="0.35">
      <c r="A219" s="21" t="s">
        <v>37</v>
      </c>
      <c r="B219">
        <v>2680</v>
      </c>
      <c r="C219" s="1">
        <v>45674</v>
      </c>
      <c r="D219">
        <v>14123</v>
      </c>
      <c r="E219">
        <v>35590</v>
      </c>
      <c r="F219" s="1">
        <v>36985</v>
      </c>
      <c r="G219" s="21" t="s">
        <v>12</v>
      </c>
      <c r="H219" s="21" t="s">
        <v>13</v>
      </c>
      <c r="I219" s="21" t="s">
        <v>20</v>
      </c>
      <c r="J219">
        <v>1</v>
      </c>
    </row>
    <row r="220" spans="1:10" x14ac:dyDescent="0.35">
      <c r="A220" s="21" t="s">
        <v>440</v>
      </c>
      <c r="B220">
        <v>1545</v>
      </c>
      <c r="C220" s="1">
        <v>45888</v>
      </c>
      <c r="D220">
        <v>16720</v>
      </c>
      <c r="E220">
        <v>41970</v>
      </c>
      <c r="F220" s="1">
        <v>45501</v>
      </c>
      <c r="G220" s="21" t="s">
        <v>0</v>
      </c>
      <c r="H220" s="21" t="s">
        <v>17</v>
      </c>
      <c r="I220" s="21" t="s">
        <v>20</v>
      </c>
      <c r="J220">
        <v>8</v>
      </c>
    </row>
    <row r="221" spans="1:10" x14ac:dyDescent="0.35">
      <c r="A221" s="21" t="s">
        <v>114</v>
      </c>
      <c r="B221">
        <v>1545</v>
      </c>
      <c r="C221" s="1">
        <v>45679</v>
      </c>
      <c r="D221">
        <v>14170</v>
      </c>
      <c r="E221">
        <v>35654</v>
      </c>
      <c r="F221" s="1">
        <v>45679</v>
      </c>
      <c r="G221" s="21" t="s">
        <v>19</v>
      </c>
      <c r="H221" s="21" t="s">
        <v>13</v>
      </c>
      <c r="I221" s="21" t="s">
        <v>20</v>
      </c>
      <c r="J221">
        <v>1</v>
      </c>
    </row>
    <row r="222" spans="1:10" x14ac:dyDescent="0.35">
      <c r="A222" s="21" t="s">
        <v>206</v>
      </c>
      <c r="B222">
        <v>2680</v>
      </c>
      <c r="C222" s="1">
        <v>45733</v>
      </c>
      <c r="D222">
        <v>14811</v>
      </c>
      <c r="E222">
        <v>36724</v>
      </c>
      <c r="F222" s="1">
        <v>40162</v>
      </c>
      <c r="G222" s="21" t="s">
        <v>12</v>
      </c>
      <c r="H222" s="21" t="s">
        <v>13</v>
      </c>
      <c r="I222" s="21" t="s">
        <v>20</v>
      </c>
      <c r="J222">
        <v>3</v>
      </c>
    </row>
    <row r="223" spans="1:10" x14ac:dyDescent="0.35">
      <c r="A223" s="21" t="s">
        <v>299</v>
      </c>
      <c r="B223">
        <v>9685</v>
      </c>
      <c r="C223" s="1">
        <v>45750</v>
      </c>
      <c r="D223">
        <v>15105</v>
      </c>
      <c r="E223">
        <v>37339</v>
      </c>
      <c r="F223" s="1">
        <v>39301</v>
      </c>
      <c r="G223" s="21" t="s">
        <v>19</v>
      </c>
      <c r="H223" s="21" t="s">
        <v>13</v>
      </c>
      <c r="I223" s="21" t="s">
        <v>20</v>
      </c>
      <c r="J223">
        <v>4</v>
      </c>
    </row>
    <row r="224" spans="1:10" x14ac:dyDescent="0.35">
      <c r="A224" s="21" t="s">
        <v>490</v>
      </c>
      <c r="B224">
        <v>1545</v>
      </c>
      <c r="C224" s="1">
        <v>45951</v>
      </c>
      <c r="D224">
        <v>17580</v>
      </c>
      <c r="E224">
        <v>43322</v>
      </c>
      <c r="F224" s="1">
        <v>40471</v>
      </c>
      <c r="G224" s="21" t="s">
        <v>12</v>
      </c>
      <c r="H224" s="21" t="s">
        <v>13</v>
      </c>
      <c r="I224" s="21" t="s">
        <v>20</v>
      </c>
      <c r="J224">
        <v>10</v>
      </c>
    </row>
    <row r="225" spans="1:10" x14ac:dyDescent="0.35">
      <c r="A225" s="21" t="s">
        <v>38</v>
      </c>
      <c r="B225">
        <v>2370</v>
      </c>
      <c r="C225" s="1">
        <v>45681</v>
      </c>
      <c r="D225">
        <v>14214</v>
      </c>
      <c r="E225">
        <v>35724</v>
      </c>
      <c r="F225" s="1">
        <v>40345</v>
      </c>
      <c r="G225" s="21" t="s">
        <v>0</v>
      </c>
      <c r="H225" s="21" t="s">
        <v>13</v>
      </c>
      <c r="I225" s="21" t="s">
        <v>20</v>
      </c>
      <c r="J225">
        <v>1</v>
      </c>
    </row>
    <row r="226" spans="1:10" x14ac:dyDescent="0.35">
      <c r="A226" s="21" t="s">
        <v>402</v>
      </c>
      <c r="B226">
        <v>1905</v>
      </c>
      <c r="C226" s="1">
        <v>45855</v>
      </c>
      <c r="D226">
        <v>16284</v>
      </c>
      <c r="E226">
        <v>40198</v>
      </c>
      <c r="F226" s="1">
        <v>42172</v>
      </c>
      <c r="G226" s="21" t="s">
        <v>12</v>
      </c>
      <c r="H226" s="21" t="s">
        <v>13</v>
      </c>
      <c r="I226" s="21" t="s">
        <v>14</v>
      </c>
      <c r="J226">
        <v>7</v>
      </c>
    </row>
    <row r="227" spans="1:10" x14ac:dyDescent="0.35">
      <c r="A227" s="21" t="s">
        <v>300</v>
      </c>
      <c r="B227">
        <v>12050</v>
      </c>
      <c r="C227" s="1">
        <v>45755</v>
      </c>
      <c r="D227">
        <v>15180</v>
      </c>
      <c r="E227">
        <v>37708</v>
      </c>
      <c r="F227" s="1">
        <v>40134</v>
      </c>
      <c r="G227" s="21" t="s">
        <v>19</v>
      </c>
      <c r="H227" s="21" t="s">
        <v>13</v>
      </c>
      <c r="I227" s="21" t="s">
        <v>14</v>
      </c>
      <c r="J227">
        <v>4</v>
      </c>
    </row>
    <row r="228" spans="1:10" x14ac:dyDescent="0.35">
      <c r="A228" s="21" t="s">
        <v>491</v>
      </c>
      <c r="B228">
        <v>1545</v>
      </c>
      <c r="C228" s="1">
        <v>45947</v>
      </c>
      <c r="D228">
        <v>17532</v>
      </c>
      <c r="E228">
        <v>43269</v>
      </c>
      <c r="F228" s="1">
        <v>45642</v>
      </c>
      <c r="G228" s="21" t="s">
        <v>19</v>
      </c>
      <c r="H228" s="21" t="s">
        <v>27</v>
      </c>
      <c r="I228" s="21" t="s">
        <v>20</v>
      </c>
      <c r="J228">
        <v>10</v>
      </c>
    </row>
    <row r="229" spans="1:10" x14ac:dyDescent="0.35">
      <c r="A229" s="21" t="s">
        <v>463</v>
      </c>
      <c r="B229">
        <v>2370</v>
      </c>
      <c r="C229" s="1">
        <v>45933</v>
      </c>
      <c r="D229">
        <v>17424</v>
      </c>
      <c r="E229">
        <v>43159</v>
      </c>
      <c r="F229" s="1">
        <v>45216</v>
      </c>
      <c r="G229" s="21" t="s">
        <v>19</v>
      </c>
      <c r="H229" s="21" t="s">
        <v>27</v>
      </c>
      <c r="I229" s="21" t="s">
        <v>20</v>
      </c>
      <c r="J229">
        <v>10</v>
      </c>
    </row>
    <row r="230" spans="1:10" x14ac:dyDescent="0.35">
      <c r="A230" s="21" t="s">
        <v>463</v>
      </c>
      <c r="B230">
        <v>2370</v>
      </c>
      <c r="C230" s="1">
        <v>45924</v>
      </c>
      <c r="D230">
        <v>17328</v>
      </c>
      <c r="E230">
        <v>43054</v>
      </c>
      <c r="F230" s="1">
        <v>45216</v>
      </c>
      <c r="G230" s="21" t="s">
        <v>19</v>
      </c>
      <c r="H230" s="21" t="s">
        <v>27</v>
      </c>
      <c r="I230" s="21" t="s">
        <v>20</v>
      </c>
      <c r="J230">
        <v>9</v>
      </c>
    </row>
    <row r="231" spans="1:10" x14ac:dyDescent="0.35">
      <c r="A231" s="21" t="s">
        <v>463</v>
      </c>
      <c r="B231">
        <v>620</v>
      </c>
      <c r="C231" s="1">
        <v>45933</v>
      </c>
      <c r="D231">
        <v>17427</v>
      </c>
      <c r="E231">
        <v>43162</v>
      </c>
      <c r="F231" s="1">
        <v>45216</v>
      </c>
      <c r="G231" s="21" t="s">
        <v>19</v>
      </c>
      <c r="H231" s="21" t="s">
        <v>27</v>
      </c>
      <c r="I231" s="21" t="s">
        <v>14</v>
      </c>
      <c r="J231">
        <v>10</v>
      </c>
    </row>
    <row r="232" spans="1:10" x14ac:dyDescent="0.35">
      <c r="A232" s="21" t="s">
        <v>355</v>
      </c>
      <c r="B232">
        <v>36050</v>
      </c>
      <c r="C232" s="1">
        <v>45828</v>
      </c>
      <c r="D232">
        <v>15959</v>
      </c>
      <c r="E232">
        <v>39634</v>
      </c>
      <c r="F232" s="1">
        <v>35249</v>
      </c>
      <c r="G232" s="21" t="s">
        <v>12</v>
      </c>
      <c r="H232" s="21" t="s">
        <v>13</v>
      </c>
      <c r="I232" s="21" t="s">
        <v>23</v>
      </c>
      <c r="J232">
        <v>6</v>
      </c>
    </row>
    <row r="233" spans="1:10" x14ac:dyDescent="0.35">
      <c r="A233" s="21" t="s">
        <v>356</v>
      </c>
      <c r="B233">
        <v>1905</v>
      </c>
      <c r="C233" s="1">
        <v>45835</v>
      </c>
      <c r="D233">
        <v>16014</v>
      </c>
      <c r="E233">
        <v>39725</v>
      </c>
      <c r="F233" s="1">
        <v>41415</v>
      </c>
      <c r="G233" s="21" t="s">
        <v>12</v>
      </c>
      <c r="H233" s="21" t="s">
        <v>13</v>
      </c>
      <c r="I233" s="21" t="s">
        <v>14</v>
      </c>
      <c r="J233">
        <v>6</v>
      </c>
    </row>
    <row r="234" spans="1:10" x14ac:dyDescent="0.35">
      <c r="A234" s="21" t="s">
        <v>492</v>
      </c>
      <c r="B234">
        <v>2680</v>
      </c>
      <c r="C234" s="1">
        <v>45931</v>
      </c>
      <c r="D234">
        <v>17405</v>
      </c>
      <c r="E234">
        <v>43140</v>
      </c>
      <c r="F234" s="1">
        <v>33958</v>
      </c>
      <c r="G234" s="21" t="s">
        <v>1</v>
      </c>
      <c r="H234" s="21" t="s">
        <v>13</v>
      </c>
      <c r="I234" s="21" t="s">
        <v>20</v>
      </c>
      <c r="J234">
        <v>10</v>
      </c>
    </row>
    <row r="235" spans="1:10" x14ac:dyDescent="0.35">
      <c r="A235" s="21" t="s">
        <v>301</v>
      </c>
      <c r="B235">
        <v>1905</v>
      </c>
      <c r="C235" s="1">
        <v>45805</v>
      </c>
      <c r="D235">
        <v>15749</v>
      </c>
      <c r="E235">
        <v>39289</v>
      </c>
      <c r="F235" s="1">
        <v>40630</v>
      </c>
      <c r="G235" s="21" t="s">
        <v>12</v>
      </c>
      <c r="H235" s="21" t="s">
        <v>13</v>
      </c>
      <c r="I235" s="21" t="s">
        <v>14</v>
      </c>
      <c r="J235">
        <v>5</v>
      </c>
    </row>
    <row r="236" spans="1:10" x14ac:dyDescent="0.35">
      <c r="A236" s="21" t="s">
        <v>207</v>
      </c>
      <c r="B236">
        <v>1905</v>
      </c>
      <c r="C236" s="1">
        <v>45725</v>
      </c>
      <c r="D236">
        <v>14697</v>
      </c>
      <c r="E236">
        <v>36520</v>
      </c>
      <c r="F236" s="1">
        <v>44718</v>
      </c>
      <c r="G236" s="21" t="s">
        <v>12</v>
      </c>
      <c r="H236" s="21" t="s">
        <v>13</v>
      </c>
      <c r="I236" s="21" t="s">
        <v>14</v>
      </c>
      <c r="J236">
        <v>3</v>
      </c>
    </row>
    <row r="237" spans="1:10" x14ac:dyDescent="0.35">
      <c r="A237" s="21" t="s">
        <v>493</v>
      </c>
      <c r="B237">
        <v>1905</v>
      </c>
      <c r="C237" s="1">
        <v>45903</v>
      </c>
      <c r="D237">
        <v>17027</v>
      </c>
      <c r="E237">
        <v>43328</v>
      </c>
      <c r="F237" s="1">
        <v>35929</v>
      </c>
      <c r="G237" s="21" t="s">
        <v>12</v>
      </c>
      <c r="H237" s="21" t="s">
        <v>13</v>
      </c>
      <c r="I237" s="21" t="s">
        <v>14</v>
      </c>
      <c r="J237">
        <v>9</v>
      </c>
    </row>
    <row r="238" spans="1:10" x14ac:dyDescent="0.35">
      <c r="A238" s="21" t="s">
        <v>494</v>
      </c>
      <c r="B238">
        <v>1905</v>
      </c>
      <c r="C238" s="1">
        <v>45937</v>
      </c>
      <c r="D238">
        <v>17451</v>
      </c>
      <c r="E238">
        <v>43186</v>
      </c>
      <c r="F238" s="1">
        <v>42338</v>
      </c>
      <c r="G238" s="21" t="s">
        <v>12</v>
      </c>
      <c r="H238" s="21" t="s">
        <v>13</v>
      </c>
      <c r="I238" s="21" t="s">
        <v>14</v>
      </c>
      <c r="J238">
        <v>10</v>
      </c>
    </row>
    <row r="239" spans="1:10" x14ac:dyDescent="0.35">
      <c r="A239" s="21" t="s">
        <v>33</v>
      </c>
      <c r="B239">
        <v>1905</v>
      </c>
      <c r="C239" s="1">
        <v>45660</v>
      </c>
      <c r="D239">
        <v>13747</v>
      </c>
      <c r="E239">
        <v>35098</v>
      </c>
      <c r="F239" s="1">
        <v>44095</v>
      </c>
      <c r="G239" s="21" t="s">
        <v>12</v>
      </c>
      <c r="H239" s="21" t="s">
        <v>13</v>
      </c>
      <c r="I239" s="21" t="s">
        <v>14</v>
      </c>
      <c r="J239">
        <v>1</v>
      </c>
    </row>
    <row r="240" spans="1:10" x14ac:dyDescent="0.35">
      <c r="A240" s="21" t="s">
        <v>524</v>
      </c>
      <c r="B240">
        <v>1545</v>
      </c>
      <c r="C240" s="1">
        <v>45982</v>
      </c>
      <c r="D240">
        <v>17808</v>
      </c>
      <c r="E240">
        <v>43574</v>
      </c>
      <c r="F240" s="1">
        <v>40756</v>
      </c>
      <c r="G240" s="21" t="s">
        <v>12</v>
      </c>
      <c r="H240" s="21" t="s">
        <v>13</v>
      </c>
      <c r="I240" s="21" t="s">
        <v>20</v>
      </c>
      <c r="J240">
        <v>11</v>
      </c>
    </row>
    <row r="241" spans="1:10" x14ac:dyDescent="0.35">
      <c r="A241" s="21" t="s">
        <v>57</v>
      </c>
      <c r="B241">
        <v>1905</v>
      </c>
      <c r="C241" s="1">
        <v>45825</v>
      </c>
      <c r="D241">
        <v>15924</v>
      </c>
      <c r="E241">
        <v>39561</v>
      </c>
      <c r="F241" s="1">
        <v>40767</v>
      </c>
      <c r="G241" s="21" t="s">
        <v>12</v>
      </c>
      <c r="H241" s="21" t="s">
        <v>13</v>
      </c>
      <c r="I241" s="21" t="s">
        <v>14</v>
      </c>
      <c r="J241">
        <v>6</v>
      </c>
    </row>
    <row r="242" spans="1:10" x14ac:dyDescent="0.35">
      <c r="A242" s="21" t="s">
        <v>57</v>
      </c>
      <c r="B242">
        <v>360</v>
      </c>
      <c r="C242" s="1">
        <v>45659</v>
      </c>
      <c r="D242">
        <v>13732</v>
      </c>
      <c r="E242">
        <v>35083</v>
      </c>
      <c r="F242" s="1">
        <v>40767</v>
      </c>
      <c r="G242" s="21" t="s">
        <v>12</v>
      </c>
      <c r="H242" s="21" t="s">
        <v>13</v>
      </c>
      <c r="I242" s="21" t="s">
        <v>14</v>
      </c>
      <c r="J242">
        <v>1</v>
      </c>
    </row>
    <row r="243" spans="1:10" x14ac:dyDescent="0.35">
      <c r="A243" s="21" t="s">
        <v>403</v>
      </c>
      <c r="B243">
        <v>1545</v>
      </c>
      <c r="C243" s="1">
        <v>45866</v>
      </c>
      <c r="D243">
        <v>16415</v>
      </c>
      <c r="E243">
        <v>40518</v>
      </c>
      <c r="F243" s="1">
        <v>44796</v>
      </c>
      <c r="G243" s="21" t="s">
        <v>12</v>
      </c>
      <c r="H243" s="21" t="s">
        <v>13</v>
      </c>
      <c r="I243" s="21" t="s">
        <v>20</v>
      </c>
      <c r="J243">
        <v>7</v>
      </c>
    </row>
    <row r="244" spans="1:10" x14ac:dyDescent="0.35">
      <c r="A244" s="21" t="s">
        <v>209</v>
      </c>
      <c r="B244">
        <v>1650</v>
      </c>
      <c r="C244" s="1">
        <v>45733</v>
      </c>
      <c r="D244">
        <v>14812</v>
      </c>
      <c r="E244">
        <v>36725</v>
      </c>
      <c r="F244" s="1">
        <v>37351</v>
      </c>
      <c r="G244" s="21" t="s">
        <v>1</v>
      </c>
      <c r="H244" s="21" t="s">
        <v>13</v>
      </c>
      <c r="I244" s="21" t="s">
        <v>20</v>
      </c>
      <c r="J244">
        <v>3</v>
      </c>
    </row>
    <row r="245" spans="1:10" x14ac:dyDescent="0.35">
      <c r="A245" s="21" t="s">
        <v>302</v>
      </c>
      <c r="B245">
        <v>7210</v>
      </c>
      <c r="C245" s="1">
        <v>45777</v>
      </c>
      <c r="D245">
        <v>15474</v>
      </c>
      <c r="E245">
        <v>38700</v>
      </c>
      <c r="F245" s="1">
        <v>38867</v>
      </c>
      <c r="G245" s="21" t="s">
        <v>1</v>
      </c>
      <c r="H245" s="21" t="s">
        <v>13</v>
      </c>
      <c r="I245" s="21" t="s">
        <v>20</v>
      </c>
      <c r="J245">
        <v>4</v>
      </c>
    </row>
    <row r="246" spans="1:10" x14ac:dyDescent="0.35">
      <c r="A246" s="21" t="s">
        <v>441</v>
      </c>
      <c r="B246">
        <v>1905</v>
      </c>
      <c r="C246" s="1">
        <v>45870</v>
      </c>
      <c r="D246">
        <v>16466</v>
      </c>
      <c r="E246">
        <v>40644</v>
      </c>
      <c r="F246" s="1">
        <v>44049</v>
      </c>
      <c r="G246" s="21" t="s">
        <v>0</v>
      </c>
      <c r="H246" s="21" t="s">
        <v>382</v>
      </c>
      <c r="I246" s="21" t="s">
        <v>14</v>
      </c>
      <c r="J246">
        <v>8</v>
      </c>
    </row>
    <row r="247" spans="1:10" x14ac:dyDescent="0.35">
      <c r="A247" s="21" t="s">
        <v>495</v>
      </c>
      <c r="B247">
        <v>23375</v>
      </c>
      <c r="C247" s="1">
        <v>45938</v>
      </c>
      <c r="D247">
        <v>17470</v>
      </c>
      <c r="E247">
        <v>43205</v>
      </c>
      <c r="F247" s="1">
        <v>41351</v>
      </c>
      <c r="G247" s="21" t="s">
        <v>19</v>
      </c>
      <c r="H247" s="21" t="s">
        <v>13</v>
      </c>
      <c r="I247" s="21" t="s">
        <v>20</v>
      </c>
      <c r="J247">
        <v>10</v>
      </c>
    </row>
    <row r="248" spans="1:10" x14ac:dyDescent="0.35">
      <c r="A248" s="21" t="s">
        <v>210</v>
      </c>
      <c r="B248">
        <v>1545</v>
      </c>
      <c r="C248" s="1">
        <v>45734</v>
      </c>
      <c r="D248">
        <v>14830</v>
      </c>
      <c r="E248">
        <v>36743</v>
      </c>
      <c r="F248" s="1">
        <v>45734</v>
      </c>
      <c r="G248" s="21" t="s">
        <v>19</v>
      </c>
      <c r="H248" s="21" t="s">
        <v>13</v>
      </c>
      <c r="I248" s="21" t="s">
        <v>20</v>
      </c>
      <c r="J248">
        <v>3</v>
      </c>
    </row>
    <row r="249" spans="1:10" x14ac:dyDescent="0.35">
      <c r="A249" s="21" t="s">
        <v>303</v>
      </c>
      <c r="B249">
        <v>38100</v>
      </c>
      <c r="C249" s="1">
        <v>45796</v>
      </c>
      <c r="D249">
        <v>15688</v>
      </c>
      <c r="E249">
        <v>39217</v>
      </c>
      <c r="F249" s="1">
        <v>40282</v>
      </c>
      <c r="G249" s="21" t="s">
        <v>19</v>
      </c>
      <c r="H249" s="21" t="s">
        <v>13</v>
      </c>
      <c r="I249" s="21" t="s">
        <v>23</v>
      </c>
      <c r="J249">
        <v>5</v>
      </c>
    </row>
    <row r="250" spans="1:10" x14ac:dyDescent="0.35">
      <c r="A250" s="21" t="s">
        <v>304</v>
      </c>
      <c r="B250">
        <v>23375</v>
      </c>
      <c r="C250" s="1">
        <v>45754</v>
      </c>
      <c r="D250">
        <v>15170</v>
      </c>
      <c r="E250">
        <v>37672</v>
      </c>
      <c r="F250" s="1">
        <v>45755</v>
      </c>
      <c r="G250" s="21" t="s">
        <v>19</v>
      </c>
      <c r="H250" s="21" t="s">
        <v>13</v>
      </c>
      <c r="I250" s="21" t="s">
        <v>20</v>
      </c>
      <c r="J250">
        <v>4</v>
      </c>
    </row>
    <row r="251" spans="1:10" x14ac:dyDescent="0.35">
      <c r="A251" s="21" t="s">
        <v>305</v>
      </c>
      <c r="B251">
        <v>2370</v>
      </c>
      <c r="C251" s="1">
        <v>45779</v>
      </c>
      <c r="D251">
        <v>15503</v>
      </c>
      <c r="E251">
        <v>38817</v>
      </c>
      <c r="F251" s="1">
        <v>45392</v>
      </c>
      <c r="G251" s="21" t="s">
        <v>0</v>
      </c>
      <c r="H251" s="21" t="s">
        <v>13</v>
      </c>
      <c r="I251" s="21" t="s">
        <v>20</v>
      </c>
      <c r="J251">
        <v>5</v>
      </c>
    </row>
    <row r="252" spans="1:10" x14ac:dyDescent="0.35">
      <c r="A252" s="21" t="s">
        <v>525</v>
      </c>
      <c r="B252">
        <v>1545</v>
      </c>
      <c r="C252" s="1">
        <v>45967</v>
      </c>
      <c r="D252">
        <v>17678</v>
      </c>
      <c r="E252">
        <v>43441</v>
      </c>
      <c r="F252" s="1">
        <v>41590</v>
      </c>
      <c r="G252" s="21" t="s">
        <v>0</v>
      </c>
      <c r="H252" s="21" t="s">
        <v>13</v>
      </c>
      <c r="I252" s="21" t="s">
        <v>20</v>
      </c>
      <c r="J252">
        <v>11</v>
      </c>
    </row>
    <row r="253" spans="1:10" x14ac:dyDescent="0.35">
      <c r="A253" s="21" t="s">
        <v>307</v>
      </c>
      <c r="B253">
        <v>23375</v>
      </c>
      <c r="C253" s="1">
        <v>45797</v>
      </c>
      <c r="D253">
        <v>15692</v>
      </c>
      <c r="E253">
        <v>39221</v>
      </c>
      <c r="F253" s="1">
        <v>44972</v>
      </c>
      <c r="G253" s="21" t="s">
        <v>19</v>
      </c>
      <c r="H253" s="21" t="s">
        <v>13</v>
      </c>
      <c r="I253" s="21" t="s">
        <v>20</v>
      </c>
      <c r="J253">
        <v>5</v>
      </c>
    </row>
    <row r="254" spans="1:10" x14ac:dyDescent="0.35">
      <c r="A254" s="21" t="s">
        <v>308</v>
      </c>
      <c r="B254">
        <v>2680</v>
      </c>
      <c r="C254" s="1">
        <v>45789</v>
      </c>
      <c r="D254">
        <v>15604</v>
      </c>
      <c r="E254">
        <v>39096</v>
      </c>
      <c r="F254" s="1">
        <v>42804</v>
      </c>
      <c r="G254" s="21" t="s">
        <v>12</v>
      </c>
      <c r="H254" s="21" t="s">
        <v>13</v>
      </c>
      <c r="I254" s="21" t="s">
        <v>20</v>
      </c>
      <c r="J254">
        <v>5</v>
      </c>
    </row>
    <row r="255" spans="1:10" x14ac:dyDescent="0.35">
      <c r="A255" s="21" t="s">
        <v>156</v>
      </c>
      <c r="B255">
        <v>1545</v>
      </c>
      <c r="C255" s="1">
        <v>45698</v>
      </c>
      <c r="D255">
        <v>14419</v>
      </c>
      <c r="E255">
        <v>36006</v>
      </c>
      <c r="F255" s="1">
        <v>40630</v>
      </c>
      <c r="G255" s="21" t="s">
        <v>12</v>
      </c>
      <c r="H255" s="21" t="s">
        <v>13</v>
      </c>
      <c r="I255" s="21" t="s">
        <v>20</v>
      </c>
      <c r="J255">
        <v>2</v>
      </c>
    </row>
    <row r="256" spans="1:10" x14ac:dyDescent="0.35">
      <c r="A256" s="21" t="s">
        <v>309</v>
      </c>
      <c r="B256">
        <v>5770</v>
      </c>
      <c r="C256" s="1">
        <v>45758</v>
      </c>
      <c r="D256">
        <v>15239</v>
      </c>
      <c r="E256">
        <v>37885</v>
      </c>
      <c r="F256" s="1">
        <v>37630</v>
      </c>
      <c r="G256" s="21" t="s">
        <v>227</v>
      </c>
      <c r="H256" s="21" t="s">
        <v>13</v>
      </c>
      <c r="I256" s="21" t="s">
        <v>20</v>
      </c>
      <c r="J256">
        <v>4</v>
      </c>
    </row>
    <row r="257" spans="1:10" x14ac:dyDescent="0.35">
      <c r="A257" s="21" t="s">
        <v>157</v>
      </c>
      <c r="B257">
        <v>1905</v>
      </c>
      <c r="C257" s="1">
        <v>45721</v>
      </c>
      <c r="D257">
        <v>14673</v>
      </c>
      <c r="E257">
        <v>36453</v>
      </c>
      <c r="F257" s="1">
        <v>44280</v>
      </c>
      <c r="G257" s="21" t="s">
        <v>19</v>
      </c>
      <c r="H257" s="21" t="s">
        <v>13</v>
      </c>
      <c r="I257" s="21" t="s">
        <v>14</v>
      </c>
      <c r="J257">
        <v>3</v>
      </c>
    </row>
    <row r="258" spans="1:10" x14ac:dyDescent="0.35">
      <c r="A258" s="21" t="s">
        <v>442</v>
      </c>
      <c r="B258">
        <v>3400</v>
      </c>
      <c r="C258" s="1">
        <v>45870</v>
      </c>
      <c r="D258">
        <v>16474</v>
      </c>
      <c r="E258">
        <v>40664</v>
      </c>
      <c r="F258" s="1">
        <v>37327</v>
      </c>
      <c r="G258" s="21" t="s">
        <v>12</v>
      </c>
      <c r="H258" s="21" t="s">
        <v>13</v>
      </c>
      <c r="I258" s="21" t="s">
        <v>14</v>
      </c>
      <c r="J258">
        <v>8</v>
      </c>
    </row>
    <row r="259" spans="1:10" x14ac:dyDescent="0.35">
      <c r="A259" s="21" t="s">
        <v>310</v>
      </c>
      <c r="B259">
        <v>1545</v>
      </c>
      <c r="C259" s="1">
        <v>45749</v>
      </c>
      <c r="D259">
        <v>15075</v>
      </c>
      <c r="E259">
        <v>37243</v>
      </c>
      <c r="F259" s="1">
        <v>41389</v>
      </c>
      <c r="G259" s="21" t="s">
        <v>0</v>
      </c>
      <c r="H259" s="21" t="s">
        <v>13</v>
      </c>
      <c r="I259" s="21" t="s">
        <v>20</v>
      </c>
      <c r="J259">
        <v>4</v>
      </c>
    </row>
    <row r="260" spans="1:10" x14ac:dyDescent="0.35">
      <c r="A260" s="21" t="s">
        <v>526</v>
      </c>
      <c r="B260">
        <v>1545</v>
      </c>
      <c r="C260" s="1">
        <v>45967</v>
      </c>
      <c r="D260">
        <v>17677</v>
      </c>
      <c r="E260">
        <v>43440</v>
      </c>
      <c r="F260" s="1">
        <v>44523</v>
      </c>
      <c r="G260" s="21" t="s">
        <v>19</v>
      </c>
      <c r="H260" s="21" t="s">
        <v>13</v>
      </c>
      <c r="I260" s="21" t="s">
        <v>20</v>
      </c>
      <c r="J260">
        <v>11</v>
      </c>
    </row>
    <row r="261" spans="1:10" x14ac:dyDescent="0.35">
      <c r="A261" s="21" t="s">
        <v>211</v>
      </c>
      <c r="B261">
        <v>1545</v>
      </c>
      <c r="C261" s="1">
        <v>45742</v>
      </c>
      <c r="D261">
        <v>14965</v>
      </c>
      <c r="E261">
        <v>36975</v>
      </c>
      <c r="F261" s="1">
        <v>40522</v>
      </c>
      <c r="G261" s="21" t="s">
        <v>12</v>
      </c>
      <c r="H261" s="21" t="s">
        <v>13</v>
      </c>
      <c r="I261" s="21" t="s">
        <v>20</v>
      </c>
      <c r="J261">
        <v>3</v>
      </c>
    </row>
    <row r="262" spans="1:10" x14ac:dyDescent="0.35">
      <c r="A262" s="21" t="s">
        <v>404</v>
      </c>
      <c r="B262">
        <v>23375</v>
      </c>
      <c r="C262" s="1">
        <v>45863</v>
      </c>
      <c r="D262">
        <v>16399</v>
      </c>
      <c r="E262">
        <v>40485</v>
      </c>
      <c r="F262" s="1">
        <v>39573</v>
      </c>
      <c r="G262" s="21" t="s">
        <v>19</v>
      </c>
      <c r="H262" s="21" t="s">
        <v>13</v>
      </c>
      <c r="I262" s="21" t="s">
        <v>20</v>
      </c>
      <c r="J262">
        <v>7</v>
      </c>
    </row>
    <row r="263" spans="1:10" x14ac:dyDescent="0.35">
      <c r="A263" s="21" t="s">
        <v>443</v>
      </c>
      <c r="B263">
        <v>1545</v>
      </c>
      <c r="C263" s="1">
        <v>45880</v>
      </c>
      <c r="D263">
        <v>16592</v>
      </c>
      <c r="E263">
        <v>41360</v>
      </c>
      <c r="F263" s="1">
        <v>39823</v>
      </c>
      <c r="G263" s="21" t="s">
        <v>12</v>
      </c>
      <c r="H263" s="21" t="s">
        <v>13</v>
      </c>
      <c r="I263" s="21" t="s">
        <v>20</v>
      </c>
      <c r="J263">
        <v>8</v>
      </c>
    </row>
    <row r="264" spans="1:10" x14ac:dyDescent="0.35">
      <c r="A264" s="21" t="s">
        <v>212</v>
      </c>
      <c r="B264">
        <v>18950</v>
      </c>
      <c r="C264" s="1">
        <v>45730</v>
      </c>
      <c r="D264">
        <v>14790</v>
      </c>
      <c r="E264">
        <v>36678</v>
      </c>
      <c r="F264" s="1">
        <v>36367</v>
      </c>
      <c r="G264" s="21" t="s">
        <v>19</v>
      </c>
      <c r="H264" s="21" t="s">
        <v>13</v>
      </c>
      <c r="I264" s="21" t="s">
        <v>20</v>
      </c>
      <c r="J264">
        <v>3</v>
      </c>
    </row>
    <row r="265" spans="1:10" x14ac:dyDescent="0.35">
      <c r="A265" s="21" t="s">
        <v>496</v>
      </c>
      <c r="B265">
        <v>1545</v>
      </c>
      <c r="C265" s="1">
        <v>45958</v>
      </c>
      <c r="D265">
        <v>17608</v>
      </c>
      <c r="E265">
        <v>43354</v>
      </c>
      <c r="F265" s="1">
        <v>42867</v>
      </c>
      <c r="G265" s="21" t="s">
        <v>19</v>
      </c>
      <c r="H265" s="21" t="s">
        <v>13</v>
      </c>
      <c r="I265" s="21" t="s">
        <v>20</v>
      </c>
      <c r="J265">
        <v>10</v>
      </c>
    </row>
    <row r="266" spans="1:10" x14ac:dyDescent="0.35">
      <c r="A266" s="21" t="s">
        <v>213</v>
      </c>
      <c r="B266">
        <v>9685</v>
      </c>
      <c r="C266" s="1">
        <v>45733</v>
      </c>
      <c r="D266">
        <v>14810</v>
      </c>
      <c r="E266">
        <v>36723</v>
      </c>
      <c r="F266" s="1">
        <v>43347</v>
      </c>
      <c r="G266" s="21" t="s">
        <v>19</v>
      </c>
      <c r="H266" s="21" t="s">
        <v>13</v>
      </c>
      <c r="I266" s="21" t="s">
        <v>20</v>
      </c>
      <c r="J266">
        <v>3</v>
      </c>
    </row>
    <row r="267" spans="1:10" x14ac:dyDescent="0.35">
      <c r="A267" s="21" t="s">
        <v>527</v>
      </c>
      <c r="B267">
        <v>23375</v>
      </c>
      <c r="C267" s="1">
        <v>45967</v>
      </c>
      <c r="D267">
        <v>17681</v>
      </c>
      <c r="E267">
        <v>43444</v>
      </c>
      <c r="F267" s="1">
        <v>44606</v>
      </c>
      <c r="G267" s="21" t="s">
        <v>19</v>
      </c>
      <c r="H267" s="21" t="s">
        <v>13</v>
      </c>
      <c r="I267" s="21" t="s">
        <v>20</v>
      </c>
      <c r="J267">
        <v>11</v>
      </c>
    </row>
    <row r="268" spans="1:10" x14ac:dyDescent="0.35">
      <c r="A268" s="21" t="s">
        <v>158</v>
      </c>
      <c r="B268">
        <v>1545</v>
      </c>
      <c r="C268" s="1">
        <v>45695</v>
      </c>
      <c r="D268">
        <v>14410</v>
      </c>
      <c r="E268">
        <v>35988</v>
      </c>
      <c r="F268" s="1">
        <v>45415</v>
      </c>
      <c r="G268" s="21" t="s">
        <v>19</v>
      </c>
      <c r="H268" s="21" t="s">
        <v>13</v>
      </c>
      <c r="I268" s="21" t="s">
        <v>20</v>
      </c>
      <c r="J268">
        <v>2</v>
      </c>
    </row>
    <row r="269" spans="1:10" x14ac:dyDescent="0.35">
      <c r="A269" s="21" t="s">
        <v>357</v>
      </c>
      <c r="B269">
        <v>23375</v>
      </c>
      <c r="C269" s="1">
        <v>45831</v>
      </c>
      <c r="D269">
        <v>15984</v>
      </c>
      <c r="E269">
        <v>39670</v>
      </c>
      <c r="F269" s="1">
        <v>41288</v>
      </c>
      <c r="G269" s="21" t="s">
        <v>19</v>
      </c>
      <c r="H269" s="21" t="s">
        <v>13</v>
      </c>
      <c r="I269" s="21" t="s">
        <v>20</v>
      </c>
      <c r="J269">
        <v>6</v>
      </c>
    </row>
    <row r="270" spans="1:10" x14ac:dyDescent="0.35">
      <c r="A270" s="21" t="s">
        <v>214</v>
      </c>
      <c r="B270">
        <v>23375</v>
      </c>
      <c r="C270" s="1">
        <v>45726</v>
      </c>
      <c r="D270">
        <v>14709</v>
      </c>
      <c r="E270">
        <v>36532</v>
      </c>
      <c r="F270" s="1">
        <v>41346</v>
      </c>
      <c r="G270" s="21" t="s">
        <v>19</v>
      </c>
      <c r="H270" s="21" t="s">
        <v>13</v>
      </c>
      <c r="I270" s="21" t="s">
        <v>20</v>
      </c>
      <c r="J270">
        <v>3</v>
      </c>
    </row>
    <row r="271" spans="1:10" x14ac:dyDescent="0.35">
      <c r="A271" s="21" t="s">
        <v>312</v>
      </c>
      <c r="B271">
        <v>1545</v>
      </c>
      <c r="C271" s="1">
        <v>45775</v>
      </c>
      <c r="D271">
        <v>15442</v>
      </c>
      <c r="E271">
        <v>38611</v>
      </c>
      <c r="F271" s="1">
        <v>39961</v>
      </c>
      <c r="G271" s="21" t="s">
        <v>19</v>
      </c>
      <c r="H271" s="21" t="s">
        <v>13</v>
      </c>
      <c r="I271" s="21" t="s">
        <v>20</v>
      </c>
      <c r="J271">
        <v>4</v>
      </c>
    </row>
    <row r="272" spans="1:10" x14ac:dyDescent="0.35">
      <c r="A272" s="21" t="s">
        <v>444</v>
      </c>
      <c r="B272">
        <v>5770</v>
      </c>
      <c r="C272" s="1">
        <v>45873</v>
      </c>
      <c r="D272">
        <v>16487</v>
      </c>
      <c r="E272">
        <v>40702</v>
      </c>
      <c r="F272" s="1">
        <v>45870</v>
      </c>
      <c r="G272" s="21" t="s">
        <v>19</v>
      </c>
      <c r="H272" s="21" t="s">
        <v>13</v>
      </c>
      <c r="I272" s="21" t="s">
        <v>20</v>
      </c>
      <c r="J272">
        <v>8</v>
      </c>
    </row>
    <row r="273" spans="1:10" x14ac:dyDescent="0.35">
      <c r="A273" s="21" t="s">
        <v>313</v>
      </c>
      <c r="B273">
        <v>2990</v>
      </c>
      <c r="C273" s="1">
        <v>45777</v>
      </c>
      <c r="D273">
        <v>15475</v>
      </c>
      <c r="E273">
        <v>38701</v>
      </c>
      <c r="F273" s="1">
        <v>45775</v>
      </c>
      <c r="G273" s="21" t="s">
        <v>19</v>
      </c>
      <c r="H273" s="21" t="s">
        <v>13</v>
      </c>
      <c r="I273" s="21" t="s">
        <v>14</v>
      </c>
      <c r="J273">
        <v>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850FD-1B3E-42C1-A05C-8210968609D2}">
  <dimension ref="A3:C27"/>
  <sheetViews>
    <sheetView workbookViewId="0">
      <selection activeCell="B24" sqref="B24"/>
    </sheetView>
  </sheetViews>
  <sheetFormatPr defaultRowHeight="14.5" x14ac:dyDescent="0.35"/>
  <cols>
    <col min="1" max="1" width="12.453125" bestFit="1" customWidth="1"/>
    <col min="2" max="2" width="11.1796875" bestFit="1" customWidth="1"/>
  </cols>
  <sheetData>
    <row r="3" spans="1:3" x14ac:dyDescent="0.35">
      <c r="A3" s="2" t="s">
        <v>63</v>
      </c>
      <c r="B3" t="s">
        <v>65</v>
      </c>
    </row>
    <row r="4" spans="1:3" x14ac:dyDescent="0.35">
      <c r="A4" s="3">
        <v>1</v>
      </c>
      <c r="B4" s="4">
        <v>12500</v>
      </c>
    </row>
    <row r="5" spans="1:3" x14ac:dyDescent="0.35">
      <c r="A5" s="3">
        <v>2</v>
      </c>
      <c r="B5" s="4">
        <v>5525</v>
      </c>
    </row>
    <row r="6" spans="1:3" x14ac:dyDescent="0.35">
      <c r="A6" s="3">
        <v>3</v>
      </c>
      <c r="B6" s="4">
        <v>11225</v>
      </c>
    </row>
    <row r="7" spans="1:3" x14ac:dyDescent="0.35">
      <c r="A7" s="3">
        <v>4</v>
      </c>
      <c r="B7" s="4">
        <v>3875</v>
      </c>
    </row>
    <row r="8" spans="1:3" x14ac:dyDescent="0.35">
      <c r="A8" s="3">
        <v>5</v>
      </c>
      <c r="B8" s="4">
        <v>7075</v>
      </c>
    </row>
    <row r="9" spans="1:3" x14ac:dyDescent="0.35">
      <c r="A9" s="3">
        <v>6</v>
      </c>
      <c r="B9" s="4">
        <v>7750</v>
      </c>
    </row>
    <row r="10" spans="1:3" x14ac:dyDescent="0.35">
      <c r="A10" s="3">
        <v>7</v>
      </c>
      <c r="B10" s="4">
        <v>7750</v>
      </c>
    </row>
    <row r="11" spans="1:3" x14ac:dyDescent="0.35">
      <c r="A11" s="3">
        <v>8</v>
      </c>
      <c r="B11" s="4">
        <v>10850</v>
      </c>
    </row>
    <row r="12" spans="1:3" x14ac:dyDescent="0.35">
      <c r="A12" s="3">
        <v>9</v>
      </c>
      <c r="B12" s="4">
        <v>7825</v>
      </c>
    </row>
    <row r="13" spans="1:3" x14ac:dyDescent="0.35">
      <c r="A13" s="3">
        <v>10</v>
      </c>
      <c r="B13" s="4">
        <v>3100</v>
      </c>
    </row>
    <row r="14" spans="1:3" x14ac:dyDescent="0.35">
      <c r="A14" s="3">
        <v>11</v>
      </c>
      <c r="B14" s="4">
        <v>7175</v>
      </c>
    </row>
    <row r="15" spans="1:3" x14ac:dyDescent="0.35">
      <c r="A15" s="3" t="s">
        <v>64</v>
      </c>
      <c r="B15" s="4">
        <v>84650</v>
      </c>
    </row>
    <row r="16" spans="1:3" x14ac:dyDescent="0.35">
      <c r="C16">
        <f>GETPIVOTDATA("Total",$A$3)</f>
        <v>84650</v>
      </c>
    </row>
    <row r="17" spans="1:3" x14ac:dyDescent="0.35">
      <c r="C17" t="str">
        <f>"Grand Total: $"&amp;TEXT(GETPIVOTDATA("Total",$A$3),"#,###")</f>
        <v>Grand Total: $84,650</v>
      </c>
    </row>
    <row r="22" spans="1:3" x14ac:dyDescent="0.35">
      <c r="A22" s="2" t="s">
        <v>63</v>
      </c>
      <c r="B22" t="s">
        <v>88</v>
      </c>
    </row>
    <row r="23" spans="1:3" x14ac:dyDescent="0.35">
      <c r="A23" s="3" t="s">
        <v>18</v>
      </c>
      <c r="B23" s="21">
        <v>108</v>
      </c>
    </row>
    <row r="24" spans="1:3" x14ac:dyDescent="0.35">
      <c r="A24" s="3" t="s">
        <v>30</v>
      </c>
      <c r="B24" s="21">
        <v>8</v>
      </c>
    </row>
    <row r="25" spans="1:3" x14ac:dyDescent="0.35">
      <c r="A25" s="3" t="s">
        <v>181</v>
      </c>
      <c r="B25" s="21">
        <v>2</v>
      </c>
    </row>
    <row r="26" spans="1:3" x14ac:dyDescent="0.35">
      <c r="A26" s="3" t="s">
        <v>64</v>
      </c>
      <c r="B26" s="21">
        <v>118</v>
      </c>
    </row>
    <row r="27" spans="1:3" x14ac:dyDescent="0.35">
      <c r="C27" t="str">
        <f>CONCATENATE("Individual: ",GETPIVOTDATA("Item Name",$A$22))</f>
        <v>Individual: 118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30264-9DB1-4BB5-BB8C-E3311B49F6F5}">
  <dimension ref="A1:J119"/>
  <sheetViews>
    <sheetView topLeftCell="A16" workbookViewId="0">
      <selection activeCell="A18" sqref="A18"/>
    </sheetView>
  </sheetViews>
  <sheetFormatPr defaultRowHeight="14.5" x14ac:dyDescent="0.35"/>
  <cols>
    <col min="1" max="1" width="42.08984375" bestFit="1" customWidth="1"/>
    <col min="2" max="2" width="7.1796875" bestFit="1" customWidth="1"/>
    <col min="3" max="3" width="13.08984375" bestFit="1" customWidth="1"/>
    <col min="4" max="4" width="16.7265625" bestFit="1" customWidth="1"/>
    <col min="5" max="5" width="15.7265625" bestFit="1" customWidth="1"/>
    <col min="6" max="6" width="15" bestFit="1" customWidth="1"/>
    <col min="7" max="7" width="17.81640625" bestFit="1" customWidth="1"/>
    <col min="8" max="8" width="18" bestFit="1" customWidth="1"/>
    <col min="9" max="9" width="19" bestFit="1" customWidth="1"/>
    <col min="10" max="10" width="12.90625" bestFit="1" customWidth="1"/>
  </cols>
  <sheetData>
    <row r="1" spans="1:10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35">
      <c r="A2" s="21" t="s">
        <v>407</v>
      </c>
      <c r="B2">
        <v>775</v>
      </c>
      <c r="C2" s="1">
        <v>45891</v>
      </c>
      <c r="D2">
        <v>16865</v>
      </c>
      <c r="E2">
        <v>42315</v>
      </c>
      <c r="F2" s="1">
        <v>45891</v>
      </c>
      <c r="G2" s="21" t="s">
        <v>17</v>
      </c>
      <c r="H2" s="21" t="s">
        <v>13</v>
      </c>
      <c r="I2" s="21" t="s">
        <v>18</v>
      </c>
      <c r="J2">
        <v>8</v>
      </c>
    </row>
    <row r="3" spans="1:10" x14ac:dyDescent="0.35">
      <c r="A3" s="21" t="s">
        <v>447</v>
      </c>
      <c r="B3">
        <v>775</v>
      </c>
      <c r="C3" s="1">
        <v>45917</v>
      </c>
      <c r="D3">
        <v>17261</v>
      </c>
      <c r="E3">
        <v>42986</v>
      </c>
      <c r="F3" s="1">
        <v>45917</v>
      </c>
      <c r="G3" s="21" t="s">
        <v>17</v>
      </c>
      <c r="H3" s="21" t="s">
        <v>17</v>
      </c>
      <c r="I3" s="21" t="s">
        <v>18</v>
      </c>
      <c r="J3">
        <v>9</v>
      </c>
    </row>
    <row r="4" spans="1:10" x14ac:dyDescent="0.35">
      <c r="A4" s="21" t="s">
        <v>360</v>
      </c>
      <c r="B4">
        <v>775</v>
      </c>
      <c r="C4" s="1">
        <v>45846</v>
      </c>
      <c r="D4">
        <v>16207</v>
      </c>
      <c r="E4">
        <v>40001</v>
      </c>
      <c r="F4" s="1">
        <v>45846</v>
      </c>
      <c r="G4" s="21" t="s">
        <v>17</v>
      </c>
      <c r="H4" s="21" t="s">
        <v>17</v>
      </c>
      <c r="I4" s="21" t="s">
        <v>18</v>
      </c>
      <c r="J4">
        <v>7</v>
      </c>
    </row>
    <row r="5" spans="1:10" x14ac:dyDescent="0.35">
      <c r="A5" s="21" t="s">
        <v>499</v>
      </c>
      <c r="B5">
        <v>775</v>
      </c>
      <c r="C5" s="1">
        <v>45964</v>
      </c>
      <c r="D5">
        <v>17643</v>
      </c>
      <c r="E5">
        <v>43404</v>
      </c>
      <c r="F5" s="1">
        <v>45569</v>
      </c>
      <c r="G5" s="21" t="s">
        <v>17</v>
      </c>
      <c r="H5" s="21" t="s">
        <v>13</v>
      </c>
      <c r="I5" s="21" t="s">
        <v>18</v>
      </c>
      <c r="J5">
        <v>11</v>
      </c>
    </row>
    <row r="6" spans="1:10" x14ac:dyDescent="0.35">
      <c r="A6" s="21" t="s">
        <v>362</v>
      </c>
      <c r="B6">
        <v>775</v>
      </c>
      <c r="C6" s="1">
        <v>45866</v>
      </c>
      <c r="D6">
        <v>16405</v>
      </c>
      <c r="E6">
        <v>40493</v>
      </c>
      <c r="F6" s="1">
        <v>44579</v>
      </c>
      <c r="G6" s="21" t="s">
        <v>17</v>
      </c>
      <c r="H6" s="21" t="s">
        <v>17</v>
      </c>
      <c r="I6" s="21" t="s">
        <v>18</v>
      </c>
      <c r="J6">
        <v>7</v>
      </c>
    </row>
    <row r="7" spans="1:10" x14ac:dyDescent="0.35">
      <c r="A7" s="21" t="s">
        <v>363</v>
      </c>
      <c r="B7">
        <v>775</v>
      </c>
      <c r="C7" s="1">
        <v>45854</v>
      </c>
      <c r="D7">
        <v>16278</v>
      </c>
      <c r="E7">
        <v>40175</v>
      </c>
      <c r="F7" s="1">
        <v>45386</v>
      </c>
      <c r="G7" s="21" t="s">
        <v>17</v>
      </c>
      <c r="H7" s="21" t="s">
        <v>13</v>
      </c>
      <c r="I7" s="21" t="s">
        <v>18</v>
      </c>
      <c r="J7">
        <v>7</v>
      </c>
    </row>
    <row r="8" spans="1:10" x14ac:dyDescent="0.35">
      <c r="A8" s="21" t="s">
        <v>164</v>
      </c>
      <c r="B8">
        <v>775</v>
      </c>
      <c r="C8" s="1">
        <v>45745</v>
      </c>
      <c r="D8">
        <v>15019</v>
      </c>
      <c r="E8">
        <v>37086</v>
      </c>
      <c r="F8" s="1">
        <v>44984</v>
      </c>
      <c r="G8" s="21" t="s">
        <v>17</v>
      </c>
      <c r="H8" s="21" t="s">
        <v>17</v>
      </c>
      <c r="I8" s="21" t="s">
        <v>18</v>
      </c>
      <c r="J8">
        <v>3</v>
      </c>
    </row>
    <row r="9" spans="1:10" x14ac:dyDescent="0.35">
      <c r="A9" s="21" t="s">
        <v>411</v>
      </c>
      <c r="B9">
        <v>775</v>
      </c>
      <c r="C9" s="1">
        <v>45875</v>
      </c>
      <c r="D9">
        <v>16525</v>
      </c>
      <c r="E9">
        <v>41013</v>
      </c>
      <c r="F9" s="1">
        <v>45531</v>
      </c>
      <c r="G9" s="21" t="s">
        <v>17</v>
      </c>
      <c r="H9" s="21" t="s">
        <v>13</v>
      </c>
      <c r="I9" s="21" t="s">
        <v>18</v>
      </c>
      <c r="J9">
        <v>8</v>
      </c>
    </row>
    <row r="10" spans="1:10" x14ac:dyDescent="0.35">
      <c r="A10" s="21" t="s">
        <v>47</v>
      </c>
      <c r="B10">
        <v>775</v>
      </c>
      <c r="C10" s="1">
        <v>45684</v>
      </c>
      <c r="D10">
        <v>14257</v>
      </c>
      <c r="E10">
        <v>35767</v>
      </c>
      <c r="F10" s="1">
        <v>45385</v>
      </c>
      <c r="G10" s="21" t="s">
        <v>17</v>
      </c>
      <c r="H10" s="21" t="s">
        <v>17</v>
      </c>
      <c r="I10" s="21" t="s">
        <v>18</v>
      </c>
      <c r="J10">
        <v>1</v>
      </c>
    </row>
    <row r="11" spans="1:10" x14ac:dyDescent="0.35">
      <c r="A11" s="21" t="s">
        <v>89</v>
      </c>
      <c r="B11">
        <v>775</v>
      </c>
      <c r="C11" s="1">
        <v>45664</v>
      </c>
      <c r="D11">
        <v>13806</v>
      </c>
      <c r="E11">
        <v>35165</v>
      </c>
      <c r="F11" s="1">
        <v>44433</v>
      </c>
      <c r="G11" s="21" t="s">
        <v>17</v>
      </c>
      <c r="H11" s="21" t="s">
        <v>13</v>
      </c>
      <c r="I11" s="21" t="s">
        <v>18</v>
      </c>
      <c r="J11">
        <v>1</v>
      </c>
    </row>
    <row r="12" spans="1:10" x14ac:dyDescent="0.35">
      <c r="A12" s="21" t="s">
        <v>364</v>
      </c>
      <c r="B12">
        <v>775</v>
      </c>
      <c r="C12" s="1">
        <v>45869</v>
      </c>
      <c r="D12">
        <v>16459</v>
      </c>
      <c r="E12">
        <v>40633</v>
      </c>
      <c r="F12" s="1">
        <v>44433</v>
      </c>
      <c r="G12" s="21" t="s">
        <v>17</v>
      </c>
      <c r="H12" s="21" t="s">
        <v>17</v>
      </c>
      <c r="I12" s="21" t="s">
        <v>18</v>
      </c>
      <c r="J12">
        <v>7</v>
      </c>
    </row>
    <row r="13" spans="1:10" x14ac:dyDescent="0.35">
      <c r="A13" s="21" t="s">
        <v>415</v>
      </c>
      <c r="B13">
        <v>775</v>
      </c>
      <c r="C13" s="1">
        <v>45878</v>
      </c>
      <c r="D13">
        <v>16563</v>
      </c>
      <c r="E13">
        <v>41195</v>
      </c>
      <c r="F13" s="1">
        <v>45878</v>
      </c>
      <c r="G13" s="21" t="s">
        <v>17</v>
      </c>
      <c r="H13" s="21" t="s">
        <v>17</v>
      </c>
      <c r="I13" s="21" t="s">
        <v>18</v>
      </c>
      <c r="J13">
        <v>8</v>
      </c>
    </row>
    <row r="14" spans="1:10" x14ac:dyDescent="0.35">
      <c r="A14" s="21" t="s">
        <v>317</v>
      </c>
      <c r="B14">
        <v>775</v>
      </c>
      <c r="C14" s="1">
        <v>45827</v>
      </c>
      <c r="D14">
        <v>15952</v>
      </c>
      <c r="E14">
        <v>39627</v>
      </c>
      <c r="F14" s="1">
        <v>44725</v>
      </c>
      <c r="G14" s="21" t="s">
        <v>17</v>
      </c>
      <c r="H14" s="21" t="s">
        <v>13</v>
      </c>
      <c r="I14" s="21" t="s">
        <v>18</v>
      </c>
      <c r="J14">
        <v>6</v>
      </c>
    </row>
    <row r="15" spans="1:10" x14ac:dyDescent="0.35">
      <c r="A15" s="21" t="s">
        <v>90</v>
      </c>
      <c r="B15">
        <v>100</v>
      </c>
      <c r="C15" s="1">
        <v>45674</v>
      </c>
      <c r="D15">
        <v>14126</v>
      </c>
      <c r="E15">
        <v>35593</v>
      </c>
      <c r="F15" s="1">
        <v>45674</v>
      </c>
      <c r="G15" s="21" t="s">
        <v>17</v>
      </c>
      <c r="H15" s="21" t="s">
        <v>13</v>
      </c>
      <c r="I15" s="21" t="s">
        <v>30</v>
      </c>
      <c r="J15">
        <v>1</v>
      </c>
    </row>
    <row r="16" spans="1:10" x14ac:dyDescent="0.35">
      <c r="A16" s="21" t="s">
        <v>417</v>
      </c>
      <c r="B16">
        <v>775</v>
      </c>
      <c r="C16" s="1">
        <v>45901</v>
      </c>
      <c r="D16">
        <v>16990</v>
      </c>
      <c r="E16">
        <v>42518</v>
      </c>
      <c r="F16" s="1">
        <v>44825</v>
      </c>
      <c r="G16" s="21" t="s">
        <v>17</v>
      </c>
      <c r="H16" s="21" t="s">
        <v>17</v>
      </c>
      <c r="I16" s="21" t="s">
        <v>18</v>
      </c>
      <c r="J16">
        <v>9</v>
      </c>
    </row>
    <row r="17" spans="1:10" x14ac:dyDescent="0.35">
      <c r="A17" s="21" t="s">
        <v>418</v>
      </c>
      <c r="B17">
        <v>775</v>
      </c>
      <c r="C17" s="1">
        <v>45900</v>
      </c>
      <c r="D17">
        <v>16981</v>
      </c>
      <c r="E17">
        <v>42502</v>
      </c>
      <c r="F17" s="1">
        <v>45900</v>
      </c>
      <c r="G17" s="21" t="s">
        <v>17</v>
      </c>
      <c r="H17" s="21" t="s">
        <v>13</v>
      </c>
      <c r="I17" s="21" t="s">
        <v>18</v>
      </c>
      <c r="J17">
        <v>8</v>
      </c>
    </row>
    <row r="18" spans="1:10" x14ac:dyDescent="0.35">
      <c r="A18" s="21" t="s">
        <v>319</v>
      </c>
      <c r="B18">
        <v>775</v>
      </c>
      <c r="C18" s="1">
        <v>45813</v>
      </c>
      <c r="D18">
        <v>15813</v>
      </c>
      <c r="E18">
        <v>39387</v>
      </c>
      <c r="F18" s="1">
        <v>40786</v>
      </c>
      <c r="G18" s="21" t="s">
        <v>1</v>
      </c>
      <c r="H18" s="21" t="s">
        <v>13</v>
      </c>
      <c r="I18" s="21" t="s">
        <v>18</v>
      </c>
      <c r="J18">
        <v>6</v>
      </c>
    </row>
    <row r="19" spans="1:10" x14ac:dyDescent="0.35">
      <c r="A19" s="21" t="s">
        <v>419</v>
      </c>
      <c r="B19">
        <v>775</v>
      </c>
      <c r="C19" s="1">
        <v>45891</v>
      </c>
      <c r="D19">
        <v>16857</v>
      </c>
      <c r="E19">
        <v>42301</v>
      </c>
      <c r="F19" s="1">
        <v>45891</v>
      </c>
      <c r="G19" s="21" t="s">
        <v>17</v>
      </c>
      <c r="H19" s="21" t="s">
        <v>17</v>
      </c>
      <c r="I19" s="21" t="s">
        <v>18</v>
      </c>
      <c r="J19">
        <v>8</v>
      </c>
    </row>
    <row r="20" spans="1:10" x14ac:dyDescent="0.35">
      <c r="A20" s="21" t="s">
        <v>451</v>
      </c>
      <c r="B20">
        <v>75</v>
      </c>
      <c r="C20" s="1">
        <v>45912</v>
      </c>
      <c r="D20">
        <v>17201</v>
      </c>
      <c r="E20">
        <v>42899</v>
      </c>
      <c r="F20" s="1">
        <v>45912</v>
      </c>
      <c r="G20" s="21" t="s">
        <v>17</v>
      </c>
      <c r="H20" s="21" t="s">
        <v>258</v>
      </c>
      <c r="I20" s="21" t="s">
        <v>181</v>
      </c>
      <c r="J20">
        <v>9</v>
      </c>
    </row>
    <row r="21" spans="1:10" x14ac:dyDescent="0.35">
      <c r="A21" s="21" t="s">
        <v>126</v>
      </c>
      <c r="B21">
        <v>100</v>
      </c>
      <c r="C21" s="1">
        <v>45704</v>
      </c>
      <c r="D21">
        <v>14470</v>
      </c>
      <c r="E21">
        <v>36075</v>
      </c>
      <c r="F21" s="1">
        <v>44959</v>
      </c>
      <c r="G21" s="21" t="s">
        <v>17</v>
      </c>
      <c r="H21" s="21" t="s">
        <v>13</v>
      </c>
      <c r="I21" s="21" t="s">
        <v>30</v>
      </c>
      <c r="J21">
        <v>2</v>
      </c>
    </row>
    <row r="22" spans="1:10" x14ac:dyDescent="0.35">
      <c r="A22" s="21" t="s">
        <v>95</v>
      </c>
      <c r="B22">
        <v>775</v>
      </c>
      <c r="C22" s="1">
        <v>45671</v>
      </c>
      <c r="D22">
        <v>14048</v>
      </c>
      <c r="E22">
        <v>35481</v>
      </c>
      <c r="F22" s="1">
        <v>45670</v>
      </c>
      <c r="G22" s="21" t="s">
        <v>17</v>
      </c>
      <c r="H22" s="21" t="s">
        <v>17</v>
      </c>
      <c r="I22" s="21" t="s">
        <v>18</v>
      </c>
      <c r="J22">
        <v>1</v>
      </c>
    </row>
    <row r="23" spans="1:10" x14ac:dyDescent="0.35">
      <c r="A23" s="21" t="s">
        <v>35</v>
      </c>
      <c r="B23">
        <v>775</v>
      </c>
      <c r="C23" s="1">
        <v>45686</v>
      </c>
      <c r="D23">
        <v>14285</v>
      </c>
      <c r="E23">
        <v>35820</v>
      </c>
      <c r="F23" s="1">
        <v>45337</v>
      </c>
      <c r="G23" s="21" t="s">
        <v>17</v>
      </c>
      <c r="H23" s="21" t="s">
        <v>22</v>
      </c>
      <c r="I23" s="21" t="s">
        <v>18</v>
      </c>
      <c r="J23">
        <v>1</v>
      </c>
    </row>
    <row r="24" spans="1:10" x14ac:dyDescent="0.35">
      <c r="A24" s="21" t="s">
        <v>129</v>
      </c>
      <c r="B24">
        <v>775</v>
      </c>
      <c r="C24" s="1">
        <v>45713</v>
      </c>
      <c r="D24">
        <v>14577</v>
      </c>
      <c r="E24">
        <v>36245</v>
      </c>
      <c r="F24" s="1">
        <v>45518</v>
      </c>
      <c r="G24" s="21" t="s">
        <v>17</v>
      </c>
      <c r="H24" s="21" t="s">
        <v>17</v>
      </c>
      <c r="I24" s="21" t="s">
        <v>18</v>
      </c>
      <c r="J24">
        <v>2</v>
      </c>
    </row>
    <row r="25" spans="1:10" x14ac:dyDescent="0.35">
      <c r="A25" s="21" t="s">
        <v>168</v>
      </c>
      <c r="B25">
        <v>775</v>
      </c>
      <c r="C25" s="1">
        <v>45742</v>
      </c>
      <c r="D25">
        <v>14963</v>
      </c>
      <c r="E25">
        <v>36964</v>
      </c>
      <c r="F25" s="1">
        <v>44980</v>
      </c>
      <c r="G25" s="21" t="s">
        <v>0</v>
      </c>
      <c r="H25" s="21" t="s">
        <v>13</v>
      </c>
      <c r="I25" s="21" t="s">
        <v>18</v>
      </c>
      <c r="J25">
        <v>3</v>
      </c>
    </row>
    <row r="26" spans="1:10" x14ac:dyDescent="0.35">
      <c r="A26" s="21" t="s">
        <v>96</v>
      </c>
      <c r="B26">
        <v>775</v>
      </c>
      <c r="C26" s="1">
        <v>45688</v>
      </c>
      <c r="D26">
        <v>14307</v>
      </c>
      <c r="E26">
        <v>35843</v>
      </c>
      <c r="F26" s="1">
        <v>45688</v>
      </c>
      <c r="G26" s="21" t="s">
        <v>17</v>
      </c>
      <c r="H26" s="21" t="s">
        <v>97</v>
      </c>
      <c r="I26" s="21" t="s">
        <v>18</v>
      </c>
      <c r="J26">
        <v>1</v>
      </c>
    </row>
    <row r="27" spans="1:10" x14ac:dyDescent="0.35">
      <c r="A27" s="21" t="s">
        <v>322</v>
      </c>
      <c r="B27">
        <v>775</v>
      </c>
      <c r="C27" s="1">
        <v>45816</v>
      </c>
      <c r="D27">
        <v>15835</v>
      </c>
      <c r="E27">
        <v>39412</v>
      </c>
      <c r="F27" s="1">
        <v>45092</v>
      </c>
      <c r="G27" s="21" t="s">
        <v>17</v>
      </c>
      <c r="H27" s="21" t="s">
        <v>17</v>
      </c>
      <c r="I27" s="21" t="s">
        <v>18</v>
      </c>
      <c r="J27">
        <v>6</v>
      </c>
    </row>
    <row r="28" spans="1:10" x14ac:dyDescent="0.35">
      <c r="A28" s="21" t="s">
        <v>423</v>
      </c>
      <c r="B28">
        <v>775</v>
      </c>
      <c r="C28" s="1">
        <v>45903</v>
      </c>
      <c r="D28">
        <v>17023</v>
      </c>
      <c r="E28">
        <v>42566</v>
      </c>
      <c r="F28" s="1">
        <v>44078</v>
      </c>
      <c r="G28" s="21" t="s">
        <v>17</v>
      </c>
      <c r="H28" s="21" t="s">
        <v>17</v>
      </c>
      <c r="I28" s="21" t="s">
        <v>18</v>
      </c>
      <c r="J28">
        <v>9</v>
      </c>
    </row>
    <row r="29" spans="1:10" x14ac:dyDescent="0.35">
      <c r="A29" s="21" t="s">
        <v>98</v>
      </c>
      <c r="B29">
        <v>775</v>
      </c>
      <c r="C29" s="1">
        <v>45677</v>
      </c>
      <c r="D29">
        <v>14135</v>
      </c>
      <c r="E29">
        <v>35601</v>
      </c>
      <c r="F29" s="1">
        <v>45676</v>
      </c>
      <c r="G29" s="21" t="s">
        <v>17</v>
      </c>
      <c r="H29" s="21" t="s">
        <v>13</v>
      </c>
      <c r="I29" s="21" t="s">
        <v>18</v>
      </c>
      <c r="J29">
        <v>1</v>
      </c>
    </row>
    <row r="30" spans="1:10" x14ac:dyDescent="0.35">
      <c r="A30" s="21" t="s">
        <v>473</v>
      </c>
      <c r="B30">
        <v>775</v>
      </c>
      <c r="C30" s="1">
        <v>45933</v>
      </c>
      <c r="D30">
        <v>17421</v>
      </c>
      <c r="E30">
        <v>43156</v>
      </c>
      <c r="F30" s="1">
        <v>45933</v>
      </c>
      <c r="G30" s="21" t="s">
        <v>17</v>
      </c>
      <c r="H30" s="21" t="s">
        <v>13</v>
      </c>
      <c r="I30" s="21" t="s">
        <v>18</v>
      </c>
      <c r="J30">
        <v>10</v>
      </c>
    </row>
    <row r="31" spans="1:10" x14ac:dyDescent="0.35">
      <c r="A31" s="21" t="s">
        <v>370</v>
      </c>
      <c r="B31">
        <v>775</v>
      </c>
      <c r="C31" s="1">
        <v>45869</v>
      </c>
      <c r="D31">
        <v>16458</v>
      </c>
      <c r="E31">
        <v>40632</v>
      </c>
      <c r="F31" s="1">
        <v>41452</v>
      </c>
      <c r="G31" s="21" t="s">
        <v>0</v>
      </c>
      <c r="H31" s="21" t="s">
        <v>13</v>
      </c>
      <c r="I31" s="21" t="s">
        <v>18</v>
      </c>
      <c r="J31">
        <v>7</v>
      </c>
    </row>
    <row r="32" spans="1:10" x14ac:dyDescent="0.35">
      <c r="A32" s="21" t="s">
        <v>99</v>
      </c>
      <c r="B32">
        <v>775</v>
      </c>
      <c r="C32" s="1">
        <v>45669</v>
      </c>
      <c r="D32">
        <v>13977</v>
      </c>
      <c r="E32">
        <v>35369</v>
      </c>
      <c r="F32" s="1">
        <v>45669</v>
      </c>
      <c r="G32" s="21" t="s">
        <v>17</v>
      </c>
      <c r="H32" s="21" t="s">
        <v>17</v>
      </c>
      <c r="I32" s="21" t="s">
        <v>18</v>
      </c>
      <c r="J32">
        <v>1</v>
      </c>
    </row>
    <row r="33" spans="1:10" x14ac:dyDescent="0.35">
      <c r="A33" s="21" t="s">
        <v>232</v>
      </c>
      <c r="B33">
        <v>775</v>
      </c>
      <c r="C33" s="1">
        <v>45761</v>
      </c>
      <c r="D33">
        <v>15259</v>
      </c>
      <c r="E33">
        <v>37948</v>
      </c>
      <c r="F33" s="1">
        <v>45761</v>
      </c>
      <c r="G33" s="21" t="s">
        <v>17</v>
      </c>
      <c r="H33" s="21" t="s">
        <v>13</v>
      </c>
      <c r="I33" s="21" t="s">
        <v>18</v>
      </c>
      <c r="J33">
        <v>4</v>
      </c>
    </row>
    <row r="34" spans="1:10" x14ac:dyDescent="0.35">
      <c r="A34" s="21" t="s">
        <v>425</v>
      </c>
      <c r="B34">
        <v>775</v>
      </c>
      <c r="C34" s="1">
        <v>45870</v>
      </c>
      <c r="D34">
        <v>16471</v>
      </c>
      <c r="E34">
        <v>40655</v>
      </c>
      <c r="F34" s="1">
        <v>43711</v>
      </c>
      <c r="G34" s="21" t="s">
        <v>17</v>
      </c>
      <c r="H34" s="21" t="s">
        <v>17</v>
      </c>
      <c r="I34" s="21" t="s">
        <v>18</v>
      </c>
      <c r="J34">
        <v>8</v>
      </c>
    </row>
    <row r="35" spans="1:10" x14ac:dyDescent="0.35">
      <c r="A35" s="21" t="s">
        <v>476</v>
      </c>
      <c r="B35">
        <v>775</v>
      </c>
      <c r="C35" s="1">
        <v>45946</v>
      </c>
      <c r="D35">
        <v>17515</v>
      </c>
      <c r="E35">
        <v>43252</v>
      </c>
      <c r="F35" s="1">
        <v>44816</v>
      </c>
      <c r="G35" s="21" t="s">
        <v>17</v>
      </c>
      <c r="H35" s="21" t="s">
        <v>17</v>
      </c>
      <c r="I35" s="21" t="s">
        <v>18</v>
      </c>
      <c r="J35">
        <v>10</v>
      </c>
    </row>
    <row r="36" spans="1:10" x14ac:dyDescent="0.35">
      <c r="A36" s="21" t="s">
        <v>233</v>
      </c>
      <c r="B36">
        <v>775</v>
      </c>
      <c r="C36" s="1">
        <v>45803</v>
      </c>
      <c r="D36">
        <v>15729</v>
      </c>
      <c r="E36">
        <v>39258</v>
      </c>
      <c r="F36" s="1">
        <v>45803</v>
      </c>
      <c r="G36" s="21" t="s">
        <v>17</v>
      </c>
      <c r="H36" s="21" t="s">
        <v>17</v>
      </c>
      <c r="I36" s="21" t="s">
        <v>18</v>
      </c>
      <c r="J36">
        <v>5</v>
      </c>
    </row>
    <row r="37" spans="1:10" x14ac:dyDescent="0.35">
      <c r="A37" s="21" t="s">
        <v>169</v>
      </c>
      <c r="B37">
        <v>775</v>
      </c>
      <c r="C37" s="1">
        <v>45736</v>
      </c>
      <c r="D37">
        <v>14898</v>
      </c>
      <c r="E37">
        <v>36861</v>
      </c>
      <c r="F37" s="1">
        <v>45035</v>
      </c>
      <c r="G37" s="21" t="s">
        <v>17</v>
      </c>
      <c r="H37" s="21" t="s">
        <v>17</v>
      </c>
      <c r="I37" s="21" t="s">
        <v>18</v>
      </c>
      <c r="J37">
        <v>3</v>
      </c>
    </row>
    <row r="38" spans="1:10" x14ac:dyDescent="0.35">
      <c r="A38" s="21" t="s">
        <v>506</v>
      </c>
      <c r="B38">
        <v>100</v>
      </c>
      <c r="C38" s="1">
        <v>45982</v>
      </c>
      <c r="D38">
        <v>17801</v>
      </c>
      <c r="E38">
        <v>43565</v>
      </c>
      <c r="F38" s="1">
        <v>44582</v>
      </c>
      <c r="G38" s="21" t="s">
        <v>17</v>
      </c>
      <c r="H38" s="21" t="s">
        <v>13</v>
      </c>
      <c r="I38" s="21" t="s">
        <v>30</v>
      </c>
      <c r="J38">
        <v>11</v>
      </c>
    </row>
    <row r="39" spans="1:10" x14ac:dyDescent="0.35">
      <c r="A39" s="21" t="s">
        <v>454</v>
      </c>
      <c r="B39">
        <v>775</v>
      </c>
      <c r="C39" s="1">
        <v>45903</v>
      </c>
      <c r="D39">
        <v>17024</v>
      </c>
      <c r="E39">
        <v>42567</v>
      </c>
      <c r="F39" s="1">
        <v>45537</v>
      </c>
      <c r="G39" s="21" t="s">
        <v>17</v>
      </c>
      <c r="H39" s="21" t="s">
        <v>376</v>
      </c>
      <c r="I39" s="21" t="s">
        <v>18</v>
      </c>
      <c r="J39">
        <v>9</v>
      </c>
    </row>
    <row r="40" spans="1:10" x14ac:dyDescent="0.35">
      <c r="A40" s="21" t="s">
        <v>100</v>
      </c>
      <c r="B40">
        <v>775</v>
      </c>
      <c r="C40" s="1">
        <v>45665</v>
      </c>
      <c r="D40">
        <v>13825</v>
      </c>
      <c r="E40">
        <v>35194</v>
      </c>
      <c r="F40" s="1">
        <v>45665</v>
      </c>
      <c r="G40" s="21" t="s">
        <v>17</v>
      </c>
      <c r="H40" s="21" t="s">
        <v>17</v>
      </c>
      <c r="I40" s="21" t="s">
        <v>18</v>
      </c>
      <c r="J40">
        <v>1</v>
      </c>
    </row>
    <row r="41" spans="1:10" x14ac:dyDescent="0.35">
      <c r="A41" s="21" t="s">
        <v>101</v>
      </c>
      <c r="B41">
        <v>775</v>
      </c>
      <c r="C41" s="1">
        <v>45947</v>
      </c>
      <c r="D41">
        <v>17541</v>
      </c>
      <c r="E41">
        <v>43278</v>
      </c>
      <c r="F41" s="1">
        <v>45671</v>
      </c>
      <c r="G41" s="21" t="s">
        <v>17</v>
      </c>
      <c r="H41" s="21" t="s">
        <v>13</v>
      </c>
      <c r="I41" s="21" t="s">
        <v>18</v>
      </c>
      <c r="J41">
        <v>10</v>
      </c>
    </row>
    <row r="42" spans="1:10" x14ac:dyDescent="0.35">
      <c r="A42" s="21" t="s">
        <v>101</v>
      </c>
      <c r="B42">
        <v>775</v>
      </c>
      <c r="C42" s="1">
        <v>45671</v>
      </c>
      <c r="D42">
        <v>14069</v>
      </c>
      <c r="E42">
        <v>35508</v>
      </c>
      <c r="F42" s="1">
        <v>45671</v>
      </c>
      <c r="G42" s="21" t="s">
        <v>17</v>
      </c>
      <c r="H42" s="21" t="s">
        <v>13</v>
      </c>
      <c r="I42" s="21" t="s">
        <v>18</v>
      </c>
      <c r="J42">
        <v>1</v>
      </c>
    </row>
    <row r="43" spans="1:10" x14ac:dyDescent="0.35">
      <c r="A43" s="21" t="s">
        <v>455</v>
      </c>
      <c r="B43">
        <v>775</v>
      </c>
      <c r="C43" s="1">
        <v>45917</v>
      </c>
      <c r="D43">
        <v>17257</v>
      </c>
      <c r="E43">
        <v>42981</v>
      </c>
      <c r="F43" s="1">
        <v>45917</v>
      </c>
      <c r="G43" s="21" t="s">
        <v>17</v>
      </c>
      <c r="H43" s="21" t="s">
        <v>13</v>
      </c>
      <c r="I43" s="21" t="s">
        <v>18</v>
      </c>
      <c r="J43">
        <v>9</v>
      </c>
    </row>
    <row r="44" spans="1:10" x14ac:dyDescent="0.35">
      <c r="A44" s="21" t="s">
        <v>180</v>
      </c>
      <c r="B44">
        <v>75</v>
      </c>
      <c r="C44" s="1">
        <v>45743</v>
      </c>
      <c r="D44">
        <v>14986</v>
      </c>
      <c r="E44">
        <v>37036</v>
      </c>
      <c r="F44" s="1">
        <v>45742</v>
      </c>
      <c r="G44" s="21" t="s">
        <v>17</v>
      </c>
      <c r="H44" s="21" t="s">
        <v>13</v>
      </c>
      <c r="I44" s="21" t="s">
        <v>181</v>
      </c>
      <c r="J44">
        <v>3</v>
      </c>
    </row>
    <row r="45" spans="1:10" x14ac:dyDescent="0.35">
      <c r="A45" s="21" t="s">
        <v>335</v>
      </c>
      <c r="B45">
        <v>775</v>
      </c>
      <c r="C45" s="1">
        <v>45817</v>
      </c>
      <c r="D45">
        <v>15844</v>
      </c>
      <c r="E45">
        <v>39429</v>
      </c>
      <c r="F45" s="1">
        <v>45087</v>
      </c>
      <c r="G45" s="21" t="s">
        <v>17</v>
      </c>
      <c r="H45" s="21" t="s">
        <v>13</v>
      </c>
      <c r="I45" s="21" t="s">
        <v>18</v>
      </c>
      <c r="J45">
        <v>6</v>
      </c>
    </row>
    <row r="46" spans="1:10" x14ac:dyDescent="0.35">
      <c r="A46" s="21" t="s">
        <v>137</v>
      </c>
      <c r="B46">
        <v>775</v>
      </c>
      <c r="C46" s="1">
        <v>45714</v>
      </c>
      <c r="D46">
        <v>14601</v>
      </c>
      <c r="E46">
        <v>36283</v>
      </c>
      <c r="F46" s="1">
        <v>45156</v>
      </c>
      <c r="G46" s="21" t="s">
        <v>17</v>
      </c>
      <c r="H46" s="21" t="s">
        <v>13</v>
      </c>
      <c r="I46" s="21" t="s">
        <v>18</v>
      </c>
      <c r="J46">
        <v>2</v>
      </c>
    </row>
    <row r="47" spans="1:10" x14ac:dyDescent="0.35">
      <c r="A47" s="21" t="s">
        <v>508</v>
      </c>
      <c r="B47">
        <v>775</v>
      </c>
      <c r="C47" s="1">
        <v>45972</v>
      </c>
      <c r="D47">
        <v>17698</v>
      </c>
      <c r="E47">
        <v>43459</v>
      </c>
      <c r="F47" s="1">
        <v>45201</v>
      </c>
      <c r="G47" s="21" t="s">
        <v>0</v>
      </c>
      <c r="H47" s="21" t="s">
        <v>13</v>
      </c>
      <c r="I47" s="21" t="s">
        <v>18</v>
      </c>
      <c r="J47">
        <v>11</v>
      </c>
    </row>
    <row r="48" spans="1:10" x14ac:dyDescent="0.35">
      <c r="A48" s="21" t="s">
        <v>456</v>
      </c>
      <c r="B48">
        <v>775</v>
      </c>
      <c r="C48" s="1">
        <v>45918</v>
      </c>
      <c r="D48">
        <v>17274</v>
      </c>
      <c r="E48">
        <v>43002</v>
      </c>
      <c r="F48" s="1">
        <v>45918</v>
      </c>
      <c r="G48" s="21" t="s">
        <v>17</v>
      </c>
      <c r="H48" s="21" t="s">
        <v>13</v>
      </c>
      <c r="I48" s="21" t="s">
        <v>18</v>
      </c>
      <c r="J48">
        <v>9</v>
      </c>
    </row>
    <row r="49" spans="1:10" x14ac:dyDescent="0.35">
      <c r="A49" s="21" t="s">
        <v>104</v>
      </c>
      <c r="B49">
        <v>775</v>
      </c>
      <c r="C49" s="1">
        <v>45671</v>
      </c>
      <c r="D49">
        <v>14050</v>
      </c>
      <c r="E49">
        <v>35483</v>
      </c>
      <c r="F49" s="1">
        <v>44716</v>
      </c>
      <c r="G49" s="21" t="s">
        <v>17</v>
      </c>
      <c r="H49" s="21" t="s">
        <v>17</v>
      </c>
      <c r="I49" s="21" t="s">
        <v>18</v>
      </c>
      <c r="J49">
        <v>1</v>
      </c>
    </row>
    <row r="50" spans="1:10" x14ac:dyDescent="0.35">
      <c r="A50" s="21" t="s">
        <v>338</v>
      </c>
      <c r="B50">
        <v>775</v>
      </c>
      <c r="C50" s="1">
        <v>45830</v>
      </c>
      <c r="D50">
        <v>15962</v>
      </c>
      <c r="E50">
        <v>39638</v>
      </c>
      <c r="F50" s="1">
        <v>45830</v>
      </c>
      <c r="G50" s="21" t="s">
        <v>17</v>
      </c>
      <c r="H50" s="21" t="s">
        <v>13</v>
      </c>
      <c r="I50" s="21" t="s">
        <v>18</v>
      </c>
      <c r="J50">
        <v>6</v>
      </c>
    </row>
    <row r="51" spans="1:10" x14ac:dyDescent="0.35">
      <c r="A51" s="21" t="s">
        <v>105</v>
      </c>
      <c r="B51">
        <v>775</v>
      </c>
      <c r="C51" s="1">
        <v>45667</v>
      </c>
      <c r="D51">
        <v>13943</v>
      </c>
      <c r="E51">
        <v>35324</v>
      </c>
      <c r="F51" s="1">
        <v>44581</v>
      </c>
      <c r="G51" s="21" t="s">
        <v>17</v>
      </c>
      <c r="H51" s="21" t="s">
        <v>17</v>
      </c>
      <c r="I51" s="21" t="s">
        <v>18</v>
      </c>
      <c r="J51">
        <v>1</v>
      </c>
    </row>
    <row r="52" spans="1:10" x14ac:dyDescent="0.35">
      <c r="A52" s="21" t="s">
        <v>383</v>
      </c>
      <c r="B52">
        <v>775</v>
      </c>
      <c r="C52" s="1">
        <v>45845</v>
      </c>
      <c r="D52">
        <v>16187</v>
      </c>
      <c r="E52">
        <v>39964</v>
      </c>
      <c r="F52" s="1">
        <v>45845</v>
      </c>
      <c r="G52" s="21" t="s">
        <v>17</v>
      </c>
      <c r="H52" s="21" t="s">
        <v>17</v>
      </c>
      <c r="I52" s="21" t="s">
        <v>18</v>
      </c>
      <c r="J52">
        <v>7</v>
      </c>
    </row>
    <row r="53" spans="1:10" x14ac:dyDescent="0.35">
      <c r="A53" s="21" t="s">
        <v>185</v>
      </c>
      <c r="B53">
        <v>775</v>
      </c>
      <c r="C53" s="1">
        <v>45744</v>
      </c>
      <c r="D53">
        <v>14995</v>
      </c>
      <c r="E53">
        <v>37045</v>
      </c>
      <c r="F53" s="1">
        <v>45743</v>
      </c>
      <c r="G53" s="21" t="s">
        <v>17</v>
      </c>
      <c r="H53" s="21" t="s">
        <v>17</v>
      </c>
      <c r="I53" s="21" t="s">
        <v>18</v>
      </c>
      <c r="J53">
        <v>3</v>
      </c>
    </row>
    <row r="54" spans="1:10" x14ac:dyDescent="0.35">
      <c r="A54" s="21" t="s">
        <v>106</v>
      </c>
      <c r="B54">
        <v>775</v>
      </c>
      <c r="C54" s="1">
        <v>45665</v>
      </c>
      <c r="D54">
        <v>13824</v>
      </c>
      <c r="E54">
        <v>35193</v>
      </c>
      <c r="F54" s="1">
        <v>45665</v>
      </c>
      <c r="G54" s="21" t="s">
        <v>17</v>
      </c>
      <c r="H54" s="21" t="s">
        <v>13</v>
      </c>
      <c r="I54" s="21" t="s">
        <v>18</v>
      </c>
      <c r="J54">
        <v>1</v>
      </c>
    </row>
    <row r="55" spans="1:10" x14ac:dyDescent="0.35">
      <c r="A55" s="21" t="s">
        <v>106</v>
      </c>
      <c r="B55">
        <v>775</v>
      </c>
      <c r="C55" s="1">
        <v>45713</v>
      </c>
      <c r="D55">
        <v>14584</v>
      </c>
      <c r="E55">
        <v>36252</v>
      </c>
      <c r="F55" s="1">
        <v>45665</v>
      </c>
      <c r="G55" s="21" t="s">
        <v>17</v>
      </c>
      <c r="H55" s="21" t="s">
        <v>13</v>
      </c>
      <c r="I55" s="21" t="s">
        <v>18</v>
      </c>
      <c r="J55">
        <v>2</v>
      </c>
    </row>
    <row r="56" spans="1:10" x14ac:dyDescent="0.35">
      <c r="A56" s="21" t="s">
        <v>384</v>
      </c>
      <c r="B56">
        <v>775</v>
      </c>
      <c r="C56" s="1">
        <v>45868</v>
      </c>
      <c r="D56">
        <v>16442</v>
      </c>
      <c r="E56">
        <v>40563</v>
      </c>
      <c r="F56" s="1">
        <v>45868</v>
      </c>
      <c r="G56" s="21" t="s">
        <v>17</v>
      </c>
      <c r="H56" s="21" t="s">
        <v>13</v>
      </c>
      <c r="I56" s="21" t="s">
        <v>18</v>
      </c>
      <c r="J56">
        <v>7</v>
      </c>
    </row>
    <row r="57" spans="1:10" x14ac:dyDescent="0.35">
      <c r="A57" s="21" t="s">
        <v>270</v>
      </c>
      <c r="B57">
        <v>775</v>
      </c>
      <c r="C57" s="1">
        <v>45799</v>
      </c>
      <c r="D57">
        <v>15712</v>
      </c>
      <c r="E57">
        <v>39241</v>
      </c>
      <c r="F57" s="1">
        <v>45799</v>
      </c>
      <c r="G57" s="21" t="s">
        <v>17</v>
      </c>
      <c r="H57" s="21" t="s">
        <v>13</v>
      </c>
      <c r="I57" s="21" t="s">
        <v>18</v>
      </c>
      <c r="J57">
        <v>5</v>
      </c>
    </row>
    <row r="58" spans="1:10" x14ac:dyDescent="0.35">
      <c r="A58" s="21" t="s">
        <v>62</v>
      </c>
      <c r="B58">
        <v>775</v>
      </c>
      <c r="C58" s="1">
        <v>45664</v>
      </c>
      <c r="D58">
        <v>13794</v>
      </c>
      <c r="E58">
        <v>35152</v>
      </c>
      <c r="F58" s="1">
        <v>45664</v>
      </c>
      <c r="G58" s="21" t="s">
        <v>17</v>
      </c>
      <c r="H58" s="21" t="s">
        <v>13</v>
      </c>
      <c r="I58" s="21" t="s">
        <v>18</v>
      </c>
      <c r="J58">
        <v>1</v>
      </c>
    </row>
    <row r="59" spans="1:10" x14ac:dyDescent="0.35">
      <c r="A59" s="21" t="s">
        <v>427</v>
      </c>
      <c r="B59">
        <v>775</v>
      </c>
      <c r="C59" s="1">
        <v>45898</v>
      </c>
      <c r="D59">
        <v>16970</v>
      </c>
      <c r="E59">
        <v>42487</v>
      </c>
      <c r="F59" s="1">
        <v>45898</v>
      </c>
      <c r="G59" s="21" t="s">
        <v>17</v>
      </c>
      <c r="H59" s="21" t="s">
        <v>13</v>
      </c>
      <c r="I59" s="21" t="s">
        <v>18</v>
      </c>
      <c r="J59">
        <v>8</v>
      </c>
    </row>
    <row r="60" spans="1:10" x14ac:dyDescent="0.35">
      <c r="A60" s="21" t="s">
        <v>139</v>
      </c>
      <c r="B60">
        <v>775</v>
      </c>
      <c r="C60" s="1">
        <v>45694</v>
      </c>
      <c r="D60">
        <v>14393</v>
      </c>
      <c r="E60">
        <v>35956</v>
      </c>
      <c r="F60" s="1">
        <v>45694</v>
      </c>
      <c r="G60" s="21" t="s">
        <v>17</v>
      </c>
      <c r="H60" s="21" t="s">
        <v>13</v>
      </c>
      <c r="I60" s="21" t="s">
        <v>18</v>
      </c>
      <c r="J60">
        <v>2</v>
      </c>
    </row>
    <row r="61" spans="1:10" x14ac:dyDescent="0.35">
      <c r="A61" s="21" t="s">
        <v>186</v>
      </c>
      <c r="B61">
        <v>775</v>
      </c>
      <c r="C61" s="1">
        <v>45728</v>
      </c>
      <c r="D61">
        <v>14737</v>
      </c>
      <c r="E61">
        <v>36577</v>
      </c>
      <c r="F61" s="1">
        <v>44441</v>
      </c>
      <c r="G61" s="21" t="s">
        <v>17</v>
      </c>
      <c r="H61" s="21" t="s">
        <v>17</v>
      </c>
      <c r="I61" s="21" t="s">
        <v>18</v>
      </c>
      <c r="J61">
        <v>3</v>
      </c>
    </row>
    <row r="62" spans="1:10" x14ac:dyDescent="0.35">
      <c r="A62" s="21" t="s">
        <v>271</v>
      </c>
      <c r="B62">
        <v>775</v>
      </c>
      <c r="C62" s="1">
        <v>45782</v>
      </c>
      <c r="D62">
        <v>15515</v>
      </c>
      <c r="E62">
        <v>38843</v>
      </c>
      <c r="F62" s="1">
        <v>42501</v>
      </c>
      <c r="G62" s="21" t="s">
        <v>17</v>
      </c>
      <c r="H62" s="21" t="s">
        <v>13</v>
      </c>
      <c r="I62" s="21" t="s">
        <v>18</v>
      </c>
      <c r="J62">
        <v>5</v>
      </c>
    </row>
    <row r="63" spans="1:10" x14ac:dyDescent="0.35">
      <c r="A63" s="21" t="s">
        <v>272</v>
      </c>
      <c r="B63">
        <v>775</v>
      </c>
      <c r="C63" s="1">
        <v>45762</v>
      </c>
      <c r="D63">
        <v>15266</v>
      </c>
      <c r="E63">
        <v>37972</v>
      </c>
      <c r="F63" s="1">
        <v>45762</v>
      </c>
      <c r="G63" s="21" t="s">
        <v>17</v>
      </c>
      <c r="H63" s="21" t="s">
        <v>13</v>
      </c>
      <c r="I63" s="21" t="s">
        <v>18</v>
      </c>
      <c r="J63">
        <v>4</v>
      </c>
    </row>
    <row r="64" spans="1:10" x14ac:dyDescent="0.35">
      <c r="A64" s="21" t="s">
        <v>509</v>
      </c>
      <c r="B64">
        <v>100</v>
      </c>
      <c r="C64" s="1">
        <v>45968</v>
      </c>
      <c r="D64">
        <v>17680</v>
      </c>
      <c r="E64">
        <v>43443</v>
      </c>
      <c r="F64" s="1">
        <v>44568</v>
      </c>
      <c r="G64" s="21" t="s">
        <v>17</v>
      </c>
      <c r="H64" s="21" t="s">
        <v>13</v>
      </c>
      <c r="I64" s="21" t="s">
        <v>30</v>
      </c>
      <c r="J64">
        <v>11</v>
      </c>
    </row>
    <row r="65" spans="1:10" x14ac:dyDescent="0.35">
      <c r="A65" s="21" t="s">
        <v>140</v>
      </c>
      <c r="B65">
        <v>775</v>
      </c>
      <c r="C65" s="1">
        <v>45712</v>
      </c>
      <c r="D65">
        <v>14556</v>
      </c>
      <c r="E65">
        <v>36197</v>
      </c>
      <c r="F65" s="1">
        <v>43523</v>
      </c>
      <c r="G65" s="21" t="s">
        <v>17</v>
      </c>
      <c r="H65" s="21" t="s">
        <v>13</v>
      </c>
      <c r="I65" s="21" t="s">
        <v>18</v>
      </c>
      <c r="J65">
        <v>2</v>
      </c>
    </row>
    <row r="66" spans="1:10" x14ac:dyDescent="0.35">
      <c r="A66" s="21" t="s">
        <v>187</v>
      </c>
      <c r="B66">
        <v>775</v>
      </c>
      <c r="C66" s="1">
        <v>45737</v>
      </c>
      <c r="D66">
        <v>14917</v>
      </c>
      <c r="E66">
        <v>36890</v>
      </c>
      <c r="F66" s="1">
        <v>45253</v>
      </c>
      <c r="G66" s="21" t="s">
        <v>17</v>
      </c>
      <c r="H66" s="21" t="s">
        <v>17</v>
      </c>
      <c r="I66" s="21" t="s">
        <v>18</v>
      </c>
      <c r="J66">
        <v>3</v>
      </c>
    </row>
    <row r="67" spans="1:10" x14ac:dyDescent="0.35">
      <c r="A67" s="21" t="s">
        <v>428</v>
      </c>
      <c r="B67">
        <v>775</v>
      </c>
      <c r="C67" s="1">
        <v>45875</v>
      </c>
      <c r="D67">
        <v>16526</v>
      </c>
      <c r="E67">
        <v>41014</v>
      </c>
      <c r="F67" s="1">
        <v>45527</v>
      </c>
      <c r="G67" s="21" t="s">
        <v>17</v>
      </c>
      <c r="H67" s="21" t="s">
        <v>17</v>
      </c>
      <c r="I67" s="21" t="s">
        <v>18</v>
      </c>
      <c r="J67">
        <v>8</v>
      </c>
    </row>
    <row r="68" spans="1:10" x14ac:dyDescent="0.35">
      <c r="A68" s="21" t="s">
        <v>188</v>
      </c>
      <c r="B68">
        <v>100</v>
      </c>
      <c r="C68" s="1">
        <v>45742</v>
      </c>
      <c r="D68">
        <v>14971</v>
      </c>
      <c r="E68">
        <v>36986</v>
      </c>
      <c r="F68" s="1">
        <v>35292</v>
      </c>
      <c r="G68" s="21" t="s">
        <v>17</v>
      </c>
      <c r="H68" s="21" t="s">
        <v>13</v>
      </c>
      <c r="I68" s="21" t="s">
        <v>30</v>
      </c>
      <c r="J68">
        <v>3</v>
      </c>
    </row>
    <row r="69" spans="1:10" x14ac:dyDescent="0.35">
      <c r="A69" s="21" t="s">
        <v>385</v>
      </c>
      <c r="B69">
        <v>775</v>
      </c>
      <c r="C69" s="1">
        <v>45855</v>
      </c>
      <c r="D69">
        <v>16287</v>
      </c>
      <c r="E69">
        <v>40201</v>
      </c>
      <c r="F69" s="1">
        <v>45530</v>
      </c>
      <c r="G69" s="21" t="s">
        <v>17</v>
      </c>
      <c r="H69" s="21" t="s">
        <v>17</v>
      </c>
      <c r="I69" s="21" t="s">
        <v>18</v>
      </c>
      <c r="J69">
        <v>7</v>
      </c>
    </row>
    <row r="70" spans="1:10" x14ac:dyDescent="0.35">
      <c r="A70" s="21" t="s">
        <v>107</v>
      </c>
      <c r="B70">
        <v>775</v>
      </c>
      <c r="C70" s="1">
        <v>45681</v>
      </c>
      <c r="D70">
        <v>14224</v>
      </c>
      <c r="E70">
        <v>35734</v>
      </c>
      <c r="F70" s="1">
        <v>45681</v>
      </c>
      <c r="G70" s="21" t="s">
        <v>17</v>
      </c>
      <c r="H70" s="21" t="s">
        <v>13</v>
      </c>
      <c r="I70" s="21" t="s">
        <v>18</v>
      </c>
      <c r="J70">
        <v>1</v>
      </c>
    </row>
    <row r="71" spans="1:10" x14ac:dyDescent="0.35">
      <c r="A71" s="21" t="s">
        <v>189</v>
      </c>
      <c r="B71">
        <v>775</v>
      </c>
      <c r="C71" s="1">
        <v>45723</v>
      </c>
      <c r="D71">
        <v>14688</v>
      </c>
      <c r="E71">
        <v>36501</v>
      </c>
      <c r="F71" s="1">
        <v>45383</v>
      </c>
      <c r="G71" s="21" t="s">
        <v>17</v>
      </c>
      <c r="H71" s="21" t="s">
        <v>17</v>
      </c>
      <c r="I71" s="21" t="s">
        <v>18</v>
      </c>
      <c r="J71">
        <v>3</v>
      </c>
    </row>
    <row r="72" spans="1:10" x14ac:dyDescent="0.35">
      <c r="A72" s="21" t="s">
        <v>340</v>
      </c>
      <c r="B72">
        <v>775</v>
      </c>
      <c r="C72" s="1">
        <v>45811</v>
      </c>
      <c r="D72">
        <v>15788</v>
      </c>
      <c r="E72">
        <v>39355</v>
      </c>
      <c r="F72" s="1">
        <v>45448</v>
      </c>
      <c r="G72" s="21" t="s">
        <v>17</v>
      </c>
      <c r="H72" s="21" t="s">
        <v>17</v>
      </c>
      <c r="I72" s="21" t="s">
        <v>18</v>
      </c>
      <c r="J72">
        <v>6</v>
      </c>
    </row>
    <row r="73" spans="1:10" x14ac:dyDescent="0.35">
      <c r="A73" s="21" t="s">
        <v>275</v>
      </c>
      <c r="B73">
        <v>100</v>
      </c>
      <c r="C73" s="1">
        <v>45799</v>
      </c>
      <c r="D73">
        <v>15714</v>
      </c>
      <c r="E73">
        <v>39243</v>
      </c>
      <c r="F73" s="1">
        <v>45799</v>
      </c>
      <c r="G73" s="21" t="s">
        <v>17</v>
      </c>
      <c r="H73" s="21" t="s">
        <v>13</v>
      </c>
      <c r="I73" s="21" t="s">
        <v>30</v>
      </c>
      <c r="J73">
        <v>5</v>
      </c>
    </row>
    <row r="74" spans="1:10" x14ac:dyDescent="0.35">
      <c r="A74" s="21" t="s">
        <v>276</v>
      </c>
      <c r="B74">
        <v>775</v>
      </c>
      <c r="C74" s="1">
        <v>45801</v>
      </c>
      <c r="D74">
        <v>15724</v>
      </c>
      <c r="E74">
        <v>39253</v>
      </c>
      <c r="F74" s="1">
        <v>43966</v>
      </c>
      <c r="G74" s="21" t="s">
        <v>17</v>
      </c>
      <c r="H74" s="21" t="s">
        <v>13</v>
      </c>
      <c r="I74" s="21" t="s">
        <v>18</v>
      </c>
      <c r="J74">
        <v>5</v>
      </c>
    </row>
    <row r="75" spans="1:10" x14ac:dyDescent="0.35">
      <c r="A75" s="21" t="s">
        <v>341</v>
      </c>
      <c r="B75">
        <v>775</v>
      </c>
      <c r="C75" s="1">
        <v>45827</v>
      </c>
      <c r="D75">
        <v>15947</v>
      </c>
      <c r="E75">
        <v>39621</v>
      </c>
      <c r="F75" s="1">
        <v>45827</v>
      </c>
      <c r="G75" s="21" t="s">
        <v>17</v>
      </c>
      <c r="H75" s="21" t="s">
        <v>13</v>
      </c>
      <c r="I75" s="21" t="s">
        <v>18</v>
      </c>
      <c r="J75">
        <v>6</v>
      </c>
    </row>
    <row r="76" spans="1:10" x14ac:dyDescent="0.35">
      <c r="A76" s="21" t="s">
        <v>190</v>
      </c>
      <c r="B76">
        <v>775</v>
      </c>
      <c r="C76" s="1">
        <v>45741</v>
      </c>
      <c r="D76">
        <v>14948</v>
      </c>
      <c r="E76">
        <v>36939</v>
      </c>
      <c r="F76" s="1">
        <v>45741</v>
      </c>
      <c r="G76" s="21" t="s">
        <v>17</v>
      </c>
      <c r="H76" s="21" t="s">
        <v>17</v>
      </c>
      <c r="I76" s="21" t="s">
        <v>18</v>
      </c>
      <c r="J76">
        <v>3</v>
      </c>
    </row>
    <row r="77" spans="1:10" x14ac:dyDescent="0.35">
      <c r="A77" s="21" t="s">
        <v>457</v>
      </c>
      <c r="B77">
        <v>775</v>
      </c>
      <c r="C77" s="1">
        <v>45916</v>
      </c>
      <c r="D77">
        <v>17245</v>
      </c>
      <c r="E77">
        <v>42964</v>
      </c>
      <c r="F77" s="1">
        <v>44800</v>
      </c>
      <c r="G77" s="21" t="s">
        <v>17</v>
      </c>
      <c r="H77" s="21" t="s">
        <v>17</v>
      </c>
      <c r="I77" s="21" t="s">
        <v>18</v>
      </c>
      <c r="J77">
        <v>9</v>
      </c>
    </row>
    <row r="78" spans="1:10" x14ac:dyDescent="0.35">
      <c r="A78" s="21" t="s">
        <v>277</v>
      </c>
      <c r="B78">
        <v>775</v>
      </c>
      <c r="C78" s="1">
        <v>45767</v>
      </c>
      <c r="D78">
        <v>15350</v>
      </c>
      <c r="E78">
        <v>38390</v>
      </c>
      <c r="F78" s="1">
        <v>44327</v>
      </c>
      <c r="G78" s="21" t="s">
        <v>17</v>
      </c>
      <c r="H78" s="21" t="s">
        <v>17</v>
      </c>
      <c r="I78" s="21" t="s">
        <v>18</v>
      </c>
      <c r="J78">
        <v>4</v>
      </c>
    </row>
    <row r="79" spans="1:10" x14ac:dyDescent="0.35">
      <c r="A79" s="21" t="s">
        <v>481</v>
      </c>
      <c r="B79">
        <v>775</v>
      </c>
      <c r="C79" s="1">
        <v>45963</v>
      </c>
      <c r="D79">
        <v>17635</v>
      </c>
      <c r="E79">
        <v>43395</v>
      </c>
      <c r="F79" s="1">
        <v>43465</v>
      </c>
      <c r="G79" s="21" t="s">
        <v>17</v>
      </c>
      <c r="H79" s="21" t="s">
        <v>17</v>
      </c>
      <c r="I79" s="21" t="s">
        <v>18</v>
      </c>
      <c r="J79">
        <v>11</v>
      </c>
    </row>
    <row r="80" spans="1:10" x14ac:dyDescent="0.35">
      <c r="A80" s="21" t="s">
        <v>278</v>
      </c>
      <c r="B80">
        <v>775</v>
      </c>
      <c r="C80" s="1">
        <v>45804</v>
      </c>
      <c r="D80">
        <v>15733</v>
      </c>
      <c r="E80">
        <v>39262</v>
      </c>
      <c r="F80" s="1">
        <v>45804</v>
      </c>
      <c r="G80" s="21" t="s">
        <v>17</v>
      </c>
      <c r="H80" s="21" t="s">
        <v>13</v>
      </c>
      <c r="I80" s="21" t="s">
        <v>18</v>
      </c>
      <c r="J80">
        <v>5</v>
      </c>
    </row>
    <row r="81" spans="1:10" x14ac:dyDescent="0.35">
      <c r="A81" s="21" t="s">
        <v>191</v>
      </c>
      <c r="B81">
        <v>775</v>
      </c>
      <c r="C81" s="1">
        <v>45740</v>
      </c>
      <c r="D81">
        <v>14947</v>
      </c>
      <c r="E81">
        <v>36938</v>
      </c>
      <c r="F81" s="1">
        <v>45740</v>
      </c>
      <c r="G81" s="21" t="s">
        <v>17</v>
      </c>
      <c r="H81" s="21" t="s">
        <v>17</v>
      </c>
      <c r="I81" s="21" t="s">
        <v>18</v>
      </c>
      <c r="J81">
        <v>3</v>
      </c>
    </row>
    <row r="82" spans="1:10" x14ac:dyDescent="0.35">
      <c r="A82" s="21" t="s">
        <v>430</v>
      </c>
      <c r="B82">
        <v>775</v>
      </c>
      <c r="C82" s="1">
        <v>45889</v>
      </c>
      <c r="D82">
        <v>16770</v>
      </c>
      <c r="E82">
        <v>42091</v>
      </c>
      <c r="F82" s="1">
        <v>45523</v>
      </c>
      <c r="G82" s="21" t="s">
        <v>17</v>
      </c>
      <c r="H82" s="21" t="s">
        <v>17</v>
      </c>
      <c r="I82" s="21" t="s">
        <v>18</v>
      </c>
      <c r="J82">
        <v>8</v>
      </c>
    </row>
    <row r="83" spans="1:10" x14ac:dyDescent="0.35">
      <c r="A83" s="21" t="s">
        <v>431</v>
      </c>
      <c r="B83">
        <v>775</v>
      </c>
      <c r="C83" s="1">
        <v>45895</v>
      </c>
      <c r="D83">
        <v>16929</v>
      </c>
      <c r="E83">
        <v>42433</v>
      </c>
      <c r="F83" s="1">
        <v>45566</v>
      </c>
      <c r="G83" s="21" t="s">
        <v>17</v>
      </c>
      <c r="H83" s="21" t="s">
        <v>326</v>
      </c>
      <c r="I83" s="21" t="s">
        <v>18</v>
      </c>
      <c r="J83">
        <v>8</v>
      </c>
    </row>
    <row r="84" spans="1:10" x14ac:dyDescent="0.35">
      <c r="A84" s="21" t="s">
        <v>432</v>
      </c>
      <c r="B84">
        <v>775</v>
      </c>
      <c r="C84" s="1">
        <v>45874</v>
      </c>
      <c r="D84">
        <v>16513</v>
      </c>
      <c r="E84">
        <v>40931</v>
      </c>
      <c r="F84" s="1">
        <v>44784</v>
      </c>
      <c r="G84" s="21" t="s">
        <v>17</v>
      </c>
      <c r="H84" s="21" t="s">
        <v>13</v>
      </c>
      <c r="I84" s="21" t="s">
        <v>18</v>
      </c>
      <c r="J84">
        <v>8</v>
      </c>
    </row>
    <row r="85" spans="1:10" x14ac:dyDescent="0.35">
      <c r="A85" s="21" t="s">
        <v>512</v>
      </c>
      <c r="B85">
        <v>775</v>
      </c>
      <c r="C85" s="1">
        <v>45975</v>
      </c>
      <c r="D85">
        <v>17725</v>
      </c>
      <c r="E85">
        <v>43487</v>
      </c>
      <c r="F85" s="1">
        <v>45975</v>
      </c>
      <c r="G85" s="21" t="s">
        <v>17</v>
      </c>
      <c r="H85" s="21" t="s">
        <v>13</v>
      </c>
      <c r="I85" s="21" t="s">
        <v>18</v>
      </c>
      <c r="J85">
        <v>11</v>
      </c>
    </row>
    <row r="86" spans="1:10" x14ac:dyDescent="0.35">
      <c r="A86" s="21" t="s">
        <v>192</v>
      </c>
      <c r="B86">
        <v>100</v>
      </c>
      <c r="C86" s="1">
        <v>45734</v>
      </c>
      <c r="D86">
        <v>14828</v>
      </c>
      <c r="E86">
        <v>36741</v>
      </c>
      <c r="F86" s="1">
        <v>44729</v>
      </c>
      <c r="G86" s="21" t="s">
        <v>17</v>
      </c>
      <c r="H86" s="21" t="s">
        <v>13</v>
      </c>
      <c r="I86" s="21" t="s">
        <v>30</v>
      </c>
      <c r="J86">
        <v>3</v>
      </c>
    </row>
    <row r="87" spans="1:10" x14ac:dyDescent="0.35">
      <c r="A87" s="21" t="s">
        <v>146</v>
      </c>
      <c r="B87">
        <v>775</v>
      </c>
      <c r="C87" s="1">
        <v>45714</v>
      </c>
      <c r="D87">
        <v>14607</v>
      </c>
      <c r="E87">
        <v>36304</v>
      </c>
      <c r="F87" s="1">
        <v>41103</v>
      </c>
      <c r="G87" s="21" t="s">
        <v>17</v>
      </c>
      <c r="H87" s="21" t="s">
        <v>27</v>
      </c>
      <c r="I87" s="21" t="s">
        <v>18</v>
      </c>
      <c r="J87">
        <v>2</v>
      </c>
    </row>
    <row r="88" spans="1:10" x14ac:dyDescent="0.35">
      <c r="A88" s="21" t="s">
        <v>345</v>
      </c>
      <c r="B88">
        <v>775</v>
      </c>
      <c r="C88" s="1">
        <v>45817</v>
      </c>
      <c r="D88">
        <v>15840</v>
      </c>
      <c r="E88">
        <v>39417</v>
      </c>
      <c r="F88" s="1">
        <v>45090</v>
      </c>
      <c r="G88" s="21" t="s">
        <v>17</v>
      </c>
      <c r="H88" s="21" t="s">
        <v>13</v>
      </c>
      <c r="I88" s="21" t="s">
        <v>18</v>
      </c>
      <c r="J88">
        <v>6</v>
      </c>
    </row>
    <row r="89" spans="1:10" x14ac:dyDescent="0.35">
      <c r="A89" s="21" t="s">
        <v>285</v>
      </c>
      <c r="B89">
        <v>775</v>
      </c>
      <c r="C89" s="1">
        <v>45799</v>
      </c>
      <c r="D89">
        <v>15709</v>
      </c>
      <c r="E89">
        <v>39238</v>
      </c>
      <c r="F89" s="1">
        <v>45799</v>
      </c>
      <c r="G89" s="21" t="s">
        <v>17</v>
      </c>
      <c r="H89" s="21" t="s">
        <v>17</v>
      </c>
      <c r="I89" s="21" t="s">
        <v>18</v>
      </c>
      <c r="J89">
        <v>5</v>
      </c>
    </row>
    <row r="90" spans="1:10" x14ac:dyDescent="0.35">
      <c r="A90" s="21" t="s">
        <v>433</v>
      </c>
      <c r="B90">
        <v>775</v>
      </c>
      <c r="C90" s="1">
        <v>45894</v>
      </c>
      <c r="D90">
        <v>16909</v>
      </c>
      <c r="E90">
        <v>42405</v>
      </c>
      <c r="F90" s="1">
        <v>45498</v>
      </c>
      <c r="G90" s="21" t="s">
        <v>17</v>
      </c>
      <c r="H90" s="21" t="s">
        <v>17</v>
      </c>
      <c r="I90" s="21" t="s">
        <v>18</v>
      </c>
      <c r="J90">
        <v>8</v>
      </c>
    </row>
    <row r="91" spans="1:10" x14ac:dyDescent="0.35">
      <c r="A91" s="21" t="s">
        <v>286</v>
      </c>
      <c r="B91">
        <v>775</v>
      </c>
      <c r="C91" s="1">
        <v>45758</v>
      </c>
      <c r="D91">
        <v>15208</v>
      </c>
      <c r="E91">
        <v>37799</v>
      </c>
      <c r="F91" s="1">
        <v>45758</v>
      </c>
      <c r="G91" s="21" t="s">
        <v>17</v>
      </c>
      <c r="H91" s="21" t="s">
        <v>174</v>
      </c>
      <c r="I91" s="21" t="s">
        <v>18</v>
      </c>
      <c r="J91">
        <v>4</v>
      </c>
    </row>
    <row r="92" spans="1:10" x14ac:dyDescent="0.35">
      <c r="A92" s="21" t="s">
        <v>515</v>
      </c>
      <c r="B92">
        <v>775</v>
      </c>
      <c r="C92" s="1">
        <v>45982</v>
      </c>
      <c r="D92">
        <v>17810</v>
      </c>
      <c r="E92">
        <v>43575</v>
      </c>
      <c r="F92" s="1">
        <v>45982</v>
      </c>
      <c r="G92" s="21" t="s">
        <v>17</v>
      </c>
      <c r="H92" s="21" t="s">
        <v>13</v>
      </c>
      <c r="I92" s="21" t="s">
        <v>18</v>
      </c>
      <c r="J92">
        <v>11</v>
      </c>
    </row>
    <row r="93" spans="1:10" x14ac:dyDescent="0.35">
      <c r="A93" s="21" t="s">
        <v>193</v>
      </c>
      <c r="B93">
        <v>775</v>
      </c>
      <c r="C93" s="1">
        <v>45738</v>
      </c>
      <c r="D93">
        <v>14927</v>
      </c>
      <c r="E93">
        <v>36905</v>
      </c>
      <c r="F93" s="1">
        <v>45738</v>
      </c>
      <c r="G93" s="21" t="s">
        <v>17</v>
      </c>
      <c r="H93" s="21" t="s">
        <v>13</v>
      </c>
      <c r="I93" s="21" t="s">
        <v>18</v>
      </c>
      <c r="J93">
        <v>3</v>
      </c>
    </row>
    <row r="94" spans="1:10" x14ac:dyDescent="0.35">
      <c r="A94" s="21" t="s">
        <v>194</v>
      </c>
      <c r="B94">
        <v>775</v>
      </c>
      <c r="C94" s="1">
        <v>45727</v>
      </c>
      <c r="D94">
        <v>14714</v>
      </c>
      <c r="E94">
        <v>36537</v>
      </c>
      <c r="F94" s="1">
        <v>43922</v>
      </c>
      <c r="G94" s="21" t="s">
        <v>17</v>
      </c>
      <c r="H94" s="21" t="s">
        <v>13</v>
      </c>
      <c r="I94" s="21" t="s">
        <v>18</v>
      </c>
      <c r="J94">
        <v>3</v>
      </c>
    </row>
    <row r="95" spans="1:10" x14ac:dyDescent="0.35">
      <c r="A95" s="21" t="s">
        <v>292</v>
      </c>
      <c r="B95">
        <v>775</v>
      </c>
      <c r="C95" s="1">
        <v>45801</v>
      </c>
      <c r="D95">
        <v>15722</v>
      </c>
      <c r="E95">
        <v>39251</v>
      </c>
      <c r="F95" s="1">
        <v>43328</v>
      </c>
      <c r="G95" s="21" t="s">
        <v>17</v>
      </c>
      <c r="H95" s="21" t="s">
        <v>13</v>
      </c>
      <c r="I95" s="21" t="s">
        <v>18</v>
      </c>
      <c r="J95">
        <v>5</v>
      </c>
    </row>
    <row r="96" spans="1:10" x14ac:dyDescent="0.35">
      <c r="A96" s="21" t="s">
        <v>437</v>
      </c>
      <c r="B96">
        <v>775</v>
      </c>
      <c r="C96" s="1">
        <v>45890</v>
      </c>
      <c r="D96">
        <v>16809</v>
      </c>
      <c r="E96">
        <v>42188</v>
      </c>
      <c r="F96" s="1">
        <v>45890</v>
      </c>
      <c r="G96" s="21" t="s">
        <v>17</v>
      </c>
      <c r="H96" s="21" t="s">
        <v>13</v>
      </c>
      <c r="I96" s="21" t="s">
        <v>18</v>
      </c>
      <c r="J96">
        <v>8</v>
      </c>
    </row>
    <row r="97" spans="1:10" x14ac:dyDescent="0.35">
      <c r="A97" s="21" t="s">
        <v>397</v>
      </c>
      <c r="B97">
        <v>775</v>
      </c>
      <c r="C97" s="1">
        <v>45849</v>
      </c>
      <c r="D97">
        <v>16246</v>
      </c>
      <c r="E97">
        <v>40109</v>
      </c>
      <c r="F97" s="1">
        <v>39184</v>
      </c>
      <c r="G97" s="21" t="s">
        <v>17</v>
      </c>
      <c r="H97" s="21" t="s">
        <v>13</v>
      </c>
      <c r="I97" s="21" t="s">
        <v>18</v>
      </c>
      <c r="J97">
        <v>7</v>
      </c>
    </row>
    <row r="98" spans="1:10" x14ac:dyDescent="0.35">
      <c r="A98" s="21" t="s">
        <v>352</v>
      </c>
      <c r="B98">
        <v>775</v>
      </c>
      <c r="C98" s="1">
        <v>45821</v>
      </c>
      <c r="D98">
        <v>15891</v>
      </c>
      <c r="E98">
        <v>39517</v>
      </c>
      <c r="F98" s="1">
        <v>44799</v>
      </c>
      <c r="G98" s="21" t="s">
        <v>17</v>
      </c>
      <c r="H98" s="21" t="s">
        <v>17</v>
      </c>
      <c r="I98" s="21" t="s">
        <v>18</v>
      </c>
      <c r="J98">
        <v>6</v>
      </c>
    </row>
    <row r="99" spans="1:10" x14ac:dyDescent="0.35">
      <c r="A99" s="21" t="s">
        <v>197</v>
      </c>
      <c r="B99">
        <v>100</v>
      </c>
      <c r="C99" s="1">
        <v>45736</v>
      </c>
      <c r="D99">
        <v>14885</v>
      </c>
      <c r="E99">
        <v>36841</v>
      </c>
      <c r="F99" s="1">
        <v>45026</v>
      </c>
      <c r="G99" s="21" t="s">
        <v>17</v>
      </c>
      <c r="H99" s="21" t="s">
        <v>17</v>
      </c>
      <c r="I99" s="21" t="s">
        <v>30</v>
      </c>
      <c r="J99">
        <v>3</v>
      </c>
    </row>
    <row r="100" spans="1:10" x14ac:dyDescent="0.35">
      <c r="A100" s="21" t="s">
        <v>485</v>
      </c>
      <c r="B100">
        <v>775</v>
      </c>
      <c r="C100" s="1">
        <v>45931</v>
      </c>
      <c r="D100">
        <v>17412</v>
      </c>
      <c r="E100">
        <v>43147</v>
      </c>
      <c r="F100" s="1">
        <v>45931</v>
      </c>
      <c r="G100" s="21" t="s">
        <v>17</v>
      </c>
      <c r="H100" s="21" t="s">
        <v>13</v>
      </c>
      <c r="I100" s="21" t="s">
        <v>18</v>
      </c>
      <c r="J100">
        <v>10</v>
      </c>
    </row>
    <row r="101" spans="1:10" x14ac:dyDescent="0.35">
      <c r="A101" s="21" t="s">
        <v>459</v>
      </c>
      <c r="B101">
        <v>775</v>
      </c>
      <c r="C101" s="1">
        <v>45917</v>
      </c>
      <c r="D101">
        <v>17252</v>
      </c>
      <c r="E101">
        <v>42974</v>
      </c>
      <c r="F101" s="1">
        <v>44824</v>
      </c>
      <c r="G101" s="21" t="s">
        <v>17</v>
      </c>
      <c r="H101" s="21" t="s">
        <v>13</v>
      </c>
      <c r="I101" s="21" t="s">
        <v>18</v>
      </c>
      <c r="J101">
        <v>9</v>
      </c>
    </row>
    <row r="102" spans="1:10" x14ac:dyDescent="0.35">
      <c r="A102" s="21" t="s">
        <v>353</v>
      </c>
      <c r="B102">
        <v>775</v>
      </c>
      <c r="C102" s="1">
        <v>45833</v>
      </c>
      <c r="D102">
        <v>15994</v>
      </c>
      <c r="E102">
        <v>39699</v>
      </c>
      <c r="F102" s="1">
        <v>45833</v>
      </c>
      <c r="G102" s="21" t="s">
        <v>17</v>
      </c>
      <c r="H102" s="21" t="s">
        <v>13</v>
      </c>
      <c r="I102" s="21" t="s">
        <v>18</v>
      </c>
      <c r="J102">
        <v>6</v>
      </c>
    </row>
    <row r="103" spans="1:10" x14ac:dyDescent="0.35">
      <c r="A103" s="21" t="s">
        <v>460</v>
      </c>
      <c r="B103">
        <v>775</v>
      </c>
      <c r="C103" s="1">
        <v>45923</v>
      </c>
      <c r="D103">
        <v>17307</v>
      </c>
      <c r="E103">
        <v>43033</v>
      </c>
      <c r="F103" s="1">
        <v>44490</v>
      </c>
      <c r="G103" s="21" t="s">
        <v>17</v>
      </c>
      <c r="H103" s="21" t="s">
        <v>17</v>
      </c>
      <c r="I103" s="21" t="s">
        <v>18</v>
      </c>
      <c r="J103">
        <v>9</v>
      </c>
    </row>
    <row r="104" spans="1:10" x14ac:dyDescent="0.35">
      <c r="A104" s="21" t="s">
        <v>200</v>
      </c>
      <c r="B104">
        <v>775</v>
      </c>
      <c r="C104" s="1">
        <v>45748</v>
      </c>
      <c r="D104">
        <v>15062</v>
      </c>
      <c r="E104">
        <v>37185</v>
      </c>
      <c r="F104" s="1">
        <v>44797</v>
      </c>
      <c r="G104" s="21" t="s">
        <v>17</v>
      </c>
      <c r="H104" s="21" t="s">
        <v>17</v>
      </c>
      <c r="I104" s="21" t="s">
        <v>18</v>
      </c>
      <c r="J104">
        <v>4</v>
      </c>
    </row>
    <row r="105" spans="1:10" x14ac:dyDescent="0.35">
      <c r="A105" s="21" t="s">
        <v>113</v>
      </c>
      <c r="B105">
        <v>775</v>
      </c>
      <c r="C105" s="1">
        <v>45681</v>
      </c>
      <c r="D105">
        <v>14220</v>
      </c>
      <c r="E105">
        <v>35730</v>
      </c>
      <c r="F105" s="1">
        <v>45681</v>
      </c>
      <c r="G105" s="21" t="s">
        <v>17</v>
      </c>
      <c r="H105" s="21" t="s">
        <v>17</v>
      </c>
      <c r="I105" s="21" t="s">
        <v>18</v>
      </c>
      <c r="J105">
        <v>1</v>
      </c>
    </row>
    <row r="106" spans="1:10" x14ac:dyDescent="0.35">
      <c r="A106" s="21" t="s">
        <v>439</v>
      </c>
      <c r="B106">
        <v>775</v>
      </c>
      <c r="C106" s="1">
        <v>45888</v>
      </c>
      <c r="D106">
        <v>16731</v>
      </c>
      <c r="E106">
        <v>41992</v>
      </c>
      <c r="F106" s="1">
        <v>45523</v>
      </c>
      <c r="G106" s="21" t="s">
        <v>17</v>
      </c>
      <c r="H106" s="21" t="s">
        <v>13</v>
      </c>
      <c r="I106" s="21" t="s">
        <v>18</v>
      </c>
      <c r="J106">
        <v>8</v>
      </c>
    </row>
    <row r="107" spans="1:10" x14ac:dyDescent="0.35">
      <c r="A107" s="21" t="s">
        <v>202</v>
      </c>
      <c r="B107">
        <v>775</v>
      </c>
      <c r="C107" s="1">
        <v>45726</v>
      </c>
      <c r="D107">
        <v>14708</v>
      </c>
      <c r="E107">
        <v>36531</v>
      </c>
      <c r="F107" s="1">
        <v>45359</v>
      </c>
      <c r="G107" s="21" t="s">
        <v>17</v>
      </c>
      <c r="H107" s="21" t="s">
        <v>13</v>
      </c>
      <c r="I107" s="21" t="s">
        <v>18</v>
      </c>
      <c r="J107">
        <v>3</v>
      </c>
    </row>
    <row r="108" spans="1:10" x14ac:dyDescent="0.35">
      <c r="A108" s="21" t="s">
        <v>462</v>
      </c>
      <c r="B108">
        <v>775</v>
      </c>
      <c r="C108" s="1">
        <v>45908</v>
      </c>
      <c r="D108">
        <v>17120</v>
      </c>
      <c r="E108">
        <v>42770</v>
      </c>
      <c r="F108" s="1">
        <v>45908</v>
      </c>
      <c r="G108" s="21" t="s">
        <v>17</v>
      </c>
      <c r="H108" s="21" t="s">
        <v>13</v>
      </c>
      <c r="I108" s="21" t="s">
        <v>18</v>
      </c>
      <c r="J108">
        <v>9</v>
      </c>
    </row>
    <row r="109" spans="1:10" x14ac:dyDescent="0.35">
      <c r="A109" s="21" t="s">
        <v>522</v>
      </c>
      <c r="B109">
        <v>775</v>
      </c>
      <c r="C109" s="1">
        <v>45965</v>
      </c>
      <c r="D109">
        <v>17652</v>
      </c>
      <c r="E109">
        <v>43413</v>
      </c>
      <c r="F109" s="1">
        <v>45965</v>
      </c>
      <c r="G109" s="21" t="s">
        <v>17</v>
      </c>
      <c r="H109" s="21" t="s">
        <v>13</v>
      </c>
      <c r="I109" s="21" t="s">
        <v>18</v>
      </c>
      <c r="J109">
        <v>11</v>
      </c>
    </row>
    <row r="110" spans="1:10" x14ac:dyDescent="0.35">
      <c r="A110" s="21" t="s">
        <v>401</v>
      </c>
      <c r="B110">
        <v>775</v>
      </c>
      <c r="C110" s="1">
        <v>45853</v>
      </c>
      <c r="D110">
        <v>16265</v>
      </c>
      <c r="E110">
        <v>40149</v>
      </c>
      <c r="F110" s="1">
        <v>45852</v>
      </c>
      <c r="G110" s="21" t="s">
        <v>17</v>
      </c>
      <c r="H110" s="21" t="s">
        <v>17</v>
      </c>
      <c r="I110" s="21" t="s">
        <v>18</v>
      </c>
      <c r="J110">
        <v>7</v>
      </c>
    </row>
    <row r="111" spans="1:10" x14ac:dyDescent="0.35">
      <c r="A111" s="21" t="s">
        <v>204</v>
      </c>
      <c r="B111">
        <v>775</v>
      </c>
      <c r="C111" s="1">
        <v>45741</v>
      </c>
      <c r="D111">
        <v>14958</v>
      </c>
      <c r="E111">
        <v>36949</v>
      </c>
      <c r="F111" s="1">
        <v>45426</v>
      </c>
      <c r="G111" s="21" t="s">
        <v>17</v>
      </c>
      <c r="H111" s="21" t="s">
        <v>17</v>
      </c>
      <c r="I111" s="21" t="s">
        <v>18</v>
      </c>
      <c r="J111">
        <v>3</v>
      </c>
    </row>
    <row r="112" spans="1:10" x14ac:dyDescent="0.35">
      <c r="A112" s="21" t="s">
        <v>16</v>
      </c>
      <c r="B112">
        <v>775</v>
      </c>
      <c r="C112" s="1">
        <v>45673</v>
      </c>
      <c r="D112">
        <v>14109</v>
      </c>
      <c r="E112">
        <v>35562</v>
      </c>
      <c r="F112" s="1">
        <v>44870</v>
      </c>
      <c r="G112" s="21" t="s">
        <v>17</v>
      </c>
      <c r="H112" s="21" t="s">
        <v>13</v>
      </c>
      <c r="I112" s="21" t="s">
        <v>18</v>
      </c>
      <c r="J112">
        <v>1</v>
      </c>
    </row>
    <row r="113" spans="1:10" x14ac:dyDescent="0.35">
      <c r="A113" s="21" t="s">
        <v>16</v>
      </c>
      <c r="B113">
        <v>775</v>
      </c>
      <c r="C113" s="1">
        <v>45964</v>
      </c>
      <c r="D113">
        <v>17640</v>
      </c>
      <c r="E113">
        <v>43401</v>
      </c>
      <c r="F113" s="1">
        <v>44870</v>
      </c>
      <c r="G113" s="21" t="s">
        <v>17</v>
      </c>
      <c r="H113" s="21" t="s">
        <v>13</v>
      </c>
      <c r="I113" s="21" t="s">
        <v>18</v>
      </c>
      <c r="J113">
        <v>11</v>
      </c>
    </row>
    <row r="114" spans="1:10" x14ac:dyDescent="0.35">
      <c r="A114" s="21" t="s">
        <v>523</v>
      </c>
      <c r="B114">
        <v>775</v>
      </c>
      <c r="C114" s="1">
        <v>45979</v>
      </c>
      <c r="D114">
        <v>17749</v>
      </c>
      <c r="E114">
        <v>43512</v>
      </c>
      <c r="F114" s="1">
        <v>45979</v>
      </c>
      <c r="G114" s="21" t="s">
        <v>17</v>
      </c>
      <c r="H114" s="21" t="s">
        <v>13</v>
      </c>
      <c r="I114" s="21" t="s">
        <v>18</v>
      </c>
      <c r="J114">
        <v>11</v>
      </c>
    </row>
    <row r="115" spans="1:10" x14ac:dyDescent="0.35">
      <c r="A115" s="21" t="s">
        <v>208</v>
      </c>
      <c r="B115">
        <v>775</v>
      </c>
      <c r="C115" s="1">
        <v>45741</v>
      </c>
      <c r="D115">
        <v>14953</v>
      </c>
      <c r="E115">
        <v>36944</v>
      </c>
      <c r="F115" s="1">
        <v>44577</v>
      </c>
      <c r="G115" s="21" t="s">
        <v>17</v>
      </c>
      <c r="H115" s="21" t="s">
        <v>13</v>
      </c>
      <c r="I115" s="21" t="s">
        <v>18</v>
      </c>
      <c r="J115">
        <v>3</v>
      </c>
    </row>
    <row r="116" spans="1:10" x14ac:dyDescent="0.35">
      <c r="A116" s="21" t="s">
        <v>155</v>
      </c>
      <c r="B116">
        <v>775</v>
      </c>
      <c r="C116" s="1">
        <v>45704</v>
      </c>
      <c r="D116">
        <v>14471</v>
      </c>
      <c r="E116">
        <v>36076</v>
      </c>
      <c r="F116" s="1">
        <v>40179</v>
      </c>
      <c r="G116" s="21" t="s">
        <v>1</v>
      </c>
      <c r="H116" s="21" t="s">
        <v>13</v>
      </c>
      <c r="I116" s="21" t="s">
        <v>18</v>
      </c>
      <c r="J116">
        <v>2</v>
      </c>
    </row>
    <row r="117" spans="1:10" x14ac:dyDescent="0.35">
      <c r="A117" s="21" t="s">
        <v>155</v>
      </c>
      <c r="B117">
        <v>775</v>
      </c>
      <c r="C117" s="1">
        <v>45987</v>
      </c>
      <c r="D117">
        <v>17847</v>
      </c>
      <c r="E117">
        <v>43612</v>
      </c>
      <c r="F117" s="1">
        <v>40179</v>
      </c>
      <c r="G117" s="21" t="s">
        <v>1</v>
      </c>
      <c r="H117" s="21" t="s">
        <v>13</v>
      </c>
      <c r="I117" s="21" t="s">
        <v>18</v>
      </c>
      <c r="J117">
        <v>11</v>
      </c>
    </row>
    <row r="118" spans="1:10" x14ac:dyDescent="0.35">
      <c r="A118" s="21" t="s">
        <v>306</v>
      </c>
      <c r="B118">
        <v>775</v>
      </c>
      <c r="C118" s="1">
        <v>45798</v>
      </c>
      <c r="D118">
        <v>15705</v>
      </c>
      <c r="E118">
        <v>39234</v>
      </c>
      <c r="F118" s="1">
        <v>45798</v>
      </c>
      <c r="G118" s="21" t="s">
        <v>17</v>
      </c>
      <c r="H118" s="21" t="s">
        <v>13</v>
      </c>
      <c r="I118" s="21" t="s">
        <v>18</v>
      </c>
      <c r="J118">
        <v>5</v>
      </c>
    </row>
    <row r="119" spans="1:10" x14ac:dyDescent="0.35">
      <c r="A119" s="21" t="s">
        <v>311</v>
      </c>
      <c r="B119">
        <v>775</v>
      </c>
      <c r="C119" s="1">
        <v>45798</v>
      </c>
      <c r="D119">
        <v>15703</v>
      </c>
      <c r="E119">
        <v>39232</v>
      </c>
      <c r="F119" s="1">
        <v>44799</v>
      </c>
      <c r="G119" s="21" t="s">
        <v>17</v>
      </c>
      <c r="H119" s="21" t="s">
        <v>13</v>
      </c>
      <c r="I119" s="21" t="s">
        <v>18</v>
      </c>
      <c r="J119">
        <v>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F3974-A8E8-4844-A4CA-EBDCF32C2A01}">
  <dimension ref="B2:K47"/>
  <sheetViews>
    <sheetView topLeftCell="A22" workbookViewId="0">
      <selection activeCell="B23" sqref="B23"/>
    </sheetView>
  </sheetViews>
  <sheetFormatPr defaultRowHeight="14.5" x14ac:dyDescent="0.35"/>
  <cols>
    <col min="1" max="1" width="15.453125" bestFit="1" customWidth="1"/>
    <col min="2" max="2" width="17" bestFit="1" customWidth="1"/>
    <col min="3" max="3" width="19.81640625" bestFit="1" customWidth="1"/>
    <col min="4" max="6" width="8.81640625" bestFit="1" customWidth="1"/>
    <col min="7" max="7" width="24.6328125" bestFit="1" customWidth="1"/>
    <col min="8" max="8" width="12.1796875" bestFit="1" customWidth="1"/>
    <col min="9" max="9" width="9.90625" bestFit="1" customWidth="1"/>
    <col min="10" max="10" width="8.81640625" bestFit="1" customWidth="1"/>
    <col min="11" max="11" width="10.36328125" bestFit="1" customWidth="1"/>
    <col min="12" max="12" width="9.26953125" bestFit="1" customWidth="1"/>
    <col min="13" max="13" width="11.08984375" bestFit="1" customWidth="1"/>
    <col min="14" max="22" width="9.26953125" bestFit="1" customWidth="1"/>
    <col min="23" max="23" width="31" bestFit="1" customWidth="1"/>
    <col min="24" max="24" width="15.6328125" bestFit="1" customWidth="1"/>
    <col min="25" max="26" width="4.81640625" bestFit="1" customWidth="1"/>
    <col min="27" max="27" width="7.81640625" bestFit="1" customWidth="1"/>
    <col min="28" max="30" width="4.81640625" bestFit="1" customWidth="1"/>
    <col min="31" max="31" width="7.81640625" bestFit="1" customWidth="1"/>
    <col min="32" max="43" width="5.81640625" bestFit="1" customWidth="1"/>
    <col min="44" max="44" width="10.36328125" bestFit="1" customWidth="1"/>
    <col min="45" max="45" width="11" bestFit="1" customWidth="1"/>
    <col min="46" max="46" width="13.81640625" bestFit="1" customWidth="1"/>
    <col min="47" max="47" width="10" bestFit="1" customWidth="1"/>
    <col min="48" max="48" width="12.7265625" bestFit="1" customWidth="1"/>
    <col min="49" max="49" width="10" bestFit="1" customWidth="1"/>
    <col min="50" max="50" width="12.7265625" bestFit="1" customWidth="1"/>
    <col min="51" max="51" width="10" bestFit="1" customWidth="1"/>
    <col min="52" max="52" width="12.7265625" bestFit="1" customWidth="1"/>
    <col min="53" max="53" width="11" bestFit="1" customWidth="1"/>
    <col min="54" max="54" width="13.81640625" bestFit="1" customWidth="1"/>
    <col min="55" max="55" width="11" bestFit="1" customWidth="1"/>
    <col min="56" max="56" width="13.81640625" bestFit="1" customWidth="1"/>
    <col min="57" max="57" width="11" bestFit="1" customWidth="1"/>
    <col min="58" max="58" width="13.81640625" bestFit="1" customWidth="1"/>
    <col min="59" max="59" width="11" bestFit="1" customWidth="1"/>
    <col min="60" max="60" width="13.81640625" bestFit="1" customWidth="1"/>
    <col min="61" max="61" width="11" bestFit="1" customWidth="1"/>
    <col min="62" max="62" width="13.81640625" bestFit="1" customWidth="1"/>
    <col min="63" max="63" width="11" bestFit="1" customWidth="1"/>
    <col min="64" max="64" width="13.81640625" bestFit="1" customWidth="1"/>
    <col min="65" max="65" width="11" bestFit="1" customWidth="1"/>
    <col min="66" max="66" width="13.81640625" bestFit="1" customWidth="1"/>
    <col min="67" max="67" width="11" bestFit="1" customWidth="1"/>
    <col min="68" max="68" width="13.81640625" bestFit="1" customWidth="1"/>
    <col min="69" max="69" width="11" bestFit="1" customWidth="1"/>
    <col min="70" max="70" width="13.81640625" bestFit="1" customWidth="1"/>
    <col min="71" max="71" width="11" bestFit="1" customWidth="1"/>
    <col min="72" max="72" width="13.81640625" bestFit="1" customWidth="1"/>
    <col min="73" max="73" width="11" bestFit="1" customWidth="1"/>
    <col min="74" max="74" width="13.81640625" bestFit="1" customWidth="1"/>
    <col min="75" max="75" width="11" bestFit="1" customWidth="1"/>
    <col min="76" max="76" width="13.81640625" bestFit="1" customWidth="1"/>
    <col min="77" max="77" width="11" bestFit="1" customWidth="1"/>
    <col min="78" max="78" width="13.81640625" bestFit="1" customWidth="1"/>
    <col min="79" max="79" width="11" bestFit="1" customWidth="1"/>
    <col min="80" max="80" width="13.81640625" bestFit="1" customWidth="1"/>
    <col min="81" max="81" width="10" bestFit="1" customWidth="1"/>
    <col min="82" max="82" width="12.7265625" bestFit="1" customWidth="1"/>
    <col min="83" max="83" width="10" bestFit="1" customWidth="1"/>
    <col min="84" max="84" width="12.7265625" bestFit="1" customWidth="1"/>
    <col min="85" max="85" width="10" bestFit="1" customWidth="1"/>
    <col min="86" max="86" width="12.7265625" bestFit="1" customWidth="1"/>
    <col min="87" max="87" width="10" bestFit="1" customWidth="1"/>
    <col min="88" max="88" width="12.7265625" bestFit="1" customWidth="1"/>
    <col min="89" max="89" width="10" bestFit="1" customWidth="1"/>
    <col min="90" max="90" width="12.7265625" bestFit="1" customWidth="1"/>
    <col min="91" max="91" width="11" bestFit="1" customWidth="1"/>
    <col min="92" max="92" width="13.81640625" bestFit="1" customWidth="1"/>
    <col min="93" max="93" width="11" bestFit="1" customWidth="1"/>
    <col min="94" max="94" width="13.81640625" bestFit="1" customWidth="1"/>
    <col min="95" max="95" width="11" bestFit="1" customWidth="1"/>
    <col min="96" max="96" width="13.81640625" bestFit="1" customWidth="1"/>
    <col min="97" max="97" width="11" bestFit="1" customWidth="1"/>
    <col min="98" max="98" width="13.81640625" bestFit="1" customWidth="1"/>
    <col min="99" max="99" width="11" bestFit="1" customWidth="1"/>
    <col min="100" max="100" width="13.81640625" bestFit="1" customWidth="1"/>
    <col min="101" max="101" width="11" bestFit="1" customWidth="1"/>
    <col min="102" max="102" width="13.81640625" bestFit="1" customWidth="1"/>
    <col min="103" max="103" width="11" bestFit="1" customWidth="1"/>
    <col min="104" max="104" width="13.81640625" bestFit="1" customWidth="1"/>
    <col min="105" max="105" width="11" bestFit="1" customWidth="1"/>
    <col min="106" max="106" width="13.81640625" bestFit="1" customWidth="1"/>
    <col min="107" max="107" width="11" bestFit="1" customWidth="1"/>
    <col min="108" max="108" width="13.81640625" bestFit="1" customWidth="1"/>
    <col min="109" max="109" width="11" bestFit="1" customWidth="1"/>
    <col min="110" max="110" width="13.81640625" bestFit="1" customWidth="1"/>
    <col min="111" max="111" width="11" bestFit="1" customWidth="1"/>
    <col min="112" max="112" width="13.81640625" bestFit="1" customWidth="1"/>
    <col min="113" max="113" width="11" bestFit="1" customWidth="1"/>
    <col min="114" max="114" width="13.81640625" bestFit="1" customWidth="1"/>
    <col min="115" max="115" width="11" bestFit="1" customWidth="1"/>
    <col min="116" max="116" width="13.81640625" bestFit="1" customWidth="1"/>
    <col min="117" max="117" width="11" bestFit="1" customWidth="1"/>
    <col min="118" max="118" width="13.81640625" bestFit="1" customWidth="1"/>
    <col min="119" max="119" width="11" bestFit="1" customWidth="1"/>
    <col min="120" max="120" width="13.81640625" bestFit="1" customWidth="1"/>
    <col min="121" max="121" width="11" bestFit="1" customWidth="1"/>
    <col min="122" max="122" width="13.81640625" bestFit="1" customWidth="1"/>
    <col min="123" max="123" width="11" bestFit="1" customWidth="1"/>
    <col min="124" max="124" width="13.81640625" bestFit="1" customWidth="1"/>
    <col min="125" max="125" width="10.36328125" bestFit="1" customWidth="1"/>
  </cols>
  <sheetData>
    <row r="2" spans="2:11" x14ac:dyDescent="0.35">
      <c r="B2" s="2" t="s">
        <v>10</v>
      </c>
      <c r="C2" t="s">
        <v>133</v>
      </c>
    </row>
    <row r="3" spans="2:11" x14ac:dyDescent="0.35">
      <c r="G3" t="str">
        <f>"Affiliate Dues Total: "&amp;TEXT(GETPIVOTDATA("Total",$B$4),"$#,###")</f>
        <v>Affiliate Dues Total: $206,963</v>
      </c>
      <c r="H3" s="6">
        <f>GETPIVOTDATA("Total",$B$4)</f>
        <v>206962.54</v>
      </c>
      <c r="I3" t="str">
        <f>CONCATENATE("Affiliate: ",COUNTIF(B:B,"HL7*"))</f>
        <v>Affiliate: 40</v>
      </c>
    </row>
    <row r="4" spans="2:11" x14ac:dyDescent="0.35">
      <c r="B4" s="2" t="s">
        <v>65</v>
      </c>
      <c r="C4" s="2" t="s">
        <v>217</v>
      </c>
    </row>
    <row r="5" spans="2:11" x14ac:dyDescent="0.35">
      <c r="C5" t="s">
        <v>215</v>
      </c>
      <c r="D5" t="s">
        <v>216</v>
      </c>
      <c r="E5" t="s">
        <v>314</v>
      </c>
      <c r="F5" t="s">
        <v>315</v>
      </c>
      <c r="G5" t="s">
        <v>358</v>
      </c>
      <c r="H5" t="s">
        <v>405</v>
      </c>
      <c r="I5" t="s">
        <v>445</v>
      </c>
      <c r="J5" t="s">
        <v>497</v>
      </c>
      <c r="K5" t="s">
        <v>64</v>
      </c>
    </row>
    <row r="6" spans="2:11" x14ac:dyDescent="0.35">
      <c r="B6" s="2" t="s">
        <v>63</v>
      </c>
    </row>
    <row r="7" spans="2:11" x14ac:dyDescent="0.35">
      <c r="B7" s="3" t="s">
        <v>59</v>
      </c>
      <c r="C7" s="21"/>
      <c r="D7" s="21">
        <v>1000</v>
      </c>
      <c r="E7" s="21"/>
      <c r="F7" s="21"/>
      <c r="G7" s="21"/>
      <c r="H7" s="21"/>
      <c r="I7" s="21"/>
      <c r="J7" s="21"/>
      <c r="K7" s="21">
        <v>1000</v>
      </c>
    </row>
    <row r="8" spans="2:11" x14ac:dyDescent="0.35">
      <c r="B8" s="3" t="s">
        <v>171</v>
      </c>
      <c r="C8" s="21"/>
      <c r="D8" s="21">
        <v>2033</v>
      </c>
      <c r="E8" s="21"/>
      <c r="F8" s="21"/>
      <c r="G8" s="21"/>
      <c r="H8" s="21"/>
      <c r="I8" s="21"/>
      <c r="J8" s="21"/>
      <c r="K8" s="21">
        <v>2033</v>
      </c>
    </row>
    <row r="9" spans="2:11" x14ac:dyDescent="0.35">
      <c r="B9" s="3" t="s">
        <v>50</v>
      </c>
      <c r="C9" s="21"/>
      <c r="D9" s="21">
        <v>1000</v>
      </c>
      <c r="E9" s="21"/>
      <c r="F9" s="21"/>
      <c r="G9" s="21"/>
      <c r="H9" s="21"/>
      <c r="I9" s="21"/>
      <c r="J9" s="21"/>
      <c r="K9" s="21">
        <v>1000</v>
      </c>
    </row>
    <row r="10" spans="2:11" x14ac:dyDescent="0.35">
      <c r="B10" s="3" t="s">
        <v>45</v>
      </c>
      <c r="C10" s="21"/>
      <c r="D10" s="21">
        <v>1000</v>
      </c>
      <c r="E10" s="21"/>
      <c r="F10" s="21"/>
      <c r="G10" s="21"/>
      <c r="H10" s="21"/>
      <c r="I10" s="21"/>
      <c r="J10" s="21"/>
      <c r="K10" s="21">
        <v>1000</v>
      </c>
    </row>
    <row r="11" spans="2:11" x14ac:dyDescent="0.35">
      <c r="B11" s="3" t="s">
        <v>131</v>
      </c>
      <c r="C11" s="21">
        <v>1643.74</v>
      </c>
      <c r="D11" s="21"/>
      <c r="E11" s="21"/>
      <c r="F11" s="21"/>
      <c r="G11" s="21"/>
      <c r="H11" s="21"/>
      <c r="I11" s="21"/>
      <c r="J11" s="21"/>
      <c r="K11" s="21">
        <v>1643.74</v>
      </c>
    </row>
    <row r="12" spans="2:11" x14ac:dyDescent="0.35">
      <c r="B12" s="3" t="s">
        <v>55</v>
      </c>
      <c r="C12" s="21"/>
      <c r="D12" s="21">
        <v>6673</v>
      </c>
      <c r="E12" s="21"/>
      <c r="F12" s="21"/>
      <c r="G12" s="21"/>
      <c r="H12" s="21"/>
      <c r="I12" s="21"/>
      <c r="J12" s="21"/>
      <c r="K12" s="21">
        <v>6673</v>
      </c>
    </row>
    <row r="13" spans="2:11" x14ac:dyDescent="0.35">
      <c r="B13" s="3" t="s">
        <v>44</v>
      </c>
      <c r="C13" s="21"/>
      <c r="D13" s="21">
        <v>9979</v>
      </c>
      <c r="E13" s="21">
        <v>16125.73</v>
      </c>
      <c r="F13" s="21"/>
      <c r="G13" s="21"/>
      <c r="H13" s="21"/>
      <c r="I13" s="21"/>
      <c r="J13" s="21"/>
      <c r="K13" s="21">
        <v>26104.73</v>
      </c>
    </row>
    <row r="14" spans="2:11" x14ac:dyDescent="0.35">
      <c r="B14" s="3" t="s">
        <v>40</v>
      </c>
      <c r="C14" s="21"/>
      <c r="D14" s="21">
        <v>8056</v>
      </c>
      <c r="E14" s="21"/>
      <c r="F14" s="21"/>
      <c r="G14" s="21"/>
      <c r="H14" s="21"/>
      <c r="I14" s="21"/>
      <c r="J14" s="21"/>
      <c r="K14" s="21">
        <v>8056</v>
      </c>
    </row>
    <row r="15" spans="2:11" x14ac:dyDescent="0.35">
      <c r="B15" s="3" t="s">
        <v>46</v>
      </c>
      <c r="C15" s="21"/>
      <c r="D15" s="21">
        <v>1359</v>
      </c>
      <c r="E15" s="21"/>
      <c r="F15" s="21"/>
      <c r="G15" s="21"/>
      <c r="H15" s="21"/>
      <c r="I15" s="21"/>
      <c r="J15" s="21"/>
      <c r="K15" s="21">
        <v>1359</v>
      </c>
    </row>
    <row r="16" spans="2:11" x14ac:dyDescent="0.35">
      <c r="B16" s="3" t="s">
        <v>56</v>
      </c>
      <c r="C16" s="21"/>
      <c r="D16" s="21">
        <v>1000</v>
      </c>
      <c r="E16" s="21"/>
      <c r="F16" s="21"/>
      <c r="G16" s="21"/>
      <c r="H16" s="21"/>
      <c r="I16" s="21"/>
      <c r="J16" s="21"/>
      <c r="K16" s="21">
        <v>1000</v>
      </c>
    </row>
    <row r="17" spans="2:11" x14ac:dyDescent="0.35">
      <c r="B17" s="3" t="s">
        <v>60</v>
      </c>
      <c r="C17" s="21">
        <v>1000</v>
      </c>
      <c r="D17" s="21"/>
      <c r="E17" s="21"/>
      <c r="F17" s="21"/>
      <c r="G17" s="21"/>
      <c r="H17" s="21"/>
      <c r="I17" s="21"/>
      <c r="J17" s="21">
        <v>1000</v>
      </c>
      <c r="K17" s="21">
        <v>2000</v>
      </c>
    </row>
    <row r="18" spans="2:11" x14ac:dyDescent="0.35">
      <c r="B18" s="3" t="s">
        <v>52</v>
      </c>
      <c r="C18" s="21">
        <v>2160</v>
      </c>
      <c r="D18" s="21"/>
      <c r="E18" s="21"/>
      <c r="F18" s="21"/>
      <c r="G18" s="21"/>
      <c r="H18" s="21"/>
      <c r="I18" s="21"/>
      <c r="J18" s="21"/>
      <c r="K18" s="21">
        <v>2160</v>
      </c>
    </row>
    <row r="19" spans="2:11" x14ac:dyDescent="0.35">
      <c r="B19" s="3" t="s">
        <v>53</v>
      </c>
      <c r="C19" s="21"/>
      <c r="D19" s="21">
        <v>13570.6</v>
      </c>
      <c r="E19" s="21"/>
      <c r="F19" s="21"/>
      <c r="G19" s="21"/>
      <c r="H19" s="21"/>
      <c r="I19" s="21"/>
      <c r="J19" s="21"/>
      <c r="K19" s="21">
        <v>13570.6</v>
      </c>
    </row>
    <row r="20" spans="2:11" x14ac:dyDescent="0.35">
      <c r="B20" s="3" t="s">
        <v>43</v>
      </c>
      <c r="C20" s="21"/>
      <c r="D20" s="21">
        <v>1053.5</v>
      </c>
      <c r="E20" s="21"/>
      <c r="F20" s="21"/>
      <c r="G20" s="21"/>
      <c r="H20" s="21"/>
      <c r="I20" s="21"/>
      <c r="J20" s="21"/>
      <c r="K20" s="21">
        <v>1053.5</v>
      </c>
    </row>
    <row r="21" spans="2:11" x14ac:dyDescent="0.35">
      <c r="B21" s="3" t="s">
        <v>48</v>
      </c>
      <c r="C21" s="21">
        <v>9469.4599999999991</v>
      </c>
      <c r="D21" s="21"/>
      <c r="E21" s="21"/>
      <c r="F21" s="21"/>
      <c r="G21" s="21"/>
      <c r="H21" s="21"/>
      <c r="I21" s="21"/>
      <c r="J21" s="21"/>
      <c r="K21" s="21">
        <v>9469.4599999999991</v>
      </c>
    </row>
    <row r="22" spans="2:11" x14ac:dyDescent="0.35">
      <c r="B22" s="3" t="s">
        <v>236</v>
      </c>
      <c r="C22" s="21"/>
      <c r="D22" s="21">
        <v>1033</v>
      </c>
      <c r="E22" s="21"/>
      <c r="F22" s="21"/>
      <c r="G22" s="21"/>
      <c r="H22" s="21"/>
      <c r="I22" s="21"/>
      <c r="J22" s="21"/>
      <c r="K22" s="21">
        <v>1033</v>
      </c>
    </row>
    <row r="23" spans="2:11" x14ac:dyDescent="0.35">
      <c r="B23" s="3" t="s">
        <v>238</v>
      </c>
      <c r="C23" s="21"/>
      <c r="D23" s="21"/>
      <c r="E23" s="21">
        <v>10172.5</v>
      </c>
      <c r="F23" s="21"/>
      <c r="G23" s="21"/>
      <c r="H23" s="21"/>
      <c r="I23" s="21"/>
      <c r="J23" s="21"/>
      <c r="K23" s="21">
        <v>10172.5</v>
      </c>
    </row>
    <row r="24" spans="2:11" x14ac:dyDescent="0.35">
      <c r="B24" s="3" t="s">
        <v>28</v>
      </c>
      <c r="C24" s="21"/>
      <c r="D24" s="21"/>
      <c r="E24" s="21">
        <v>1000</v>
      </c>
      <c r="F24" s="21"/>
      <c r="G24" s="21"/>
      <c r="H24" s="21"/>
      <c r="I24" s="21"/>
      <c r="J24" s="21"/>
      <c r="K24" s="21">
        <v>1000</v>
      </c>
    </row>
    <row r="25" spans="2:11" x14ac:dyDescent="0.35">
      <c r="B25" s="3" t="s">
        <v>240</v>
      </c>
      <c r="C25" s="21"/>
      <c r="D25" s="21"/>
      <c r="E25" s="21">
        <v>1308</v>
      </c>
      <c r="F25" s="21"/>
      <c r="G25" s="21"/>
      <c r="H25" s="21"/>
      <c r="I25" s="21"/>
      <c r="J25" s="21"/>
      <c r="K25" s="21">
        <v>1308</v>
      </c>
    </row>
    <row r="26" spans="2:11" x14ac:dyDescent="0.35">
      <c r="B26" s="3" t="s">
        <v>242</v>
      </c>
      <c r="C26" s="21"/>
      <c r="D26" s="21"/>
      <c r="E26" s="21"/>
      <c r="F26" s="21">
        <v>2946.69</v>
      </c>
      <c r="G26" s="21"/>
      <c r="H26" s="21"/>
      <c r="I26" s="21"/>
      <c r="J26" s="21"/>
      <c r="K26" s="21">
        <v>2946.69</v>
      </c>
    </row>
    <row r="27" spans="2:11" x14ac:dyDescent="0.35">
      <c r="B27" s="3" t="s">
        <v>243</v>
      </c>
      <c r="C27" s="21"/>
      <c r="D27" s="21"/>
      <c r="E27" s="21">
        <v>12342.16</v>
      </c>
      <c r="F27" s="21"/>
      <c r="G27" s="21"/>
      <c r="H27" s="21"/>
      <c r="I27" s="21"/>
      <c r="J27" s="21"/>
      <c r="K27" s="21">
        <v>12342.16</v>
      </c>
    </row>
    <row r="28" spans="2:11" x14ac:dyDescent="0.35">
      <c r="B28" s="3" t="s">
        <v>244</v>
      </c>
      <c r="C28" s="21"/>
      <c r="D28" s="21"/>
      <c r="E28" s="21">
        <v>1242</v>
      </c>
      <c r="F28" s="21"/>
      <c r="G28" s="21"/>
      <c r="H28" s="21"/>
      <c r="I28" s="21"/>
      <c r="J28" s="21"/>
      <c r="K28" s="21">
        <v>1242</v>
      </c>
    </row>
    <row r="29" spans="2:11" x14ac:dyDescent="0.35">
      <c r="B29" s="3" t="s">
        <v>246</v>
      </c>
      <c r="C29" s="21"/>
      <c r="D29" s="21">
        <v>12767.33</v>
      </c>
      <c r="E29" s="21"/>
      <c r="F29" s="21"/>
      <c r="G29" s="21"/>
      <c r="H29" s="21"/>
      <c r="I29" s="21"/>
      <c r="J29" s="21"/>
      <c r="K29" s="21">
        <v>12767.33</v>
      </c>
    </row>
    <row r="30" spans="2:11" x14ac:dyDescent="0.35">
      <c r="B30" s="3" t="s">
        <v>248</v>
      </c>
      <c r="C30" s="21"/>
      <c r="D30" s="21"/>
      <c r="E30" s="21">
        <v>23472</v>
      </c>
      <c r="F30" s="21"/>
      <c r="G30" s="21"/>
      <c r="H30" s="21"/>
      <c r="I30" s="21"/>
      <c r="J30" s="21"/>
      <c r="K30" s="21">
        <v>23472</v>
      </c>
    </row>
    <row r="31" spans="2:11" x14ac:dyDescent="0.35">
      <c r="B31" s="3" t="s">
        <v>249</v>
      </c>
      <c r="C31" s="21"/>
      <c r="D31" s="21"/>
      <c r="E31" s="21"/>
      <c r="F31" s="21">
        <v>9553.6</v>
      </c>
      <c r="G31" s="21"/>
      <c r="H31" s="21"/>
      <c r="I31" s="21"/>
      <c r="J31" s="21"/>
      <c r="K31" s="21">
        <v>9553.6</v>
      </c>
    </row>
    <row r="32" spans="2:11" x14ac:dyDescent="0.35">
      <c r="B32" s="3" t="s">
        <v>251</v>
      </c>
      <c r="C32" s="21"/>
      <c r="D32" s="21"/>
      <c r="E32" s="21"/>
      <c r="F32" s="21">
        <v>1000</v>
      </c>
      <c r="G32" s="21"/>
      <c r="H32" s="21"/>
      <c r="I32" s="21"/>
      <c r="J32" s="21"/>
      <c r="K32" s="21">
        <v>1000</v>
      </c>
    </row>
    <row r="33" spans="2:11" x14ac:dyDescent="0.35">
      <c r="B33" s="3" t="s">
        <v>253</v>
      </c>
      <c r="C33" s="21"/>
      <c r="D33" s="21"/>
      <c r="E33" s="21">
        <v>1000</v>
      </c>
      <c r="F33" s="21"/>
      <c r="G33" s="21"/>
      <c r="H33" s="21"/>
      <c r="I33" s="21"/>
      <c r="J33" s="21"/>
      <c r="K33" s="21">
        <v>1000</v>
      </c>
    </row>
    <row r="34" spans="2:11" x14ac:dyDescent="0.35">
      <c r="B34" s="3" t="s">
        <v>255</v>
      </c>
      <c r="C34" s="21"/>
      <c r="D34" s="21"/>
      <c r="E34" s="21">
        <v>1000</v>
      </c>
      <c r="F34" s="21"/>
      <c r="G34" s="21"/>
      <c r="H34" s="21"/>
      <c r="I34" s="21"/>
      <c r="J34" s="21"/>
      <c r="K34" s="21">
        <v>1000</v>
      </c>
    </row>
    <row r="35" spans="2:11" x14ac:dyDescent="0.35">
      <c r="B35" s="3" t="s">
        <v>257</v>
      </c>
      <c r="C35" s="21"/>
      <c r="D35" s="21"/>
      <c r="E35" s="21"/>
      <c r="F35" s="21">
        <v>1000</v>
      </c>
      <c r="G35" s="21"/>
      <c r="H35" s="21"/>
      <c r="I35" s="21"/>
      <c r="J35" s="21"/>
      <c r="K35" s="21">
        <v>1000</v>
      </c>
    </row>
    <row r="36" spans="2:11" x14ac:dyDescent="0.35">
      <c r="B36" s="3" t="s">
        <v>259</v>
      </c>
      <c r="C36" s="21"/>
      <c r="D36" s="21"/>
      <c r="E36" s="21"/>
      <c r="F36" s="21">
        <v>1000</v>
      </c>
      <c r="G36" s="21"/>
      <c r="H36" s="21"/>
      <c r="I36" s="21"/>
      <c r="J36" s="21"/>
      <c r="K36" s="21">
        <v>1000</v>
      </c>
    </row>
    <row r="37" spans="2:11" x14ac:dyDescent="0.35">
      <c r="B37" s="3" t="s">
        <v>325</v>
      </c>
      <c r="C37" s="21"/>
      <c r="D37" s="21"/>
      <c r="E37" s="21"/>
      <c r="F37" s="21"/>
      <c r="G37" s="21">
        <v>1000</v>
      </c>
      <c r="H37" s="21"/>
      <c r="I37" s="21"/>
      <c r="J37" s="21"/>
      <c r="K37" s="21">
        <v>1000</v>
      </c>
    </row>
    <row r="38" spans="2:11" x14ac:dyDescent="0.35">
      <c r="B38" s="3" t="s">
        <v>327</v>
      </c>
      <c r="C38" s="21"/>
      <c r="D38" s="21"/>
      <c r="E38" s="21"/>
      <c r="F38" s="21"/>
      <c r="G38" s="21">
        <v>10383.120000000001</v>
      </c>
      <c r="H38" s="21"/>
      <c r="I38" s="21"/>
      <c r="J38" s="21"/>
      <c r="K38" s="21">
        <v>10383.120000000001</v>
      </c>
    </row>
    <row r="39" spans="2:11" x14ac:dyDescent="0.35">
      <c r="B39" s="3" t="s">
        <v>329</v>
      </c>
      <c r="C39" s="21"/>
      <c r="D39" s="21"/>
      <c r="E39" s="21"/>
      <c r="F39" s="21"/>
      <c r="G39" s="21">
        <v>2765.38</v>
      </c>
      <c r="H39" s="21"/>
      <c r="I39" s="21"/>
      <c r="J39" s="21"/>
      <c r="K39" s="21">
        <v>2765.38</v>
      </c>
    </row>
    <row r="40" spans="2:11" x14ac:dyDescent="0.35">
      <c r="B40" s="3" t="s">
        <v>331</v>
      </c>
      <c r="C40" s="21"/>
      <c r="D40" s="21"/>
      <c r="E40" s="21"/>
      <c r="F40" s="21">
        <v>3600</v>
      </c>
      <c r="G40" s="21"/>
      <c r="H40" s="21"/>
      <c r="I40" s="21"/>
      <c r="J40" s="21"/>
      <c r="K40" s="21">
        <v>3600</v>
      </c>
    </row>
    <row r="41" spans="2:11" x14ac:dyDescent="0.35">
      <c r="B41" s="3" t="s">
        <v>333</v>
      </c>
      <c r="C41" s="21"/>
      <c r="D41" s="21"/>
      <c r="E41" s="21"/>
      <c r="F41" s="21">
        <v>2536</v>
      </c>
      <c r="G41" s="21"/>
      <c r="H41" s="21"/>
      <c r="I41" s="21"/>
      <c r="J41" s="21"/>
      <c r="K41" s="21">
        <v>2536</v>
      </c>
    </row>
    <row r="42" spans="2:11" x14ac:dyDescent="0.35">
      <c r="B42" s="3" t="s">
        <v>374</v>
      </c>
      <c r="C42" s="21"/>
      <c r="D42" s="21"/>
      <c r="E42" s="21"/>
      <c r="F42" s="21"/>
      <c r="G42" s="21"/>
      <c r="H42" s="21"/>
      <c r="I42" s="21"/>
      <c r="J42" s="21">
        <v>22127.15</v>
      </c>
      <c r="K42" s="21">
        <v>22127.15</v>
      </c>
    </row>
    <row r="43" spans="2:11" x14ac:dyDescent="0.35">
      <c r="B43" s="3" t="s">
        <v>375</v>
      </c>
      <c r="C43" s="21"/>
      <c r="D43" s="21"/>
      <c r="E43" s="21"/>
      <c r="F43" s="21"/>
      <c r="G43" s="21"/>
      <c r="H43" s="21">
        <v>1000</v>
      </c>
      <c r="I43" s="21"/>
      <c r="J43" s="21">
        <v>1000</v>
      </c>
      <c r="K43" s="21">
        <v>2000</v>
      </c>
    </row>
    <row r="44" spans="2:11" x14ac:dyDescent="0.35">
      <c r="B44" s="3" t="s">
        <v>377</v>
      </c>
      <c r="C44" s="21"/>
      <c r="D44" s="21"/>
      <c r="E44" s="21"/>
      <c r="F44" s="21"/>
      <c r="G44" s="21"/>
      <c r="H44" s="21"/>
      <c r="I44" s="21">
        <v>1000</v>
      </c>
      <c r="J44" s="21"/>
      <c r="K44" s="21">
        <v>1000</v>
      </c>
    </row>
    <row r="45" spans="2:11" x14ac:dyDescent="0.35">
      <c r="B45" s="3" t="s">
        <v>379</v>
      </c>
      <c r="C45" s="21"/>
      <c r="D45" s="21"/>
      <c r="E45" s="21"/>
      <c r="F45" s="21"/>
      <c r="G45" s="21"/>
      <c r="H45" s="21">
        <v>1000</v>
      </c>
      <c r="I45" s="21"/>
      <c r="J45" s="21"/>
      <c r="K45" s="21">
        <v>1000</v>
      </c>
    </row>
    <row r="46" spans="2:11" x14ac:dyDescent="0.35">
      <c r="B46" s="3" t="s">
        <v>381</v>
      </c>
      <c r="C46" s="21"/>
      <c r="D46" s="21"/>
      <c r="E46" s="21"/>
      <c r="F46" s="21"/>
      <c r="G46" s="21"/>
      <c r="H46" s="21">
        <v>1590.58</v>
      </c>
      <c r="I46" s="21"/>
      <c r="J46" s="21"/>
      <c r="K46" s="21">
        <v>1590.58</v>
      </c>
    </row>
    <row r="47" spans="2:11" x14ac:dyDescent="0.35">
      <c r="B47" s="3" t="s">
        <v>64</v>
      </c>
      <c r="C47" s="21">
        <v>14273.199999999999</v>
      </c>
      <c r="D47" s="21">
        <v>60524.43</v>
      </c>
      <c r="E47" s="21">
        <v>67662.39</v>
      </c>
      <c r="F47" s="21">
        <v>21636.29</v>
      </c>
      <c r="G47" s="21">
        <v>14148.5</v>
      </c>
      <c r="H47" s="21">
        <v>3590.58</v>
      </c>
      <c r="I47" s="21">
        <v>1000</v>
      </c>
      <c r="J47" s="21">
        <v>24127.15</v>
      </c>
      <c r="K47" s="21">
        <v>206962.54</v>
      </c>
    </row>
  </sheetData>
  <pageMargins left="0.7" right="0.7" top="0.75" bottom="0.75" header="0.3" footer="0.3"/>
  <pageSetup orientation="portrait" horizontalDpi="1200" verticalDpi="12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FBDAF-B02C-40CF-B141-F7BABE9F7DA3}">
  <dimension ref="A1:N417"/>
  <sheetViews>
    <sheetView topLeftCell="G31" workbookViewId="0">
      <selection activeCell="I48" sqref="I48"/>
    </sheetView>
  </sheetViews>
  <sheetFormatPr defaultRowHeight="14.5" x14ac:dyDescent="0.35"/>
  <cols>
    <col min="1" max="1" width="43.26953125" bestFit="1" customWidth="1"/>
    <col min="2" max="2" width="8.81640625" bestFit="1" customWidth="1"/>
    <col min="3" max="3" width="13.08984375" bestFit="1" customWidth="1"/>
    <col min="4" max="4" width="16.7265625" bestFit="1" customWidth="1"/>
    <col min="5" max="5" width="15.7265625" bestFit="1" customWidth="1"/>
    <col min="6" max="6" width="15" bestFit="1" customWidth="1"/>
    <col min="7" max="7" width="50.26953125" bestFit="1" customWidth="1"/>
    <col min="8" max="8" width="18" bestFit="1" customWidth="1"/>
    <col min="9" max="9" width="23.1796875" bestFit="1" customWidth="1"/>
    <col min="10" max="10" width="12.90625" bestFit="1" customWidth="1"/>
    <col min="11" max="11" width="14.90625" bestFit="1" customWidth="1"/>
    <col min="12" max="12" width="20.81640625" bestFit="1" customWidth="1"/>
    <col min="13" max="13" width="12.453125" bestFit="1" customWidth="1"/>
    <col min="14" max="14" width="20.26953125" bestFit="1" customWidth="1"/>
  </cols>
  <sheetData>
    <row r="1" spans="1:14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66</v>
      </c>
    </row>
    <row r="2" spans="1:14" x14ac:dyDescent="0.35">
      <c r="A2" s="21" t="s">
        <v>451</v>
      </c>
      <c r="B2">
        <v>75</v>
      </c>
      <c r="C2" s="1">
        <v>45912</v>
      </c>
      <c r="D2">
        <v>17201</v>
      </c>
      <c r="E2">
        <v>42899</v>
      </c>
      <c r="F2" s="1">
        <v>45658</v>
      </c>
      <c r="G2" s="21" t="s">
        <v>17</v>
      </c>
      <c r="H2" s="21" t="s">
        <v>258</v>
      </c>
      <c r="I2" s="21" t="s">
        <v>181</v>
      </c>
      <c r="J2">
        <v>9</v>
      </c>
      <c r="K2" t="s">
        <v>67</v>
      </c>
    </row>
    <row r="3" spans="1:14" x14ac:dyDescent="0.35">
      <c r="A3" s="21" t="s">
        <v>180</v>
      </c>
      <c r="B3">
        <v>75</v>
      </c>
      <c r="C3" s="1">
        <v>45743</v>
      </c>
      <c r="D3">
        <v>14986</v>
      </c>
      <c r="E3">
        <v>37036</v>
      </c>
      <c r="F3" s="1">
        <v>45658</v>
      </c>
      <c r="G3" s="21" t="s">
        <v>17</v>
      </c>
      <c r="H3" s="21" t="s">
        <v>13</v>
      </c>
      <c r="I3" s="21" t="s">
        <v>181</v>
      </c>
      <c r="J3">
        <v>3</v>
      </c>
      <c r="K3" t="s">
        <v>67</v>
      </c>
    </row>
    <row r="4" spans="1:14" x14ac:dyDescent="0.35">
      <c r="A4" s="21" t="s">
        <v>90</v>
      </c>
      <c r="B4">
        <v>100</v>
      </c>
      <c r="C4" s="1">
        <v>45674</v>
      </c>
      <c r="D4">
        <v>14126</v>
      </c>
      <c r="E4">
        <v>35593</v>
      </c>
      <c r="F4" s="1">
        <v>45658</v>
      </c>
      <c r="G4" s="21" t="s">
        <v>17</v>
      </c>
      <c r="H4" s="21" t="s">
        <v>13</v>
      </c>
      <c r="I4" s="21" t="s">
        <v>30</v>
      </c>
      <c r="J4">
        <v>1</v>
      </c>
      <c r="K4" t="s">
        <v>67</v>
      </c>
    </row>
    <row r="5" spans="1:14" x14ac:dyDescent="0.35">
      <c r="A5" s="21" t="s">
        <v>126</v>
      </c>
      <c r="B5">
        <v>100</v>
      </c>
      <c r="C5" s="1">
        <v>45704</v>
      </c>
      <c r="D5">
        <v>14470</v>
      </c>
      <c r="E5">
        <v>36075</v>
      </c>
      <c r="F5" s="1">
        <v>44927</v>
      </c>
      <c r="G5" s="21" t="s">
        <v>17</v>
      </c>
      <c r="H5" s="21" t="s">
        <v>13</v>
      </c>
      <c r="I5" s="21" t="s">
        <v>30</v>
      </c>
      <c r="J5">
        <v>2</v>
      </c>
      <c r="K5" t="s">
        <v>67</v>
      </c>
    </row>
    <row r="6" spans="1:14" x14ac:dyDescent="0.35">
      <c r="A6" s="21" t="s">
        <v>506</v>
      </c>
      <c r="B6">
        <v>100</v>
      </c>
      <c r="C6" s="1">
        <v>45982</v>
      </c>
      <c r="D6">
        <v>17801</v>
      </c>
      <c r="E6">
        <v>43565</v>
      </c>
      <c r="F6" s="1">
        <v>44562</v>
      </c>
      <c r="G6" s="21" t="s">
        <v>17</v>
      </c>
      <c r="H6" s="21" t="s">
        <v>13</v>
      </c>
      <c r="I6" s="21" t="s">
        <v>30</v>
      </c>
      <c r="J6">
        <v>11</v>
      </c>
      <c r="K6" t="s">
        <v>67</v>
      </c>
      <c r="M6" s="2" t="s">
        <v>63</v>
      </c>
      <c r="N6" t="s">
        <v>72</v>
      </c>
    </row>
    <row r="7" spans="1:14" x14ac:dyDescent="0.35">
      <c r="A7" s="21" t="s">
        <v>509</v>
      </c>
      <c r="B7">
        <v>100</v>
      </c>
      <c r="C7" s="1">
        <v>45968</v>
      </c>
      <c r="D7">
        <v>17680</v>
      </c>
      <c r="E7">
        <v>43443</v>
      </c>
      <c r="F7" s="1">
        <v>44562</v>
      </c>
      <c r="G7" s="21" t="s">
        <v>17</v>
      </c>
      <c r="H7" s="21" t="s">
        <v>13</v>
      </c>
      <c r="I7" s="21" t="s">
        <v>30</v>
      </c>
      <c r="J7">
        <v>11</v>
      </c>
      <c r="K7" t="s">
        <v>67</v>
      </c>
      <c r="M7" s="3" t="s">
        <v>67</v>
      </c>
      <c r="N7">
        <v>110</v>
      </c>
    </row>
    <row r="8" spans="1:14" x14ac:dyDescent="0.35">
      <c r="A8" s="21" t="s">
        <v>188</v>
      </c>
      <c r="B8">
        <v>100</v>
      </c>
      <c r="C8" s="1">
        <v>45742</v>
      </c>
      <c r="D8">
        <v>14971</v>
      </c>
      <c r="E8">
        <v>36986</v>
      </c>
      <c r="F8" s="1">
        <v>35065</v>
      </c>
      <c r="G8" s="21" t="s">
        <v>17</v>
      </c>
      <c r="H8" s="21" t="s">
        <v>13</v>
      </c>
      <c r="I8" s="21" t="s">
        <v>30</v>
      </c>
      <c r="J8">
        <v>3</v>
      </c>
      <c r="K8" t="s">
        <v>68</v>
      </c>
      <c r="M8" s="3" t="s">
        <v>70</v>
      </c>
      <c r="N8">
        <v>54</v>
      </c>
    </row>
    <row r="9" spans="1:14" x14ac:dyDescent="0.35">
      <c r="A9" s="21" t="s">
        <v>275</v>
      </c>
      <c r="B9">
        <v>100</v>
      </c>
      <c r="C9" s="1">
        <v>45799</v>
      </c>
      <c r="D9">
        <v>15714</v>
      </c>
      <c r="E9">
        <v>39243</v>
      </c>
      <c r="F9" s="1">
        <v>45658</v>
      </c>
      <c r="G9" s="21" t="s">
        <v>17</v>
      </c>
      <c r="H9" s="21" t="s">
        <v>13</v>
      </c>
      <c r="I9" s="21" t="s">
        <v>30</v>
      </c>
      <c r="J9">
        <v>5</v>
      </c>
      <c r="K9" t="s">
        <v>67</v>
      </c>
      <c r="M9" s="3" t="s">
        <v>71</v>
      </c>
      <c r="N9">
        <v>44</v>
      </c>
    </row>
    <row r="10" spans="1:14" x14ac:dyDescent="0.35">
      <c r="A10" s="21" t="s">
        <v>192</v>
      </c>
      <c r="B10">
        <v>100</v>
      </c>
      <c r="C10" s="1">
        <v>45734</v>
      </c>
      <c r="D10">
        <v>14828</v>
      </c>
      <c r="E10">
        <v>36741</v>
      </c>
      <c r="F10" s="1">
        <v>44562</v>
      </c>
      <c r="G10" s="21" t="s">
        <v>17</v>
      </c>
      <c r="H10" s="21" t="s">
        <v>13</v>
      </c>
      <c r="I10" s="21" t="s">
        <v>30</v>
      </c>
      <c r="J10">
        <v>3</v>
      </c>
      <c r="K10" t="s">
        <v>67</v>
      </c>
      <c r="M10" s="3" t="s">
        <v>69</v>
      </c>
      <c r="N10">
        <v>30</v>
      </c>
    </row>
    <row r="11" spans="1:14" x14ac:dyDescent="0.35">
      <c r="A11" s="21" t="s">
        <v>197</v>
      </c>
      <c r="B11">
        <v>100</v>
      </c>
      <c r="C11" s="1">
        <v>45736</v>
      </c>
      <c r="D11">
        <v>14885</v>
      </c>
      <c r="E11">
        <v>36841</v>
      </c>
      <c r="F11" s="1">
        <v>44927</v>
      </c>
      <c r="G11" s="21" t="s">
        <v>17</v>
      </c>
      <c r="H11" s="21" t="s">
        <v>17</v>
      </c>
      <c r="I11" s="21" t="s">
        <v>30</v>
      </c>
      <c r="J11">
        <v>3</v>
      </c>
      <c r="K11" t="s">
        <v>67</v>
      </c>
      <c r="M11" s="3" t="s">
        <v>68</v>
      </c>
      <c r="N11">
        <v>67</v>
      </c>
    </row>
    <row r="12" spans="1:14" x14ac:dyDescent="0.35">
      <c r="A12" s="21" t="s">
        <v>57</v>
      </c>
      <c r="B12">
        <v>360</v>
      </c>
      <c r="C12" s="1">
        <v>45659</v>
      </c>
      <c r="D12">
        <v>13732</v>
      </c>
      <c r="E12">
        <v>35083</v>
      </c>
      <c r="F12" s="1">
        <v>40544</v>
      </c>
      <c r="G12" s="21" t="s">
        <v>12</v>
      </c>
      <c r="H12" s="21" t="s">
        <v>13</v>
      </c>
      <c r="I12" s="21" t="s">
        <v>14</v>
      </c>
      <c r="J12">
        <v>1</v>
      </c>
      <c r="K12" t="s">
        <v>70</v>
      </c>
      <c r="M12" s="3" t="s">
        <v>64</v>
      </c>
      <c r="N12">
        <v>305</v>
      </c>
    </row>
    <row r="13" spans="1:14" x14ac:dyDescent="0.35">
      <c r="A13" s="21" t="s">
        <v>407</v>
      </c>
      <c r="B13">
        <v>775</v>
      </c>
      <c r="C13" s="1">
        <v>45891</v>
      </c>
      <c r="D13">
        <v>16865</v>
      </c>
      <c r="E13">
        <v>42315</v>
      </c>
      <c r="F13" s="1">
        <v>45658</v>
      </c>
      <c r="G13" s="21" t="s">
        <v>17</v>
      </c>
      <c r="H13" s="21" t="s">
        <v>13</v>
      </c>
      <c r="I13" s="21" t="s">
        <v>18</v>
      </c>
      <c r="J13">
        <v>8</v>
      </c>
      <c r="K13" t="s">
        <v>67</v>
      </c>
    </row>
    <row r="14" spans="1:14" x14ac:dyDescent="0.35">
      <c r="A14" s="21" t="s">
        <v>447</v>
      </c>
      <c r="B14">
        <v>775</v>
      </c>
      <c r="C14" s="1">
        <v>45917</v>
      </c>
      <c r="D14">
        <v>17261</v>
      </c>
      <c r="E14">
        <v>42986</v>
      </c>
      <c r="F14" s="1">
        <v>45658</v>
      </c>
      <c r="G14" s="21" t="s">
        <v>17</v>
      </c>
      <c r="H14" s="21" t="s">
        <v>17</v>
      </c>
      <c r="I14" s="21" t="s">
        <v>18</v>
      </c>
      <c r="J14">
        <v>9</v>
      </c>
      <c r="K14" t="s">
        <v>67</v>
      </c>
    </row>
    <row r="15" spans="1:14" x14ac:dyDescent="0.35">
      <c r="A15" s="21" t="s">
        <v>360</v>
      </c>
      <c r="B15">
        <v>775</v>
      </c>
      <c r="C15" s="1">
        <v>45846</v>
      </c>
      <c r="D15">
        <v>16207</v>
      </c>
      <c r="E15">
        <v>40001</v>
      </c>
      <c r="F15" s="1">
        <v>45658</v>
      </c>
      <c r="G15" s="21" t="s">
        <v>17</v>
      </c>
      <c r="H15" s="21" t="s">
        <v>17</v>
      </c>
      <c r="I15" s="21" t="s">
        <v>18</v>
      </c>
      <c r="J15">
        <v>7</v>
      </c>
      <c r="K15" t="s">
        <v>67</v>
      </c>
    </row>
    <row r="16" spans="1:14" x14ac:dyDescent="0.35">
      <c r="A16" s="21" t="s">
        <v>499</v>
      </c>
      <c r="B16">
        <v>775</v>
      </c>
      <c r="C16" s="1">
        <v>45964</v>
      </c>
      <c r="D16">
        <v>17643</v>
      </c>
      <c r="E16">
        <v>43404</v>
      </c>
      <c r="F16" s="1">
        <v>45292</v>
      </c>
      <c r="G16" s="21" t="s">
        <v>17</v>
      </c>
      <c r="H16" s="21" t="s">
        <v>13</v>
      </c>
      <c r="I16" s="21" t="s">
        <v>18</v>
      </c>
      <c r="J16">
        <v>11</v>
      </c>
      <c r="K16" t="s">
        <v>67</v>
      </c>
    </row>
    <row r="17" spans="1:11" x14ac:dyDescent="0.35">
      <c r="A17" s="21" t="s">
        <v>362</v>
      </c>
      <c r="B17">
        <v>775</v>
      </c>
      <c r="C17" s="1">
        <v>45866</v>
      </c>
      <c r="D17">
        <v>16405</v>
      </c>
      <c r="E17">
        <v>40493</v>
      </c>
      <c r="F17" s="1">
        <v>44562</v>
      </c>
      <c r="G17" s="21" t="s">
        <v>17</v>
      </c>
      <c r="H17" s="21" t="s">
        <v>17</v>
      </c>
      <c r="I17" s="21" t="s">
        <v>18</v>
      </c>
      <c r="J17">
        <v>7</v>
      </c>
      <c r="K17" t="s">
        <v>67</v>
      </c>
    </row>
    <row r="18" spans="1:11" x14ac:dyDescent="0.35">
      <c r="A18" s="21" t="s">
        <v>363</v>
      </c>
      <c r="B18">
        <v>775</v>
      </c>
      <c r="C18" s="1">
        <v>45854</v>
      </c>
      <c r="D18">
        <v>16278</v>
      </c>
      <c r="E18">
        <v>40175</v>
      </c>
      <c r="F18" s="1">
        <v>45292</v>
      </c>
      <c r="G18" s="21" t="s">
        <v>17</v>
      </c>
      <c r="H18" s="21" t="s">
        <v>13</v>
      </c>
      <c r="I18" s="21" t="s">
        <v>18</v>
      </c>
      <c r="J18">
        <v>7</v>
      </c>
      <c r="K18" t="s">
        <v>67</v>
      </c>
    </row>
    <row r="19" spans="1:11" x14ac:dyDescent="0.35">
      <c r="A19" s="21" t="s">
        <v>164</v>
      </c>
      <c r="B19">
        <v>775</v>
      </c>
      <c r="C19" s="1">
        <v>45745</v>
      </c>
      <c r="D19">
        <v>15019</v>
      </c>
      <c r="E19">
        <v>37086</v>
      </c>
      <c r="F19" s="1">
        <v>44927</v>
      </c>
      <c r="G19" s="21" t="s">
        <v>17</v>
      </c>
      <c r="H19" s="21" t="s">
        <v>17</v>
      </c>
      <c r="I19" s="21" t="s">
        <v>18</v>
      </c>
      <c r="J19">
        <v>3</v>
      </c>
      <c r="K19" t="s">
        <v>67</v>
      </c>
    </row>
    <row r="20" spans="1:11" x14ac:dyDescent="0.35">
      <c r="A20" s="21" t="s">
        <v>411</v>
      </c>
      <c r="B20">
        <v>775</v>
      </c>
      <c r="C20" s="1">
        <v>45875</v>
      </c>
      <c r="D20">
        <v>16525</v>
      </c>
      <c r="E20">
        <v>41013</v>
      </c>
      <c r="F20" s="1">
        <v>45292</v>
      </c>
      <c r="G20" s="21" t="s">
        <v>17</v>
      </c>
      <c r="H20" s="21" t="s">
        <v>13</v>
      </c>
      <c r="I20" s="21" t="s">
        <v>18</v>
      </c>
      <c r="J20">
        <v>8</v>
      </c>
      <c r="K20" t="s">
        <v>67</v>
      </c>
    </row>
    <row r="21" spans="1:11" x14ac:dyDescent="0.35">
      <c r="A21" s="21" t="s">
        <v>47</v>
      </c>
      <c r="B21">
        <v>775</v>
      </c>
      <c r="C21" s="1">
        <v>45684</v>
      </c>
      <c r="D21">
        <v>14257</v>
      </c>
      <c r="E21">
        <v>35767</v>
      </c>
      <c r="F21" s="1">
        <v>45292</v>
      </c>
      <c r="G21" s="21" t="s">
        <v>17</v>
      </c>
      <c r="H21" s="21" t="s">
        <v>17</v>
      </c>
      <c r="I21" s="21" t="s">
        <v>18</v>
      </c>
      <c r="J21">
        <v>1</v>
      </c>
      <c r="K21" t="s">
        <v>67</v>
      </c>
    </row>
    <row r="22" spans="1:11" x14ac:dyDescent="0.35">
      <c r="A22" s="21" t="s">
        <v>89</v>
      </c>
      <c r="B22">
        <v>775</v>
      </c>
      <c r="C22" s="1">
        <v>45664</v>
      </c>
      <c r="D22">
        <v>13806</v>
      </c>
      <c r="E22">
        <v>35165</v>
      </c>
      <c r="F22" s="1">
        <v>44197</v>
      </c>
      <c r="G22" s="21" t="s">
        <v>17</v>
      </c>
      <c r="H22" s="21" t="s">
        <v>13</v>
      </c>
      <c r="I22" s="21" t="s">
        <v>18</v>
      </c>
      <c r="J22">
        <v>1</v>
      </c>
      <c r="K22" t="s">
        <v>71</v>
      </c>
    </row>
    <row r="23" spans="1:11" x14ac:dyDescent="0.35">
      <c r="A23" s="21" t="s">
        <v>364</v>
      </c>
      <c r="B23">
        <v>775</v>
      </c>
      <c r="C23" s="1">
        <v>45869</v>
      </c>
      <c r="D23">
        <v>16459</v>
      </c>
      <c r="E23">
        <v>40633</v>
      </c>
      <c r="F23" s="1">
        <v>44197</v>
      </c>
      <c r="G23" s="21" t="s">
        <v>17</v>
      </c>
      <c r="H23" s="21" t="s">
        <v>17</v>
      </c>
      <c r="I23" s="21" t="s">
        <v>18</v>
      </c>
      <c r="J23">
        <v>7</v>
      </c>
      <c r="K23" t="s">
        <v>71</v>
      </c>
    </row>
    <row r="24" spans="1:11" x14ac:dyDescent="0.35">
      <c r="A24" s="21" t="s">
        <v>415</v>
      </c>
      <c r="B24">
        <v>775</v>
      </c>
      <c r="C24" s="1">
        <v>45878</v>
      </c>
      <c r="D24">
        <v>16563</v>
      </c>
      <c r="E24">
        <v>41195</v>
      </c>
      <c r="F24" s="1">
        <v>45658</v>
      </c>
      <c r="G24" s="21" t="s">
        <v>17</v>
      </c>
      <c r="H24" s="21" t="s">
        <v>17</v>
      </c>
      <c r="I24" s="21" t="s">
        <v>18</v>
      </c>
      <c r="J24">
        <v>8</v>
      </c>
      <c r="K24" t="s">
        <v>67</v>
      </c>
    </row>
    <row r="25" spans="1:11" x14ac:dyDescent="0.35">
      <c r="A25" s="21" t="s">
        <v>317</v>
      </c>
      <c r="B25">
        <v>775</v>
      </c>
      <c r="C25" s="1">
        <v>45827</v>
      </c>
      <c r="D25">
        <v>15952</v>
      </c>
      <c r="E25">
        <v>39627</v>
      </c>
      <c r="F25" s="1">
        <v>44562</v>
      </c>
      <c r="G25" s="21" t="s">
        <v>17</v>
      </c>
      <c r="H25" s="21" t="s">
        <v>13</v>
      </c>
      <c r="I25" s="21" t="s">
        <v>18</v>
      </c>
      <c r="J25">
        <v>6</v>
      </c>
      <c r="K25" t="s">
        <v>67</v>
      </c>
    </row>
    <row r="26" spans="1:11" x14ac:dyDescent="0.35">
      <c r="A26" s="21" t="s">
        <v>417</v>
      </c>
      <c r="B26">
        <v>775</v>
      </c>
      <c r="C26" s="1">
        <v>45901</v>
      </c>
      <c r="D26">
        <v>16990</v>
      </c>
      <c r="E26">
        <v>42518</v>
      </c>
      <c r="F26" s="1">
        <v>44562</v>
      </c>
      <c r="G26" s="21" t="s">
        <v>17</v>
      </c>
      <c r="H26" s="21" t="s">
        <v>17</v>
      </c>
      <c r="I26" s="21" t="s">
        <v>18</v>
      </c>
      <c r="J26">
        <v>9</v>
      </c>
      <c r="K26" t="s">
        <v>67</v>
      </c>
    </row>
    <row r="27" spans="1:11" x14ac:dyDescent="0.35">
      <c r="A27" s="21" t="s">
        <v>418</v>
      </c>
      <c r="B27">
        <v>775</v>
      </c>
      <c r="C27" s="1">
        <v>45900</v>
      </c>
      <c r="D27">
        <v>16981</v>
      </c>
      <c r="E27">
        <v>42502</v>
      </c>
      <c r="F27" s="1">
        <v>45658</v>
      </c>
      <c r="G27" s="21" t="s">
        <v>17</v>
      </c>
      <c r="H27" s="21" t="s">
        <v>13</v>
      </c>
      <c r="I27" s="21" t="s">
        <v>18</v>
      </c>
      <c r="J27">
        <v>8</v>
      </c>
      <c r="K27" t="s">
        <v>67</v>
      </c>
    </row>
    <row r="28" spans="1:11" x14ac:dyDescent="0.35">
      <c r="A28" s="21" t="s">
        <v>319</v>
      </c>
      <c r="B28">
        <v>775</v>
      </c>
      <c r="C28" s="1">
        <v>45813</v>
      </c>
      <c r="D28">
        <v>15813</v>
      </c>
      <c r="E28">
        <v>39387</v>
      </c>
      <c r="F28" s="1">
        <v>40544</v>
      </c>
      <c r="G28" s="21" t="s">
        <v>1</v>
      </c>
      <c r="H28" s="21" t="s">
        <v>13</v>
      </c>
      <c r="I28" s="21" t="s">
        <v>18</v>
      </c>
      <c r="J28">
        <v>6</v>
      </c>
      <c r="K28" t="s">
        <v>70</v>
      </c>
    </row>
    <row r="29" spans="1:11" x14ac:dyDescent="0.35">
      <c r="A29" s="21" t="s">
        <v>419</v>
      </c>
      <c r="B29">
        <v>775</v>
      </c>
      <c r="C29" s="1">
        <v>45891</v>
      </c>
      <c r="D29">
        <v>16857</v>
      </c>
      <c r="E29">
        <v>42301</v>
      </c>
      <c r="F29" s="1">
        <v>45658</v>
      </c>
      <c r="G29" s="21" t="s">
        <v>17</v>
      </c>
      <c r="H29" s="21" t="s">
        <v>17</v>
      </c>
      <c r="I29" s="21" t="s">
        <v>18</v>
      </c>
      <c r="J29">
        <v>8</v>
      </c>
      <c r="K29" t="s">
        <v>67</v>
      </c>
    </row>
    <row r="30" spans="1:11" x14ac:dyDescent="0.35">
      <c r="A30" s="21" t="s">
        <v>95</v>
      </c>
      <c r="B30">
        <v>775</v>
      </c>
      <c r="C30" s="1">
        <v>45671</v>
      </c>
      <c r="D30">
        <v>14048</v>
      </c>
      <c r="E30">
        <v>35481</v>
      </c>
      <c r="F30" s="1">
        <v>45658</v>
      </c>
      <c r="G30" s="21" t="s">
        <v>17</v>
      </c>
      <c r="H30" s="21" t="s">
        <v>17</v>
      </c>
      <c r="I30" s="21" t="s">
        <v>18</v>
      </c>
      <c r="J30">
        <v>1</v>
      </c>
      <c r="K30" t="s">
        <v>67</v>
      </c>
    </row>
    <row r="31" spans="1:11" x14ac:dyDescent="0.35">
      <c r="A31" s="21" t="s">
        <v>35</v>
      </c>
      <c r="B31">
        <v>775</v>
      </c>
      <c r="C31" s="1">
        <v>45686</v>
      </c>
      <c r="D31">
        <v>14285</v>
      </c>
      <c r="E31">
        <v>35820</v>
      </c>
      <c r="F31" s="1">
        <v>45292</v>
      </c>
      <c r="G31" s="21" t="s">
        <v>17</v>
      </c>
      <c r="H31" s="21" t="s">
        <v>22</v>
      </c>
      <c r="I31" s="21" t="s">
        <v>18</v>
      </c>
      <c r="J31">
        <v>1</v>
      </c>
      <c r="K31" t="s">
        <v>67</v>
      </c>
    </row>
    <row r="32" spans="1:11" x14ac:dyDescent="0.35">
      <c r="A32" s="21" t="s">
        <v>129</v>
      </c>
      <c r="B32">
        <v>775</v>
      </c>
      <c r="C32" s="1">
        <v>45713</v>
      </c>
      <c r="D32">
        <v>14577</v>
      </c>
      <c r="E32">
        <v>36245</v>
      </c>
      <c r="F32" s="1">
        <v>45292</v>
      </c>
      <c r="G32" s="21" t="s">
        <v>17</v>
      </c>
      <c r="H32" s="21" t="s">
        <v>17</v>
      </c>
      <c r="I32" s="21" t="s">
        <v>18</v>
      </c>
      <c r="J32">
        <v>2</v>
      </c>
      <c r="K32" t="s">
        <v>67</v>
      </c>
    </row>
    <row r="33" spans="1:11" x14ac:dyDescent="0.35">
      <c r="A33" s="21" t="s">
        <v>168</v>
      </c>
      <c r="B33">
        <v>775</v>
      </c>
      <c r="C33" s="1">
        <v>45742</v>
      </c>
      <c r="D33">
        <v>14963</v>
      </c>
      <c r="E33">
        <v>36964</v>
      </c>
      <c r="F33" s="1">
        <v>44927</v>
      </c>
      <c r="G33" s="21" t="s">
        <v>0</v>
      </c>
      <c r="H33" s="21" t="s">
        <v>13</v>
      </c>
      <c r="I33" s="21" t="s">
        <v>18</v>
      </c>
      <c r="J33">
        <v>3</v>
      </c>
      <c r="K33" t="s">
        <v>67</v>
      </c>
    </row>
    <row r="34" spans="1:11" x14ac:dyDescent="0.35">
      <c r="A34" s="21" t="s">
        <v>96</v>
      </c>
      <c r="B34">
        <v>775</v>
      </c>
      <c r="C34" s="1">
        <v>45688</v>
      </c>
      <c r="D34">
        <v>14307</v>
      </c>
      <c r="E34">
        <v>35843</v>
      </c>
      <c r="F34" s="1">
        <v>45658</v>
      </c>
      <c r="G34" s="21" t="s">
        <v>17</v>
      </c>
      <c r="H34" s="21" t="s">
        <v>97</v>
      </c>
      <c r="I34" s="21" t="s">
        <v>18</v>
      </c>
      <c r="J34">
        <v>1</v>
      </c>
      <c r="K34" t="s">
        <v>67</v>
      </c>
    </row>
    <row r="35" spans="1:11" x14ac:dyDescent="0.35">
      <c r="A35" s="21" t="s">
        <v>322</v>
      </c>
      <c r="B35">
        <v>775</v>
      </c>
      <c r="C35" s="1">
        <v>45816</v>
      </c>
      <c r="D35">
        <v>15835</v>
      </c>
      <c r="E35">
        <v>39412</v>
      </c>
      <c r="F35" s="1">
        <v>44927</v>
      </c>
      <c r="G35" s="21" t="s">
        <v>17</v>
      </c>
      <c r="H35" s="21" t="s">
        <v>17</v>
      </c>
      <c r="I35" s="21" t="s">
        <v>18</v>
      </c>
      <c r="J35">
        <v>6</v>
      </c>
      <c r="K35" t="s">
        <v>67</v>
      </c>
    </row>
    <row r="36" spans="1:11" x14ac:dyDescent="0.35">
      <c r="A36" s="21" t="s">
        <v>423</v>
      </c>
      <c r="B36">
        <v>775</v>
      </c>
      <c r="C36" s="1">
        <v>45903</v>
      </c>
      <c r="D36">
        <v>17023</v>
      </c>
      <c r="E36">
        <v>42566</v>
      </c>
      <c r="F36" s="1">
        <v>43831</v>
      </c>
      <c r="G36" s="21" t="s">
        <v>17</v>
      </c>
      <c r="H36" s="21" t="s">
        <v>17</v>
      </c>
      <c r="I36" s="21" t="s">
        <v>18</v>
      </c>
      <c r="J36">
        <v>9</v>
      </c>
      <c r="K36" t="s">
        <v>71</v>
      </c>
    </row>
    <row r="37" spans="1:11" x14ac:dyDescent="0.35">
      <c r="A37" s="21" t="s">
        <v>98</v>
      </c>
      <c r="B37">
        <v>775</v>
      </c>
      <c r="C37" s="1">
        <v>45677</v>
      </c>
      <c r="D37">
        <v>14135</v>
      </c>
      <c r="E37">
        <v>35601</v>
      </c>
      <c r="F37" s="1">
        <v>45658</v>
      </c>
      <c r="G37" s="21" t="s">
        <v>17</v>
      </c>
      <c r="H37" s="21" t="s">
        <v>13</v>
      </c>
      <c r="I37" s="21" t="s">
        <v>18</v>
      </c>
      <c r="J37">
        <v>1</v>
      </c>
      <c r="K37" t="s">
        <v>67</v>
      </c>
    </row>
    <row r="38" spans="1:11" x14ac:dyDescent="0.35">
      <c r="A38" s="21" t="s">
        <v>473</v>
      </c>
      <c r="B38">
        <v>775</v>
      </c>
      <c r="C38" s="1">
        <v>45933</v>
      </c>
      <c r="D38">
        <v>17421</v>
      </c>
      <c r="E38">
        <v>43156</v>
      </c>
      <c r="F38" s="1">
        <v>45658</v>
      </c>
      <c r="G38" s="21" t="s">
        <v>17</v>
      </c>
      <c r="H38" s="21" t="s">
        <v>13</v>
      </c>
      <c r="I38" s="21" t="s">
        <v>18</v>
      </c>
      <c r="J38">
        <v>10</v>
      </c>
      <c r="K38" t="s">
        <v>67</v>
      </c>
    </row>
    <row r="39" spans="1:11" x14ac:dyDescent="0.35">
      <c r="A39" s="21" t="s">
        <v>370</v>
      </c>
      <c r="B39">
        <v>775</v>
      </c>
      <c r="C39" s="1">
        <v>45869</v>
      </c>
      <c r="D39">
        <v>16458</v>
      </c>
      <c r="E39">
        <v>40632</v>
      </c>
      <c r="F39" s="1">
        <v>41275</v>
      </c>
      <c r="G39" s="21" t="s">
        <v>0</v>
      </c>
      <c r="H39" s="21" t="s">
        <v>13</v>
      </c>
      <c r="I39" s="21" t="s">
        <v>18</v>
      </c>
      <c r="J39">
        <v>7</v>
      </c>
      <c r="K39" t="s">
        <v>69</v>
      </c>
    </row>
    <row r="40" spans="1:11" x14ac:dyDescent="0.35">
      <c r="A40" s="21" t="s">
        <v>99</v>
      </c>
      <c r="B40">
        <v>775</v>
      </c>
      <c r="C40" s="1">
        <v>45669</v>
      </c>
      <c r="D40">
        <v>13977</v>
      </c>
      <c r="E40">
        <v>35369</v>
      </c>
      <c r="F40" s="1">
        <v>45658</v>
      </c>
      <c r="G40" s="21" t="s">
        <v>17</v>
      </c>
      <c r="H40" s="21" t="s">
        <v>17</v>
      </c>
      <c r="I40" s="21" t="s">
        <v>18</v>
      </c>
      <c r="J40">
        <v>1</v>
      </c>
      <c r="K40" t="s">
        <v>67</v>
      </c>
    </row>
    <row r="41" spans="1:11" x14ac:dyDescent="0.35">
      <c r="A41" s="21" t="s">
        <v>232</v>
      </c>
      <c r="B41">
        <v>775</v>
      </c>
      <c r="C41" s="1">
        <v>45761</v>
      </c>
      <c r="D41">
        <v>15259</v>
      </c>
      <c r="E41">
        <v>37948</v>
      </c>
      <c r="F41" s="1">
        <v>45658</v>
      </c>
      <c r="G41" s="21" t="s">
        <v>17</v>
      </c>
      <c r="H41" s="21" t="s">
        <v>13</v>
      </c>
      <c r="I41" s="21" t="s">
        <v>18</v>
      </c>
      <c r="J41">
        <v>4</v>
      </c>
      <c r="K41" t="s">
        <v>67</v>
      </c>
    </row>
    <row r="42" spans="1:11" x14ac:dyDescent="0.35">
      <c r="A42" s="21" t="s">
        <v>425</v>
      </c>
      <c r="B42">
        <v>775</v>
      </c>
      <c r="C42" s="1">
        <v>45870</v>
      </c>
      <c r="D42">
        <v>16471</v>
      </c>
      <c r="E42">
        <v>40655</v>
      </c>
      <c r="F42" s="1">
        <v>43466</v>
      </c>
      <c r="G42" s="21" t="s">
        <v>17</v>
      </c>
      <c r="H42" s="21" t="s">
        <v>17</v>
      </c>
      <c r="I42" s="21" t="s">
        <v>18</v>
      </c>
      <c r="J42">
        <v>8</v>
      </c>
      <c r="K42" t="s">
        <v>71</v>
      </c>
    </row>
    <row r="43" spans="1:11" x14ac:dyDescent="0.35">
      <c r="A43" s="21" t="s">
        <v>476</v>
      </c>
      <c r="B43">
        <v>775</v>
      </c>
      <c r="C43" s="1">
        <v>45946</v>
      </c>
      <c r="D43">
        <v>17515</v>
      </c>
      <c r="E43">
        <v>43252</v>
      </c>
      <c r="F43" s="1">
        <v>44562</v>
      </c>
      <c r="G43" s="21" t="s">
        <v>17</v>
      </c>
      <c r="H43" s="21" t="s">
        <v>17</v>
      </c>
      <c r="I43" s="21" t="s">
        <v>18</v>
      </c>
      <c r="J43">
        <v>10</v>
      </c>
      <c r="K43" t="s">
        <v>67</v>
      </c>
    </row>
    <row r="44" spans="1:11" x14ac:dyDescent="0.35">
      <c r="A44" s="21" t="s">
        <v>233</v>
      </c>
      <c r="B44">
        <v>775</v>
      </c>
      <c r="C44" s="1">
        <v>45803</v>
      </c>
      <c r="D44">
        <v>15729</v>
      </c>
      <c r="E44">
        <v>39258</v>
      </c>
      <c r="F44" s="1">
        <v>45658</v>
      </c>
      <c r="G44" s="21" t="s">
        <v>17</v>
      </c>
      <c r="H44" s="21" t="s">
        <v>17</v>
      </c>
      <c r="I44" s="21" t="s">
        <v>18</v>
      </c>
      <c r="J44">
        <v>5</v>
      </c>
      <c r="K44" t="s">
        <v>67</v>
      </c>
    </row>
    <row r="45" spans="1:11" x14ac:dyDescent="0.35">
      <c r="A45" s="21" t="s">
        <v>169</v>
      </c>
      <c r="B45">
        <v>775</v>
      </c>
      <c r="C45" s="1">
        <v>45736</v>
      </c>
      <c r="D45">
        <v>14898</v>
      </c>
      <c r="E45">
        <v>36861</v>
      </c>
      <c r="F45" s="1">
        <v>44927</v>
      </c>
      <c r="G45" s="21" t="s">
        <v>17</v>
      </c>
      <c r="H45" s="21" t="s">
        <v>17</v>
      </c>
      <c r="I45" s="21" t="s">
        <v>18</v>
      </c>
      <c r="J45">
        <v>3</v>
      </c>
      <c r="K45" t="s">
        <v>67</v>
      </c>
    </row>
    <row r="46" spans="1:11" x14ac:dyDescent="0.35">
      <c r="A46" s="21" t="s">
        <v>454</v>
      </c>
      <c r="B46">
        <v>775</v>
      </c>
      <c r="C46" s="1">
        <v>45903</v>
      </c>
      <c r="D46">
        <v>17024</v>
      </c>
      <c r="E46">
        <v>42567</v>
      </c>
      <c r="F46" s="1">
        <v>45292</v>
      </c>
      <c r="G46" s="21" t="s">
        <v>17</v>
      </c>
      <c r="H46" s="21" t="s">
        <v>376</v>
      </c>
      <c r="I46" s="21" t="s">
        <v>18</v>
      </c>
      <c r="J46">
        <v>9</v>
      </c>
      <c r="K46" t="s">
        <v>67</v>
      </c>
    </row>
    <row r="47" spans="1:11" x14ac:dyDescent="0.35">
      <c r="A47" s="21" t="s">
        <v>100</v>
      </c>
      <c r="B47">
        <v>775</v>
      </c>
      <c r="C47" s="1">
        <v>45665</v>
      </c>
      <c r="D47">
        <v>13825</v>
      </c>
      <c r="E47">
        <v>35194</v>
      </c>
      <c r="F47" s="1">
        <v>45658</v>
      </c>
      <c r="G47" s="21" t="s">
        <v>17</v>
      </c>
      <c r="H47" s="21" t="s">
        <v>17</v>
      </c>
      <c r="I47" s="21" t="s">
        <v>18</v>
      </c>
      <c r="J47">
        <v>1</v>
      </c>
      <c r="K47" t="s">
        <v>67</v>
      </c>
    </row>
    <row r="48" spans="1:11" x14ac:dyDescent="0.35">
      <c r="A48" s="21" t="s">
        <v>101</v>
      </c>
      <c r="B48">
        <v>775</v>
      </c>
      <c r="C48" s="1">
        <v>45671</v>
      </c>
      <c r="D48">
        <v>14069</v>
      </c>
      <c r="E48">
        <v>35508</v>
      </c>
      <c r="F48" s="1">
        <v>45658</v>
      </c>
      <c r="G48" s="21" t="s">
        <v>17</v>
      </c>
      <c r="H48" s="21" t="s">
        <v>13</v>
      </c>
      <c r="I48" s="21" t="s">
        <v>18</v>
      </c>
      <c r="J48">
        <v>1</v>
      </c>
      <c r="K48" t="s">
        <v>67</v>
      </c>
    </row>
    <row r="49" spans="1:11" x14ac:dyDescent="0.35">
      <c r="A49" s="21" t="s">
        <v>455</v>
      </c>
      <c r="B49">
        <v>775</v>
      </c>
      <c r="C49" s="1">
        <v>45917</v>
      </c>
      <c r="D49">
        <v>17257</v>
      </c>
      <c r="E49">
        <v>42981</v>
      </c>
      <c r="F49" s="1">
        <v>45658</v>
      </c>
      <c r="G49" s="21" t="s">
        <v>17</v>
      </c>
      <c r="H49" s="21" t="s">
        <v>13</v>
      </c>
      <c r="I49" s="21" t="s">
        <v>18</v>
      </c>
      <c r="J49">
        <v>9</v>
      </c>
      <c r="K49" t="s">
        <v>67</v>
      </c>
    </row>
    <row r="50" spans="1:11" x14ac:dyDescent="0.35">
      <c r="A50" s="21" t="s">
        <v>335</v>
      </c>
      <c r="B50">
        <v>775</v>
      </c>
      <c r="C50" s="1">
        <v>45817</v>
      </c>
      <c r="D50">
        <v>15844</v>
      </c>
      <c r="E50">
        <v>39429</v>
      </c>
      <c r="F50" s="1">
        <v>44927</v>
      </c>
      <c r="G50" s="21" t="s">
        <v>17</v>
      </c>
      <c r="H50" s="21" t="s">
        <v>13</v>
      </c>
      <c r="I50" s="21" t="s">
        <v>18</v>
      </c>
      <c r="J50">
        <v>6</v>
      </c>
      <c r="K50" t="s">
        <v>67</v>
      </c>
    </row>
    <row r="51" spans="1:11" x14ac:dyDescent="0.35">
      <c r="A51" s="21" t="s">
        <v>137</v>
      </c>
      <c r="B51">
        <v>775</v>
      </c>
      <c r="C51" s="1">
        <v>45714</v>
      </c>
      <c r="D51">
        <v>14601</v>
      </c>
      <c r="E51">
        <v>36283</v>
      </c>
      <c r="F51" s="1">
        <v>44927</v>
      </c>
      <c r="G51" s="21" t="s">
        <v>17</v>
      </c>
      <c r="H51" s="21" t="s">
        <v>13</v>
      </c>
      <c r="I51" s="21" t="s">
        <v>18</v>
      </c>
      <c r="J51">
        <v>2</v>
      </c>
      <c r="K51" t="s">
        <v>67</v>
      </c>
    </row>
    <row r="52" spans="1:11" x14ac:dyDescent="0.35">
      <c r="A52" s="21" t="s">
        <v>508</v>
      </c>
      <c r="B52">
        <v>775</v>
      </c>
      <c r="C52" s="1">
        <v>45972</v>
      </c>
      <c r="D52">
        <v>17698</v>
      </c>
      <c r="E52">
        <v>43459</v>
      </c>
      <c r="F52" s="1">
        <v>44927</v>
      </c>
      <c r="G52" s="21" t="s">
        <v>0</v>
      </c>
      <c r="H52" s="21" t="s">
        <v>13</v>
      </c>
      <c r="I52" s="21" t="s">
        <v>18</v>
      </c>
      <c r="J52">
        <v>11</v>
      </c>
      <c r="K52" t="s">
        <v>67</v>
      </c>
    </row>
    <row r="53" spans="1:11" x14ac:dyDescent="0.35">
      <c r="A53" s="21" t="s">
        <v>456</v>
      </c>
      <c r="B53">
        <v>775</v>
      </c>
      <c r="C53" s="1">
        <v>45918</v>
      </c>
      <c r="D53">
        <v>17274</v>
      </c>
      <c r="E53">
        <v>43002</v>
      </c>
      <c r="F53" s="1">
        <v>45658</v>
      </c>
      <c r="G53" s="21" t="s">
        <v>17</v>
      </c>
      <c r="H53" s="21" t="s">
        <v>13</v>
      </c>
      <c r="I53" s="21" t="s">
        <v>18</v>
      </c>
      <c r="J53">
        <v>9</v>
      </c>
      <c r="K53" t="s">
        <v>67</v>
      </c>
    </row>
    <row r="54" spans="1:11" x14ac:dyDescent="0.35">
      <c r="A54" s="21" t="s">
        <v>104</v>
      </c>
      <c r="B54">
        <v>775</v>
      </c>
      <c r="C54" s="1">
        <v>45671</v>
      </c>
      <c r="D54">
        <v>14050</v>
      </c>
      <c r="E54">
        <v>35483</v>
      </c>
      <c r="F54" s="1">
        <v>44562</v>
      </c>
      <c r="G54" s="21" t="s">
        <v>17</v>
      </c>
      <c r="H54" s="21" t="s">
        <v>17</v>
      </c>
      <c r="I54" s="21" t="s">
        <v>18</v>
      </c>
      <c r="J54">
        <v>1</v>
      </c>
      <c r="K54" t="s">
        <v>67</v>
      </c>
    </row>
    <row r="55" spans="1:11" x14ac:dyDescent="0.35">
      <c r="A55" s="21" t="s">
        <v>338</v>
      </c>
      <c r="B55">
        <v>775</v>
      </c>
      <c r="C55" s="1">
        <v>45830</v>
      </c>
      <c r="D55">
        <v>15962</v>
      </c>
      <c r="E55">
        <v>39638</v>
      </c>
      <c r="F55" s="1">
        <v>45658</v>
      </c>
      <c r="G55" s="21" t="s">
        <v>17</v>
      </c>
      <c r="H55" s="21" t="s">
        <v>13</v>
      </c>
      <c r="I55" s="21" t="s">
        <v>18</v>
      </c>
      <c r="J55">
        <v>6</v>
      </c>
      <c r="K55" t="s">
        <v>67</v>
      </c>
    </row>
    <row r="56" spans="1:11" x14ac:dyDescent="0.35">
      <c r="A56" s="21" t="s">
        <v>105</v>
      </c>
      <c r="B56">
        <v>775</v>
      </c>
      <c r="C56" s="1">
        <v>45667</v>
      </c>
      <c r="D56">
        <v>13943</v>
      </c>
      <c r="E56">
        <v>35324</v>
      </c>
      <c r="F56" s="1">
        <v>44562</v>
      </c>
      <c r="G56" s="21" t="s">
        <v>17</v>
      </c>
      <c r="H56" s="21" t="s">
        <v>17</v>
      </c>
      <c r="I56" s="21" t="s">
        <v>18</v>
      </c>
      <c r="J56">
        <v>1</v>
      </c>
      <c r="K56" t="s">
        <v>67</v>
      </c>
    </row>
    <row r="57" spans="1:11" x14ac:dyDescent="0.35">
      <c r="A57" s="21" t="s">
        <v>383</v>
      </c>
      <c r="B57">
        <v>775</v>
      </c>
      <c r="C57" s="1">
        <v>45845</v>
      </c>
      <c r="D57">
        <v>16187</v>
      </c>
      <c r="E57">
        <v>39964</v>
      </c>
      <c r="F57" s="1">
        <v>45658</v>
      </c>
      <c r="G57" s="21" t="s">
        <v>17</v>
      </c>
      <c r="H57" s="21" t="s">
        <v>17</v>
      </c>
      <c r="I57" s="21" t="s">
        <v>18</v>
      </c>
      <c r="J57">
        <v>7</v>
      </c>
      <c r="K57" t="s">
        <v>67</v>
      </c>
    </row>
    <row r="58" spans="1:11" x14ac:dyDescent="0.35">
      <c r="A58" s="21" t="s">
        <v>185</v>
      </c>
      <c r="B58">
        <v>775</v>
      </c>
      <c r="C58" s="1">
        <v>45744</v>
      </c>
      <c r="D58">
        <v>14995</v>
      </c>
      <c r="E58">
        <v>37045</v>
      </c>
      <c r="F58" s="1">
        <v>45658</v>
      </c>
      <c r="G58" s="21" t="s">
        <v>17</v>
      </c>
      <c r="H58" s="21" t="s">
        <v>17</v>
      </c>
      <c r="I58" s="21" t="s">
        <v>18</v>
      </c>
      <c r="J58">
        <v>3</v>
      </c>
      <c r="K58" t="s">
        <v>67</v>
      </c>
    </row>
    <row r="59" spans="1:11" x14ac:dyDescent="0.35">
      <c r="A59" s="21" t="s">
        <v>106</v>
      </c>
      <c r="B59">
        <v>775</v>
      </c>
      <c r="C59" s="1">
        <v>45665</v>
      </c>
      <c r="D59">
        <v>13824</v>
      </c>
      <c r="E59">
        <v>35193</v>
      </c>
      <c r="F59" s="1">
        <v>45658</v>
      </c>
      <c r="G59" s="21" t="s">
        <v>17</v>
      </c>
      <c r="H59" s="21" t="s">
        <v>13</v>
      </c>
      <c r="I59" s="21" t="s">
        <v>18</v>
      </c>
      <c r="J59">
        <v>1</v>
      </c>
      <c r="K59" t="s">
        <v>67</v>
      </c>
    </row>
    <row r="60" spans="1:11" x14ac:dyDescent="0.35">
      <c r="A60" s="21" t="s">
        <v>384</v>
      </c>
      <c r="B60">
        <v>775</v>
      </c>
      <c r="C60" s="1">
        <v>45868</v>
      </c>
      <c r="D60">
        <v>16442</v>
      </c>
      <c r="E60">
        <v>40563</v>
      </c>
      <c r="F60" s="1">
        <v>45658</v>
      </c>
      <c r="G60" s="21" t="s">
        <v>17</v>
      </c>
      <c r="H60" s="21" t="s">
        <v>13</v>
      </c>
      <c r="I60" s="21" t="s">
        <v>18</v>
      </c>
      <c r="J60">
        <v>7</v>
      </c>
      <c r="K60" t="s">
        <v>67</v>
      </c>
    </row>
    <row r="61" spans="1:11" x14ac:dyDescent="0.35">
      <c r="A61" s="21" t="s">
        <v>270</v>
      </c>
      <c r="B61">
        <v>775</v>
      </c>
      <c r="C61" s="1">
        <v>45799</v>
      </c>
      <c r="D61">
        <v>15712</v>
      </c>
      <c r="E61">
        <v>39241</v>
      </c>
      <c r="F61" s="1">
        <v>45658</v>
      </c>
      <c r="G61" s="21" t="s">
        <v>17</v>
      </c>
      <c r="H61" s="21" t="s">
        <v>13</v>
      </c>
      <c r="I61" s="21" t="s">
        <v>18</v>
      </c>
      <c r="J61">
        <v>5</v>
      </c>
      <c r="K61" t="s">
        <v>67</v>
      </c>
    </row>
    <row r="62" spans="1:11" x14ac:dyDescent="0.35">
      <c r="A62" s="21" t="s">
        <v>62</v>
      </c>
      <c r="B62">
        <v>775</v>
      </c>
      <c r="C62" s="1">
        <v>45664</v>
      </c>
      <c r="D62">
        <v>13794</v>
      </c>
      <c r="E62">
        <v>35152</v>
      </c>
      <c r="F62" s="1">
        <v>45658</v>
      </c>
      <c r="G62" s="21" t="s">
        <v>17</v>
      </c>
      <c r="H62" s="21" t="s">
        <v>13</v>
      </c>
      <c r="I62" s="21" t="s">
        <v>18</v>
      </c>
      <c r="J62">
        <v>1</v>
      </c>
      <c r="K62" t="s">
        <v>67</v>
      </c>
    </row>
    <row r="63" spans="1:11" x14ac:dyDescent="0.35">
      <c r="A63" s="21" t="s">
        <v>427</v>
      </c>
      <c r="B63">
        <v>775</v>
      </c>
      <c r="C63" s="1">
        <v>45898</v>
      </c>
      <c r="D63">
        <v>16970</v>
      </c>
      <c r="E63">
        <v>42487</v>
      </c>
      <c r="F63" s="1">
        <v>45658</v>
      </c>
      <c r="G63" s="21" t="s">
        <v>17</v>
      </c>
      <c r="H63" s="21" t="s">
        <v>13</v>
      </c>
      <c r="I63" s="21" t="s">
        <v>18</v>
      </c>
      <c r="J63">
        <v>8</v>
      </c>
      <c r="K63" t="s">
        <v>67</v>
      </c>
    </row>
    <row r="64" spans="1:11" x14ac:dyDescent="0.35">
      <c r="A64" s="21" t="s">
        <v>139</v>
      </c>
      <c r="B64">
        <v>775</v>
      </c>
      <c r="C64" s="1">
        <v>45694</v>
      </c>
      <c r="D64">
        <v>14393</v>
      </c>
      <c r="E64">
        <v>35956</v>
      </c>
      <c r="F64" s="1">
        <v>45658</v>
      </c>
      <c r="G64" s="21" t="s">
        <v>17</v>
      </c>
      <c r="H64" s="21" t="s">
        <v>13</v>
      </c>
      <c r="I64" s="21" t="s">
        <v>18</v>
      </c>
      <c r="J64">
        <v>2</v>
      </c>
      <c r="K64" t="s">
        <v>67</v>
      </c>
    </row>
    <row r="65" spans="1:11" x14ac:dyDescent="0.35">
      <c r="A65" s="21" t="s">
        <v>186</v>
      </c>
      <c r="B65">
        <v>775</v>
      </c>
      <c r="C65" s="1">
        <v>45728</v>
      </c>
      <c r="D65">
        <v>14737</v>
      </c>
      <c r="E65">
        <v>36577</v>
      </c>
      <c r="F65" s="1">
        <v>44197</v>
      </c>
      <c r="G65" s="21" t="s">
        <v>17</v>
      </c>
      <c r="H65" s="21" t="s">
        <v>17</v>
      </c>
      <c r="I65" s="21" t="s">
        <v>18</v>
      </c>
      <c r="J65">
        <v>3</v>
      </c>
      <c r="K65" t="s">
        <v>71</v>
      </c>
    </row>
    <row r="66" spans="1:11" x14ac:dyDescent="0.35">
      <c r="A66" s="21" t="s">
        <v>271</v>
      </c>
      <c r="B66">
        <v>775</v>
      </c>
      <c r="C66" s="1">
        <v>45782</v>
      </c>
      <c r="D66">
        <v>15515</v>
      </c>
      <c r="E66">
        <v>38843</v>
      </c>
      <c r="F66" s="1">
        <v>42370</v>
      </c>
      <c r="G66" s="21" t="s">
        <v>17</v>
      </c>
      <c r="H66" s="21" t="s">
        <v>13</v>
      </c>
      <c r="I66" s="21" t="s">
        <v>18</v>
      </c>
      <c r="J66">
        <v>5</v>
      </c>
      <c r="K66" t="s">
        <v>69</v>
      </c>
    </row>
    <row r="67" spans="1:11" x14ac:dyDescent="0.35">
      <c r="A67" s="21" t="s">
        <v>272</v>
      </c>
      <c r="B67">
        <v>775</v>
      </c>
      <c r="C67" s="1">
        <v>45762</v>
      </c>
      <c r="D67">
        <v>15266</v>
      </c>
      <c r="E67">
        <v>37972</v>
      </c>
      <c r="F67" s="1">
        <v>45658</v>
      </c>
      <c r="G67" s="21" t="s">
        <v>17</v>
      </c>
      <c r="H67" s="21" t="s">
        <v>13</v>
      </c>
      <c r="I67" s="21" t="s">
        <v>18</v>
      </c>
      <c r="J67">
        <v>4</v>
      </c>
      <c r="K67" t="s">
        <v>67</v>
      </c>
    </row>
    <row r="68" spans="1:11" x14ac:dyDescent="0.35">
      <c r="A68" s="21" t="s">
        <v>140</v>
      </c>
      <c r="B68">
        <v>775</v>
      </c>
      <c r="C68" s="1">
        <v>45712</v>
      </c>
      <c r="D68">
        <v>14556</v>
      </c>
      <c r="E68">
        <v>36197</v>
      </c>
      <c r="F68" s="1">
        <v>43466</v>
      </c>
      <c r="G68" s="21" t="s">
        <v>17</v>
      </c>
      <c r="H68" s="21" t="s">
        <v>13</v>
      </c>
      <c r="I68" s="21" t="s">
        <v>18</v>
      </c>
      <c r="J68">
        <v>2</v>
      </c>
      <c r="K68" t="s">
        <v>71</v>
      </c>
    </row>
    <row r="69" spans="1:11" x14ac:dyDescent="0.35">
      <c r="A69" s="21" t="s">
        <v>187</v>
      </c>
      <c r="B69">
        <v>775</v>
      </c>
      <c r="C69" s="1">
        <v>45737</v>
      </c>
      <c r="D69">
        <v>14917</v>
      </c>
      <c r="E69">
        <v>36890</v>
      </c>
      <c r="F69" s="1">
        <v>44927</v>
      </c>
      <c r="G69" s="21" t="s">
        <v>17</v>
      </c>
      <c r="H69" s="21" t="s">
        <v>17</v>
      </c>
      <c r="I69" s="21" t="s">
        <v>18</v>
      </c>
      <c r="J69">
        <v>3</v>
      </c>
      <c r="K69" t="s">
        <v>67</v>
      </c>
    </row>
    <row r="70" spans="1:11" x14ac:dyDescent="0.35">
      <c r="A70" s="21" t="s">
        <v>428</v>
      </c>
      <c r="B70">
        <v>775</v>
      </c>
      <c r="C70" s="1">
        <v>45875</v>
      </c>
      <c r="D70">
        <v>16526</v>
      </c>
      <c r="E70">
        <v>41014</v>
      </c>
      <c r="F70" s="1">
        <v>45292</v>
      </c>
      <c r="G70" s="21" t="s">
        <v>17</v>
      </c>
      <c r="H70" s="21" t="s">
        <v>17</v>
      </c>
      <c r="I70" s="21" t="s">
        <v>18</v>
      </c>
      <c r="J70">
        <v>8</v>
      </c>
      <c r="K70" t="s">
        <v>67</v>
      </c>
    </row>
    <row r="71" spans="1:11" x14ac:dyDescent="0.35">
      <c r="A71" s="21" t="s">
        <v>385</v>
      </c>
      <c r="B71">
        <v>775</v>
      </c>
      <c r="C71" s="1">
        <v>45855</v>
      </c>
      <c r="D71">
        <v>16287</v>
      </c>
      <c r="E71">
        <v>40201</v>
      </c>
      <c r="F71" s="1">
        <v>45292</v>
      </c>
      <c r="G71" s="21" t="s">
        <v>17</v>
      </c>
      <c r="H71" s="21" t="s">
        <v>17</v>
      </c>
      <c r="I71" s="21" t="s">
        <v>18</v>
      </c>
      <c r="J71">
        <v>7</v>
      </c>
      <c r="K71" t="s">
        <v>67</v>
      </c>
    </row>
    <row r="72" spans="1:11" x14ac:dyDescent="0.35">
      <c r="A72" s="21" t="s">
        <v>107</v>
      </c>
      <c r="B72">
        <v>775</v>
      </c>
      <c r="C72" s="1">
        <v>45681</v>
      </c>
      <c r="D72">
        <v>14224</v>
      </c>
      <c r="E72">
        <v>35734</v>
      </c>
      <c r="F72" s="1">
        <v>45658</v>
      </c>
      <c r="G72" s="21" t="s">
        <v>17</v>
      </c>
      <c r="H72" s="21" t="s">
        <v>13</v>
      </c>
      <c r="I72" s="21" t="s">
        <v>18</v>
      </c>
      <c r="J72">
        <v>1</v>
      </c>
      <c r="K72" t="s">
        <v>67</v>
      </c>
    </row>
    <row r="73" spans="1:11" x14ac:dyDescent="0.35">
      <c r="A73" s="21" t="s">
        <v>189</v>
      </c>
      <c r="B73">
        <v>775</v>
      </c>
      <c r="C73" s="1">
        <v>45723</v>
      </c>
      <c r="D73">
        <v>14688</v>
      </c>
      <c r="E73">
        <v>36501</v>
      </c>
      <c r="F73" s="1">
        <v>45292</v>
      </c>
      <c r="G73" s="21" t="s">
        <v>17</v>
      </c>
      <c r="H73" s="21" t="s">
        <v>17</v>
      </c>
      <c r="I73" s="21" t="s">
        <v>18</v>
      </c>
      <c r="J73">
        <v>3</v>
      </c>
      <c r="K73" t="s">
        <v>67</v>
      </c>
    </row>
    <row r="74" spans="1:11" x14ac:dyDescent="0.35">
      <c r="A74" s="21" t="s">
        <v>340</v>
      </c>
      <c r="B74">
        <v>775</v>
      </c>
      <c r="C74" s="1">
        <v>45811</v>
      </c>
      <c r="D74">
        <v>15788</v>
      </c>
      <c r="E74">
        <v>39355</v>
      </c>
      <c r="F74" s="1">
        <v>45292</v>
      </c>
      <c r="G74" s="21" t="s">
        <v>17</v>
      </c>
      <c r="H74" s="21" t="s">
        <v>17</v>
      </c>
      <c r="I74" s="21" t="s">
        <v>18</v>
      </c>
      <c r="J74">
        <v>6</v>
      </c>
      <c r="K74" t="s">
        <v>67</v>
      </c>
    </row>
    <row r="75" spans="1:11" x14ac:dyDescent="0.35">
      <c r="A75" s="21" t="s">
        <v>276</v>
      </c>
      <c r="B75">
        <v>775</v>
      </c>
      <c r="C75" s="1">
        <v>45801</v>
      </c>
      <c r="D75">
        <v>15724</v>
      </c>
      <c r="E75">
        <v>39253</v>
      </c>
      <c r="F75" s="1">
        <v>43831</v>
      </c>
      <c r="G75" s="21" t="s">
        <v>17</v>
      </c>
      <c r="H75" s="21" t="s">
        <v>13</v>
      </c>
      <c r="I75" s="21" t="s">
        <v>18</v>
      </c>
      <c r="J75">
        <v>5</v>
      </c>
      <c r="K75" t="s">
        <v>71</v>
      </c>
    </row>
    <row r="76" spans="1:11" x14ac:dyDescent="0.35">
      <c r="A76" s="21" t="s">
        <v>341</v>
      </c>
      <c r="B76">
        <v>775</v>
      </c>
      <c r="C76" s="1">
        <v>45827</v>
      </c>
      <c r="D76">
        <v>15947</v>
      </c>
      <c r="E76">
        <v>39621</v>
      </c>
      <c r="F76" s="1">
        <v>45658</v>
      </c>
      <c r="G76" s="21" t="s">
        <v>17</v>
      </c>
      <c r="H76" s="21" t="s">
        <v>13</v>
      </c>
      <c r="I76" s="21" t="s">
        <v>18</v>
      </c>
      <c r="J76">
        <v>6</v>
      </c>
      <c r="K76" t="s">
        <v>67</v>
      </c>
    </row>
    <row r="77" spans="1:11" x14ac:dyDescent="0.35">
      <c r="A77" s="21" t="s">
        <v>190</v>
      </c>
      <c r="B77">
        <v>775</v>
      </c>
      <c r="C77" s="1">
        <v>45741</v>
      </c>
      <c r="D77">
        <v>14948</v>
      </c>
      <c r="E77">
        <v>36939</v>
      </c>
      <c r="F77" s="1">
        <v>45658</v>
      </c>
      <c r="G77" s="21" t="s">
        <v>17</v>
      </c>
      <c r="H77" s="21" t="s">
        <v>17</v>
      </c>
      <c r="I77" s="21" t="s">
        <v>18</v>
      </c>
      <c r="J77">
        <v>3</v>
      </c>
      <c r="K77" t="s">
        <v>67</v>
      </c>
    </row>
    <row r="78" spans="1:11" x14ac:dyDescent="0.35">
      <c r="A78" s="21" t="s">
        <v>457</v>
      </c>
      <c r="B78">
        <v>775</v>
      </c>
      <c r="C78" s="1">
        <v>45916</v>
      </c>
      <c r="D78">
        <v>17245</v>
      </c>
      <c r="E78">
        <v>42964</v>
      </c>
      <c r="F78" s="1">
        <v>44562</v>
      </c>
      <c r="G78" s="21" t="s">
        <v>17</v>
      </c>
      <c r="H78" s="21" t="s">
        <v>17</v>
      </c>
      <c r="I78" s="21" t="s">
        <v>18</v>
      </c>
      <c r="J78">
        <v>9</v>
      </c>
      <c r="K78" t="s">
        <v>67</v>
      </c>
    </row>
    <row r="79" spans="1:11" x14ac:dyDescent="0.35">
      <c r="A79" s="21" t="s">
        <v>277</v>
      </c>
      <c r="B79">
        <v>775</v>
      </c>
      <c r="C79" s="1">
        <v>45767</v>
      </c>
      <c r="D79">
        <v>15350</v>
      </c>
      <c r="E79">
        <v>38390</v>
      </c>
      <c r="F79" s="1">
        <v>44197</v>
      </c>
      <c r="G79" s="21" t="s">
        <v>17</v>
      </c>
      <c r="H79" s="21" t="s">
        <v>17</v>
      </c>
      <c r="I79" s="21" t="s">
        <v>18</v>
      </c>
      <c r="J79">
        <v>4</v>
      </c>
      <c r="K79" t="s">
        <v>71</v>
      </c>
    </row>
    <row r="80" spans="1:11" x14ac:dyDescent="0.35">
      <c r="A80" s="21" t="s">
        <v>481</v>
      </c>
      <c r="B80">
        <v>775</v>
      </c>
      <c r="C80" s="1">
        <v>45963</v>
      </c>
      <c r="D80">
        <v>17635</v>
      </c>
      <c r="E80">
        <v>43395</v>
      </c>
      <c r="F80" s="1">
        <v>43101</v>
      </c>
      <c r="G80" s="21" t="s">
        <v>17</v>
      </c>
      <c r="H80" s="21" t="s">
        <v>17</v>
      </c>
      <c r="I80" s="21" t="s">
        <v>18</v>
      </c>
      <c r="J80">
        <v>11</v>
      </c>
      <c r="K80" t="s">
        <v>71</v>
      </c>
    </row>
    <row r="81" spans="1:11" x14ac:dyDescent="0.35">
      <c r="A81" s="21" t="s">
        <v>278</v>
      </c>
      <c r="B81">
        <v>775</v>
      </c>
      <c r="C81" s="1">
        <v>45804</v>
      </c>
      <c r="D81">
        <v>15733</v>
      </c>
      <c r="E81">
        <v>39262</v>
      </c>
      <c r="F81" s="1">
        <v>45658</v>
      </c>
      <c r="G81" s="21" t="s">
        <v>17</v>
      </c>
      <c r="H81" s="21" t="s">
        <v>13</v>
      </c>
      <c r="I81" s="21" t="s">
        <v>18</v>
      </c>
      <c r="J81">
        <v>5</v>
      </c>
      <c r="K81" t="s">
        <v>67</v>
      </c>
    </row>
    <row r="82" spans="1:11" x14ac:dyDescent="0.35">
      <c r="A82" s="21" t="s">
        <v>191</v>
      </c>
      <c r="B82">
        <v>775</v>
      </c>
      <c r="C82" s="1">
        <v>45740</v>
      </c>
      <c r="D82">
        <v>14947</v>
      </c>
      <c r="E82">
        <v>36938</v>
      </c>
      <c r="F82" s="1">
        <v>45658</v>
      </c>
      <c r="G82" s="21" t="s">
        <v>17</v>
      </c>
      <c r="H82" s="21" t="s">
        <v>17</v>
      </c>
      <c r="I82" s="21" t="s">
        <v>18</v>
      </c>
      <c r="J82">
        <v>3</v>
      </c>
      <c r="K82" t="s">
        <v>67</v>
      </c>
    </row>
    <row r="83" spans="1:11" x14ac:dyDescent="0.35">
      <c r="A83" s="21" t="s">
        <v>430</v>
      </c>
      <c r="B83">
        <v>775</v>
      </c>
      <c r="C83" s="1">
        <v>45889</v>
      </c>
      <c r="D83">
        <v>16770</v>
      </c>
      <c r="E83">
        <v>42091</v>
      </c>
      <c r="F83" s="1">
        <v>45292</v>
      </c>
      <c r="G83" s="21" t="s">
        <v>17</v>
      </c>
      <c r="H83" s="21" t="s">
        <v>17</v>
      </c>
      <c r="I83" s="21" t="s">
        <v>18</v>
      </c>
      <c r="J83">
        <v>8</v>
      </c>
      <c r="K83" t="s">
        <v>67</v>
      </c>
    </row>
    <row r="84" spans="1:11" x14ac:dyDescent="0.35">
      <c r="A84" s="21" t="s">
        <v>431</v>
      </c>
      <c r="B84">
        <v>775</v>
      </c>
      <c r="C84" s="1">
        <v>45895</v>
      </c>
      <c r="D84">
        <v>16929</v>
      </c>
      <c r="E84">
        <v>42433</v>
      </c>
      <c r="F84" s="1">
        <v>45292</v>
      </c>
      <c r="G84" s="21" t="s">
        <v>17</v>
      </c>
      <c r="H84" s="21" t="s">
        <v>326</v>
      </c>
      <c r="I84" s="21" t="s">
        <v>18</v>
      </c>
      <c r="J84">
        <v>8</v>
      </c>
      <c r="K84" t="s">
        <v>67</v>
      </c>
    </row>
    <row r="85" spans="1:11" x14ac:dyDescent="0.35">
      <c r="A85" s="21" t="s">
        <v>432</v>
      </c>
      <c r="B85">
        <v>775</v>
      </c>
      <c r="C85" s="1">
        <v>45874</v>
      </c>
      <c r="D85">
        <v>16513</v>
      </c>
      <c r="E85">
        <v>40931</v>
      </c>
      <c r="F85" s="1">
        <v>44562</v>
      </c>
      <c r="G85" s="21" t="s">
        <v>17</v>
      </c>
      <c r="H85" s="21" t="s">
        <v>13</v>
      </c>
      <c r="I85" s="21" t="s">
        <v>18</v>
      </c>
      <c r="J85">
        <v>8</v>
      </c>
      <c r="K85" t="s">
        <v>67</v>
      </c>
    </row>
    <row r="86" spans="1:11" x14ac:dyDescent="0.35">
      <c r="A86" s="21" t="s">
        <v>512</v>
      </c>
      <c r="B86">
        <v>775</v>
      </c>
      <c r="C86" s="1">
        <v>45975</v>
      </c>
      <c r="D86">
        <v>17725</v>
      </c>
      <c r="E86">
        <v>43487</v>
      </c>
      <c r="F86" s="1">
        <v>45658</v>
      </c>
      <c r="G86" s="21" t="s">
        <v>17</v>
      </c>
      <c r="H86" s="21" t="s">
        <v>13</v>
      </c>
      <c r="I86" s="21" t="s">
        <v>18</v>
      </c>
      <c r="J86">
        <v>11</v>
      </c>
      <c r="K86" t="s">
        <v>67</v>
      </c>
    </row>
    <row r="87" spans="1:11" x14ac:dyDescent="0.35">
      <c r="A87" s="21" t="s">
        <v>146</v>
      </c>
      <c r="B87">
        <v>775</v>
      </c>
      <c r="C87" s="1">
        <v>45714</v>
      </c>
      <c r="D87">
        <v>14607</v>
      </c>
      <c r="E87">
        <v>36304</v>
      </c>
      <c r="F87" s="1">
        <v>40909</v>
      </c>
      <c r="G87" s="21" t="s">
        <v>17</v>
      </c>
      <c r="H87" s="21" t="s">
        <v>27</v>
      </c>
      <c r="I87" s="21" t="s">
        <v>18</v>
      </c>
      <c r="J87">
        <v>2</v>
      </c>
      <c r="K87" t="s">
        <v>70</v>
      </c>
    </row>
    <row r="88" spans="1:11" x14ac:dyDescent="0.35">
      <c r="A88" s="21" t="s">
        <v>345</v>
      </c>
      <c r="B88">
        <v>775</v>
      </c>
      <c r="C88" s="1">
        <v>45817</v>
      </c>
      <c r="D88">
        <v>15840</v>
      </c>
      <c r="E88">
        <v>39417</v>
      </c>
      <c r="F88" s="1">
        <v>44927</v>
      </c>
      <c r="G88" s="21" t="s">
        <v>17</v>
      </c>
      <c r="H88" s="21" t="s">
        <v>13</v>
      </c>
      <c r="I88" s="21" t="s">
        <v>18</v>
      </c>
      <c r="J88">
        <v>6</v>
      </c>
      <c r="K88" t="s">
        <v>67</v>
      </c>
    </row>
    <row r="89" spans="1:11" x14ac:dyDescent="0.35">
      <c r="A89" s="21" t="s">
        <v>285</v>
      </c>
      <c r="B89">
        <v>775</v>
      </c>
      <c r="C89" s="1">
        <v>45799</v>
      </c>
      <c r="D89">
        <v>15709</v>
      </c>
      <c r="E89">
        <v>39238</v>
      </c>
      <c r="F89" s="1">
        <v>45658</v>
      </c>
      <c r="G89" s="21" t="s">
        <v>17</v>
      </c>
      <c r="H89" s="21" t="s">
        <v>17</v>
      </c>
      <c r="I89" s="21" t="s">
        <v>18</v>
      </c>
      <c r="J89">
        <v>5</v>
      </c>
      <c r="K89" t="s">
        <v>67</v>
      </c>
    </row>
    <row r="90" spans="1:11" x14ac:dyDescent="0.35">
      <c r="A90" s="21" t="s">
        <v>433</v>
      </c>
      <c r="B90">
        <v>775</v>
      </c>
      <c r="C90" s="1">
        <v>45894</v>
      </c>
      <c r="D90">
        <v>16909</v>
      </c>
      <c r="E90">
        <v>42405</v>
      </c>
      <c r="F90" s="1">
        <v>45292</v>
      </c>
      <c r="G90" s="21" t="s">
        <v>17</v>
      </c>
      <c r="H90" s="21" t="s">
        <v>17</v>
      </c>
      <c r="I90" s="21" t="s">
        <v>18</v>
      </c>
      <c r="J90">
        <v>8</v>
      </c>
      <c r="K90" t="s">
        <v>67</v>
      </c>
    </row>
    <row r="91" spans="1:11" x14ac:dyDescent="0.35">
      <c r="A91" s="21" t="s">
        <v>286</v>
      </c>
      <c r="B91">
        <v>775</v>
      </c>
      <c r="C91" s="1">
        <v>45758</v>
      </c>
      <c r="D91">
        <v>15208</v>
      </c>
      <c r="E91">
        <v>37799</v>
      </c>
      <c r="F91" s="1">
        <v>45658</v>
      </c>
      <c r="G91" s="21" t="s">
        <v>17</v>
      </c>
      <c r="H91" s="21" t="s">
        <v>174</v>
      </c>
      <c r="I91" s="21" t="s">
        <v>18</v>
      </c>
      <c r="J91">
        <v>4</v>
      </c>
      <c r="K91" t="s">
        <v>67</v>
      </c>
    </row>
    <row r="92" spans="1:11" x14ac:dyDescent="0.35">
      <c r="A92" s="21" t="s">
        <v>515</v>
      </c>
      <c r="B92">
        <v>775</v>
      </c>
      <c r="C92" s="1">
        <v>45982</v>
      </c>
      <c r="D92">
        <v>17810</v>
      </c>
      <c r="E92">
        <v>43575</v>
      </c>
      <c r="F92" s="1">
        <v>45658</v>
      </c>
      <c r="G92" s="21" t="s">
        <v>17</v>
      </c>
      <c r="H92" s="21" t="s">
        <v>13</v>
      </c>
      <c r="I92" s="21" t="s">
        <v>18</v>
      </c>
      <c r="J92">
        <v>11</v>
      </c>
      <c r="K92" t="s">
        <v>67</v>
      </c>
    </row>
    <row r="93" spans="1:11" x14ac:dyDescent="0.35">
      <c r="A93" s="21" t="s">
        <v>193</v>
      </c>
      <c r="B93">
        <v>775</v>
      </c>
      <c r="C93" s="1">
        <v>45738</v>
      </c>
      <c r="D93">
        <v>14927</v>
      </c>
      <c r="E93">
        <v>36905</v>
      </c>
      <c r="F93" s="1">
        <v>45658</v>
      </c>
      <c r="G93" s="21" t="s">
        <v>17</v>
      </c>
      <c r="H93" s="21" t="s">
        <v>13</v>
      </c>
      <c r="I93" s="21" t="s">
        <v>18</v>
      </c>
      <c r="J93">
        <v>3</v>
      </c>
      <c r="K93" t="s">
        <v>67</v>
      </c>
    </row>
    <row r="94" spans="1:11" x14ac:dyDescent="0.35">
      <c r="A94" s="21" t="s">
        <v>194</v>
      </c>
      <c r="B94">
        <v>775</v>
      </c>
      <c r="C94" s="1">
        <v>45727</v>
      </c>
      <c r="D94">
        <v>14714</v>
      </c>
      <c r="E94">
        <v>36537</v>
      </c>
      <c r="F94" s="1">
        <v>43831</v>
      </c>
      <c r="G94" s="21" t="s">
        <v>17</v>
      </c>
      <c r="H94" s="21" t="s">
        <v>13</v>
      </c>
      <c r="I94" s="21" t="s">
        <v>18</v>
      </c>
      <c r="J94">
        <v>3</v>
      </c>
      <c r="K94" t="s">
        <v>71</v>
      </c>
    </row>
    <row r="95" spans="1:11" x14ac:dyDescent="0.35">
      <c r="A95" s="21" t="s">
        <v>292</v>
      </c>
      <c r="B95">
        <v>775</v>
      </c>
      <c r="C95" s="1">
        <v>45801</v>
      </c>
      <c r="D95">
        <v>15722</v>
      </c>
      <c r="E95">
        <v>39251</v>
      </c>
      <c r="F95" s="1">
        <v>43101</v>
      </c>
      <c r="G95" s="21" t="s">
        <v>17</v>
      </c>
      <c r="H95" s="21" t="s">
        <v>13</v>
      </c>
      <c r="I95" s="21" t="s">
        <v>18</v>
      </c>
      <c r="J95">
        <v>5</v>
      </c>
      <c r="K95" t="s">
        <v>71</v>
      </c>
    </row>
    <row r="96" spans="1:11" x14ac:dyDescent="0.35">
      <c r="A96" s="21" t="s">
        <v>437</v>
      </c>
      <c r="B96">
        <v>775</v>
      </c>
      <c r="C96" s="1">
        <v>45890</v>
      </c>
      <c r="D96">
        <v>16809</v>
      </c>
      <c r="E96">
        <v>42188</v>
      </c>
      <c r="F96" s="1">
        <v>45658</v>
      </c>
      <c r="G96" s="21" t="s">
        <v>17</v>
      </c>
      <c r="H96" s="21" t="s">
        <v>13</v>
      </c>
      <c r="I96" s="21" t="s">
        <v>18</v>
      </c>
      <c r="J96">
        <v>8</v>
      </c>
      <c r="K96" t="s">
        <v>67</v>
      </c>
    </row>
    <row r="97" spans="1:11" x14ac:dyDescent="0.35">
      <c r="A97" s="21" t="s">
        <v>397</v>
      </c>
      <c r="B97">
        <v>775</v>
      </c>
      <c r="C97" s="1">
        <v>45849</v>
      </c>
      <c r="D97">
        <v>16246</v>
      </c>
      <c r="E97">
        <v>40109</v>
      </c>
      <c r="F97" s="1">
        <v>39083</v>
      </c>
      <c r="G97" s="21" t="s">
        <v>17</v>
      </c>
      <c r="H97" s="21" t="s">
        <v>13</v>
      </c>
      <c r="I97" s="21" t="s">
        <v>18</v>
      </c>
      <c r="J97">
        <v>7</v>
      </c>
      <c r="K97" t="s">
        <v>68</v>
      </c>
    </row>
    <row r="98" spans="1:11" x14ac:dyDescent="0.35">
      <c r="A98" s="21" t="s">
        <v>352</v>
      </c>
      <c r="B98">
        <v>775</v>
      </c>
      <c r="C98" s="1">
        <v>45821</v>
      </c>
      <c r="D98">
        <v>15891</v>
      </c>
      <c r="E98">
        <v>39517</v>
      </c>
      <c r="F98" s="1">
        <v>44562</v>
      </c>
      <c r="G98" s="21" t="s">
        <v>17</v>
      </c>
      <c r="H98" s="21" t="s">
        <v>17</v>
      </c>
      <c r="I98" s="21" t="s">
        <v>18</v>
      </c>
      <c r="J98">
        <v>6</v>
      </c>
      <c r="K98" t="s">
        <v>67</v>
      </c>
    </row>
    <row r="99" spans="1:11" x14ac:dyDescent="0.35">
      <c r="A99" s="21" t="s">
        <v>485</v>
      </c>
      <c r="B99">
        <v>775</v>
      </c>
      <c r="C99" s="1">
        <v>45931</v>
      </c>
      <c r="D99">
        <v>17412</v>
      </c>
      <c r="E99">
        <v>43147</v>
      </c>
      <c r="F99" s="1">
        <v>45658</v>
      </c>
      <c r="G99" s="21" t="s">
        <v>17</v>
      </c>
      <c r="H99" s="21" t="s">
        <v>13</v>
      </c>
      <c r="I99" s="21" t="s">
        <v>18</v>
      </c>
      <c r="J99">
        <v>10</v>
      </c>
      <c r="K99" t="s">
        <v>67</v>
      </c>
    </row>
    <row r="100" spans="1:11" x14ac:dyDescent="0.35">
      <c r="A100" s="21" t="s">
        <v>459</v>
      </c>
      <c r="B100">
        <v>775</v>
      </c>
      <c r="C100" s="1">
        <v>45917</v>
      </c>
      <c r="D100">
        <v>17252</v>
      </c>
      <c r="E100">
        <v>42974</v>
      </c>
      <c r="F100" s="1">
        <v>44562</v>
      </c>
      <c r="G100" s="21" t="s">
        <v>17</v>
      </c>
      <c r="H100" s="21" t="s">
        <v>13</v>
      </c>
      <c r="I100" s="21" t="s">
        <v>18</v>
      </c>
      <c r="J100">
        <v>9</v>
      </c>
      <c r="K100" t="s">
        <v>67</v>
      </c>
    </row>
    <row r="101" spans="1:11" x14ac:dyDescent="0.35">
      <c r="A101" s="21" t="s">
        <v>353</v>
      </c>
      <c r="B101">
        <v>775</v>
      </c>
      <c r="C101" s="1">
        <v>45833</v>
      </c>
      <c r="D101">
        <v>15994</v>
      </c>
      <c r="E101">
        <v>39699</v>
      </c>
      <c r="F101" s="1">
        <v>45658</v>
      </c>
      <c r="G101" s="21" t="s">
        <v>17</v>
      </c>
      <c r="H101" s="21" t="s">
        <v>13</v>
      </c>
      <c r="I101" s="21" t="s">
        <v>18</v>
      </c>
      <c r="J101">
        <v>6</v>
      </c>
      <c r="K101" t="s">
        <v>67</v>
      </c>
    </row>
    <row r="102" spans="1:11" x14ac:dyDescent="0.35">
      <c r="A102" s="21" t="s">
        <v>460</v>
      </c>
      <c r="B102">
        <v>775</v>
      </c>
      <c r="C102" s="1">
        <v>45923</v>
      </c>
      <c r="D102">
        <v>17307</v>
      </c>
      <c r="E102">
        <v>43033</v>
      </c>
      <c r="F102" s="1">
        <v>44197</v>
      </c>
      <c r="G102" s="21" t="s">
        <v>17</v>
      </c>
      <c r="H102" s="21" t="s">
        <v>17</v>
      </c>
      <c r="I102" s="21" t="s">
        <v>18</v>
      </c>
      <c r="J102">
        <v>9</v>
      </c>
      <c r="K102" t="s">
        <v>71</v>
      </c>
    </row>
    <row r="103" spans="1:11" x14ac:dyDescent="0.35">
      <c r="A103" s="21" t="s">
        <v>200</v>
      </c>
      <c r="B103">
        <v>775</v>
      </c>
      <c r="C103" s="1">
        <v>45748</v>
      </c>
      <c r="D103">
        <v>15062</v>
      </c>
      <c r="E103">
        <v>37185</v>
      </c>
      <c r="F103" s="1">
        <v>44562</v>
      </c>
      <c r="G103" s="21" t="s">
        <v>17</v>
      </c>
      <c r="H103" s="21" t="s">
        <v>17</v>
      </c>
      <c r="I103" s="21" t="s">
        <v>18</v>
      </c>
      <c r="J103">
        <v>4</v>
      </c>
      <c r="K103" t="s">
        <v>67</v>
      </c>
    </row>
    <row r="104" spans="1:11" x14ac:dyDescent="0.35">
      <c r="A104" s="21" t="s">
        <v>113</v>
      </c>
      <c r="B104">
        <v>775</v>
      </c>
      <c r="C104" s="1">
        <v>45681</v>
      </c>
      <c r="D104">
        <v>14220</v>
      </c>
      <c r="E104">
        <v>35730</v>
      </c>
      <c r="F104" s="1">
        <v>45658</v>
      </c>
      <c r="G104" s="21" t="s">
        <v>17</v>
      </c>
      <c r="H104" s="21" t="s">
        <v>17</v>
      </c>
      <c r="I104" s="21" t="s">
        <v>18</v>
      </c>
      <c r="J104">
        <v>1</v>
      </c>
      <c r="K104" t="s">
        <v>67</v>
      </c>
    </row>
    <row r="105" spans="1:11" x14ac:dyDescent="0.35">
      <c r="A105" s="21" t="s">
        <v>439</v>
      </c>
      <c r="B105">
        <v>775</v>
      </c>
      <c r="C105" s="1">
        <v>45888</v>
      </c>
      <c r="D105">
        <v>16731</v>
      </c>
      <c r="E105">
        <v>41992</v>
      </c>
      <c r="F105" s="1">
        <v>45292</v>
      </c>
      <c r="G105" s="21" t="s">
        <v>17</v>
      </c>
      <c r="H105" s="21" t="s">
        <v>13</v>
      </c>
      <c r="I105" s="21" t="s">
        <v>18</v>
      </c>
      <c r="J105">
        <v>8</v>
      </c>
      <c r="K105" t="s">
        <v>67</v>
      </c>
    </row>
    <row r="106" spans="1:11" x14ac:dyDescent="0.35">
      <c r="A106" s="21" t="s">
        <v>202</v>
      </c>
      <c r="B106">
        <v>775</v>
      </c>
      <c r="C106" s="1">
        <v>45726</v>
      </c>
      <c r="D106">
        <v>14708</v>
      </c>
      <c r="E106">
        <v>36531</v>
      </c>
      <c r="F106" s="1">
        <v>45292</v>
      </c>
      <c r="G106" s="21" t="s">
        <v>17</v>
      </c>
      <c r="H106" s="21" t="s">
        <v>13</v>
      </c>
      <c r="I106" s="21" t="s">
        <v>18</v>
      </c>
      <c r="J106">
        <v>3</v>
      </c>
      <c r="K106" t="s">
        <v>67</v>
      </c>
    </row>
    <row r="107" spans="1:11" x14ac:dyDescent="0.35">
      <c r="A107" s="21" t="s">
        <v>462</v>
      </c>
      <c r="B107">
        <v>775</v>
      </c>
      <c r="C107" s="1">
        <v>45908</v>
      </c>
      <c r="D107">
        <v>17120</v>
      </c>
      <c r="E107">
        <v>42770</v>
      </c>
      <c r="F107" s="1">
        <v>45658</v>
      </c>
      <c r="G107" s="21" t="s">
        <v>17</v>
      </c>
      <c r="H107" s="21" t="s">
        <v>13</v>
      </c>
      <c r="I107" s="21" t="s">
        <v>18</v>
      </c>
      <c r="J107">
        <v>9</v>
      </c>
      <c r="K107" t="s">
        <v>67</v>
      </c>
    </row>
    <row r="108" spans="1:11" x14ac:dyDescent="0.35">
      <c r="A108" s="21" t="s">
        <v>522</v>
      </c>
      <c r="B108">
        <v>775</v>
      </c>
      <c r="C108" s="1">
        <v>45965</v>
      </c>
      <c r="D108">
        <v>17652</v>
      </c>
      <c r="E108">
        <v>43413</v>
      </c>
      <c r="F108" s="1">
        <v>45658</v>
      </c>
      <c r="G108" s="21" t="s">
        <v>17</v>
      </c>
      <c r="H108" s="21" t="s">
        <v>13</v>
      </c>
      <c r="I108" s="21" t="s">
        <v>18</v>
      </c>
      <c r="J108">
        <v>11</v>
      </c>
      <c r="K108" t="s">
        <v>67</v>
      </c>
    </row>
    <row r="109" spans="1:11" x14ac:dyDescent="0.35">
      <c r="A109" s="21" t="s">
        <v>401</v>
      </c>
      <c r="B109">
        <v>775</v>
      </c>
      <c r="C109" s="1">
        <v>45853</v>
      </c>
      <c r="D109">
        <v>16265</v>
      </c>
      <c r="E109">
        <v>40149</v>
      </c>
      <c r="F109" s="1">
        <v>45658</v>
      </c>
      <c r="G109" s="21" t="s">
        <v>17</v>
      </c>
      <c r="H109" s="21" t="s">
        <v>17</v>
      </c>
      <c r="I109" s="21" t="s">
        <v>18</v>
      </c>
      <c r="J109">
        <v>7</v>
      </c>
      <c r="K109" t="s">
        <v>67</v>
      </c>
    </row>
    <row r="110" spans="1:11" x14ac:dyDescent="0.35">
      <c r="A110" s="21" t="s">
        <v>204</v>
      </c>
      <c r="B110">
        <v>775</v>
      </c>
      <c r="C110" s="1">
        <v>45741</v>
      </c>
      <c r="D110">
        <v>14958</v>
      </c>
      <c r="E110">
        <v>36949</v>
      </c>
      <c r="F110" s="1">
        <v>45292</v>
      </c>
      <c r="G110" s="21" t="s">
        <v>17</v>
      </c>
      <c r="H110" s="21" t="s">
        <v>17</v>
      </c>
      <c r="I110" s="21" t="s">
        <v>18</v>
      </c>
      <c r="J110">
        <v>3</v>
      </c>
      <c r="K110" t="s">
        <v>67</v>
      </c>
    </row>
    <row r="111" spans="1:11" x14ac:dyDescent="0.35">
      <c r="A111" s="21" t="s">
        <v>16</v>
      </c>
      <c r="B111">
        <v>775</v>
      </c>
      <c r="C111" s="1">
        <v>45673</v>
      </c>
      <c r="D111">
        <v>14109</v>
      </c>
      <c r="E111">
        <v>35562</v>
      </c>
      <c r="F111" s="1">
        <v>44562</v>
      </c>
      <c r="G111" s="21" t="s">
        <v>17</v>
      </c>
      <c r="H111" s="21" t="s">
        <v>13</v>
      </c>
      <c r="I111" s="21" t="s">
        <v>18</v>
      </c>
      <c r="J111">
        <v>1</v>
      </c>
      <c r="K111" t="s">
        <v>67</v>
      </c>
    </row>
    <row r="112" spans="1:11" x14ac:dyDescent="0.35">
      <c r="A112" s="21" t="s">
        <v>523</v>
      </c>
      <c r="B112">
        <v>775</v>
      </c>
      <c r="C112" s="1">
        <v>45979</v>
      </c>
      <c r="D112">
        <v>17749</v>
      </c>
      <c r="E112">
        <v>43512</v>
      </c>
      <c r="F112" s="1">
        <v>45658</v>
      </c>
      <c r="G112" s="21" t="s">
        <v>17</v>
      </c>
      <c r="H112" s="21" t="s">
        <v>13</v>
      </c>
      <c r="I112" s="21" t="s">
        <v>18</v>
      </c>
      <c r="J112">
        <v>11</v>
      </c>
      <c r="K112" t="s">
        <v>67</v>
      </c>
    </row>
    <row r="113" spans="1:11" x14ac:dyDescent="0.35">
      <c r="A113" s="21" t="s">
        <v>208</v>
      </c>
      <c r="B113">
        <v>775</v>
      </c>
      <c r="C113" s="1">
        <v>45741</v>
      </c>
      <c r="D113">
        <v>14953</v>
      </c>
      <c r="E113">
        <v>36944</v>
      </c>
      <c r="F113" s="1">
        <v>44562</v>
      </c>
      <c r="G113" s="21" t="s">
        <v>17</v>
      </c>
      <c r="H113" s="21" t="s">
        <v>13</v>
      </c>
      <c r="I113" s="21" t="s">
        <v>18</v>
      </c>
      <c r="J113">
        <v>3</v>
      </c>
      <c r="K113" t="s">
        <v>67</v>
      </c>
    </row>
    <row r="114" spans="1:11" x14ac:dyDescent="0.35">
      <c r="A114" s="21" t="s">
        <v>155</v>
      </c>
      <c r="B114">
        <v>775</v>
      </c>
      <c r="C114" s="1">
        <v>45704</v>
      </c>
      <c r="D114">
        <v>14471</v>
      </c>
      <c r="E114">
        <v>36076</v>
      </c>
      <c r="F114" s="1">
        <v>40179</v>
      </c>
      <c r="G114" s="21" t="s">
        <v>1</v>
      </c>
      <c r="H114" s="21" t="s">
        <v>13</v>
      </c>
      <c r="I114" s="21" t="s">
        <v>18</v>
      </c>
      <c r="J114">
        <v>2</v>
      </c>
      <c r="K114" t="s">
        <v>70</v>
      </c>
    </row>
    <row r="115" spans="1:11" x14ac:dyDescent="0.35">
      <c r="A115" s="21" t="s">
        <v>306</v>
      </c>
      <c r="B115">
        <v>775</v>
      </c>
      <c r="C115" s="1">
        <v>45798</v>
      </c>
      <c r="D115">
        <v>15705</v>
      </c>
      <c r="E115">
        <v>39234</v>
      </c>
      <c r="F115" s="1">
        <v>45658</v>
      </c>
      <c r="G115" s="21" t="s">
        <v>17</v>
      </c>
      <c r="H115" s="21" t="s">
        <v>13</v>
      </c>
      <c r="I115" s="21" t="s">
        <v>18</v>
      </c>
      <c r="J115">
        <v>5</v>
      </c>
      <c r="K115" t="s">
        <v>67</v>
      </c>
    </row>
    <row r="116" spans="1:11" x14ac:dyDescent="0.35">
      <c r="A116" s="21" t="s">
        <v>311</v>
      </c>
      <c r="B116">
        <v>775</v>
      </c>
      <c r="C116" s="1">
        <v>45798</v>
      </c>
      <c r="D116">
        <v>15703</v>
      </c>
      <c r="E116">
        <v>39232</v>
      </c>
      <c r="F116" s="1">
        <v>44562</v>
      </c>
      <c r="G116" s="21" t="s">
        <v>17</v>
      </c>
      <c r="H116" s="21" t="s">
        <v>13</v>
      </c>
      <c r="I116" s="21" t="s">
        <v>18</v>
      </c>
      <c r="J116">
        <v>5</v>
      </c>
      <c r="K116" t="s">
        <v>67</v>
      </c>
    </row>
    <row r="117" spans="1:11" x14ac:dyDescent="0.35">
      <c r="A117" s="21" t="s">
        <v>59</v>
      </c>
      <c r="B117">
        <v>1000</v>
      </c>
      <c r="C117" s="1">
        <v>45737</v>
      </c>
      <c r="D117">
        <v>14940</v>
      </c>
      <c r="E117">
        <v>36932</v>
      </c>
      <c r="F117" s="1">
        <v>43831</v>
      </c>
      <c r="G117" s="21" t="s">
        <v>17</v>
      </c>
      <c r="H117" s="21" t="s">
        <v>170</v>
      </c>
      <c r="I117" s="21" t="s">
        <v>133</v>
      </c>
      <c r="J117">
        <v>3</v>
      </c>
      <c r="K117" t="s">
        <v>71</v>
      </c>
    </row>
    <row r="118" spans="1:11" x14ac:dyDescent="0.35">
      <c r="A118" s="21" t="s">
        <v>325</v>
      </c>
      <c r="B118">
        <v>1000</v>
      </c>
      <c r="C118" s="1">
        <v>45819</v>
      </c>
      <c r="D118">
        <v>15877</v>
      </c>
      <c r="E118">
        <v>39499</v>
      </c>
      <c r="F118" s="1">
        <v>37257</v>
      </c>
      <c r="G118" s="21" t="s">
        <v>17</v>
      </c>
      <c r="H118" s="21" t="s">
        <v>326</v>
      </c>
      <c r="I118" s="21" t="s">
        <v>133</v>
      </c>
      <c r="J118">
        <v>6</v>
      </c>
      <c r="K118" t="s">
        <v>68</v>
      </c>
    </row>
    <row r="119" spans="1:11" x14ac:dyDescent="0.35">
      <c r="A119" s="21" t="s">
        <v>28</v>
      </c>
      <c r="B119">
        <v>1000</v>
      </c>
      <c r="C119" s="1">
        <v>45748</v>
      </c>
      <c r="D119">
        <v>15066</v>
      </c>
      <c r="E119">
        <v>37189</v>
      </c>
      <c r="F119" s="1">
        <v>43466</v>
      </c>
      <c r="G119" s="21" t="s">
        <v>17</v>
      </c>
      <c r="H119" s="21" t="s">
        <v>172</v>
      </c>
      <c r="I119" s="21" t="s">
        <v>133</v>
      </c>
      <c r="J119">
        <v>4</v>
      </c>
      <c r="K119" t="s">
        <v>71</v>
      </c>
    </row>
    <row r="120" spans="1:11" x14ac:dyDescent="0.35">
      <c r="A120" s="21" t="s">
        <v>50</v>
      </c>
      <c r="B120">
        <v>1000</v>
      </c>
      <c r="C120" s="1">
        <v>45736</v>
      </c>
      <c r="D120">
        <v>14895</v>
      </c>
      <c r="E120">
        <v>36858</v>
      </c>
      <c r="F120" s="1">
        <v>36526</v>
      </c>
      <c r="G120" s="21" t="s">
        <v>17</v>
      </c>
      <c r="H120" s="21" t="s">
        <v>173</v>
      </c>
      <c r="I120" s="21" t="s">
        <v>133</v>
      </c>
      <c r="J120">
        <v>3</v>
      </c>
      <c r="K120" t="s">
        <v>68</v>
      </c>
    </row>
    <row r="121" spans="1:11" x14ac:dyDescent="0.35">
      <c r="A121" s="21" t="s">
        <v>45</v>
      </c>
      <c r="B121">
        <v>1000</v>
      </c>
      <c r="C121" s="1">
        <v>45747</v>
      </c>
      <c r="D121">
        <v>15063</v>
      </c>
      <c r="E121">
        <v>37186</v>
      </c>
      <c r="F121" s="1">
        <v>37257</v>
      </c>
      <c r="G121" s="21" t="s">
        <v>17</v>
      </c>
      <c r="H121" s="21" t="s">
        <v>174</v>
      </c>
      <c r="I121" s="21" t="s">
        <v>133</v>
      </c>
      <c r="J121">
        <v>3</v>
      </c>
      <c r="K121" t="s">
        <v>68</v>
      </c>
    </row>
    <row r="122" spans="1:11" x14ac:dyDescent="0.35">
      <c r="A122" s="21" t="s">
        <v>375</v>
      </c>
      <c r="B122">
        <v>1000</v>
      </c>
      <c r="C122" s="1">
        <v>45846</v>
      </c>
      <c r="D122">
        <v>16212</v>
      </c>
      <c r="E122">
        <v>40012</v>
      </c>
      <c r="F122" s="1">
        <v>36526</v>
      </c>
      <c r="G122" s="21" t="s">
        <v>17</v>
      </c>
      <c r="H122" s="21" t="s">
        <v>376</v>
      </c>
      <c r="I122" s="21" t="s">
        <v>133</v>
      </c>
      <c r="J122">
        <v>7</v>
      </c>
      <c r="K122" t="s">
        <v>68</v>
      </c>
    </row>
    <row r="123" spans="1:11" x14ac:dyDescent="0.35">
      <c r="A123" s="21" t="s">
        <v>56</v>
      </c>
      <c r="B123">
        <v>1000</v>
      </c>
      <c r="C123" s="1">
        <v>45747</v>
      </c>
      <c r="D123">
        <v>15064</v>
      </c>
      <c r="E123">
        <v>37187</v>
      </c>
      <c r="F123" s="1">
        <v>44197</v>
      </c>
      <c r="G123" s="21" t="s">
        <v>17</v>
      </c>
      <c r="H123" s="21" t="s">
        <v>178</v>
      </c>
      <c r="I123" s="21" t="s">
        <v>133</v>
      </c>
      <c r="J123">
        <v>3</v>
      </c>
      <c r="K123" t="s">
        <v>71</v>
      </c>
    </row>
    <row r="124" spans="1:11" x14ac:dyDescent="0.35">
      <c r="A124" s="21" t="s">
        <v>251</v>
      </c>
      <c r="B124">
        <v>1000</v>
      </c>
      <c r="C124" s="1">
        <v>45782</v>
      </c>
      <c r="D124">
        <v>15520</v>
      </c>
      <c r="E124">
        <v>38860</v>
      </c>
      <c r="F124" s="1">
        <v>41640</v>
      </c>
      <c r="G124" s="21" t="s">
        <v>17</v>
      </c>
      <c r="H124" s="21" t="s">
        <v>252</v>
      </c>
      <c r="I124" s="21" t="s">
        <v>133</v>
      </c>
      <c r="J124">
        <v>5</v>
      </c>
      <c r="K124" t="s">
        <v>69</v>
      </c>
    </row>
    <row r="125" spans="1:11" x14ac:dyDescent="0.35">
      <c r="A125" s="21" t="s">
        <v>377</v>
      </c>
      <c r="B125">
        <v>1000</v>
      </c>
      <c r="C125" s="1">
        <v>45873</v>
      </c>
      <c r="D125">
        <v>16504</v>
      </c>
      <c r="E125">
        <v>40854</v>
      </c>
      <c r="F125" s="1">
        <v>39083</v>
      </c>
      <c r="G125" s="21" t="s">
        <v>17</v>
      </c>
      <c r="H125" s="21" t="s">
        <v>378</v>
      </c>
      <c r="I125" s="21" t="s">
        <v>133</v>
      </c>
      <c r="J125">
        <v>8</v>
      </c>
      <c r="K125" t="s">
        <v>68</v>
      </c>
    </row>
    <row r="126" spans="1:11" x14ac:dyDescent="0.35">
      <c r="A126" s="21" t="s">
        <v>253</v>
      </c>
      <c r="B126">
        <v>1000</v>
      </c>
      <c r="C126" s="1">
        <v>45762</v>
      </c>
      <c r="D126">
        <v>15306</v>
      </c>
      <c r="E126">
        <v>38191</v>
      </c>
      <c r="F126" s="1">
        <v>39814</v>
      </c>
      <c r="G126" s="21" t="s">
        <v>17</v>
      </c>
      <c r="H126" s="21" t="s">
        <v>254</v>
      </c>
      <c r="I126" s="21" t="s">
        <v>133</v>
      </c>
      <c r="J126">
        <v>4</v>
      </c>
      <c r="K126" t="s">
        <v>70</v>
      </c>
    </row>
    <row r="127" spans="1:11" x14ac:dyDescent="0.35">
      <c r="A127" s="21" t="s">
        <v>379</v>
      </c>
      <c r="B127">
        <v>1000</v>
      </c>
      <c r="C127" s="1">
        <v>45861</v>
      </c>
      <c r="D127">
        <v>16348</v>
      </c>
      <c r="E127">
        <v>40352</v>
      </c>
      <c r="F127" s="1">
        <v>43466</v>
      </c>
      <c r="G127" s="21" t="s">
        <v>17</v>
      </c>
      <c r="H127" s="21" t="s">
        <v>380</v>
      </c>
      <c r="I127" s="21" t="s">
        <v>133</v>
      </c>
      <c r="J127">
        <v>7</v>
      </c>
      <c r="K127" t="s">
        <v>71</v>
      </c>
    </row>
    <row r="128" spans="1:11" x14ac:dyDescent="0.35">
      <c r="A128" s="21" t="s">
        <v>255</v>
      </c>
      <c r="B128">
        <v>1000</v>
      </c>
      <c r="C128" s="1">
        <v>45749</v>
      </c>
      <c r="D128">
        <v>15093</v>
      </c>
      <c r="E128">
        <v>37297</v>
      </c>
      <c r="F128" s="1">
        <v>44927</v>
      </c>
      <c r="G128" s="21" t="s">
        <v>17</v>
      </c>
      <c r="H128" s="21" t="s">
        <v>256</v>
      </c>
      <c r="I128" s="21" t="s">
        <v>133</v>
      </c>
      <c r="J128">
        <v>4</v>
      </c>
      <c r="K128" t="s">
        <v>67</v>
      </c>
    </row>
    <row r="129" spans="1:11" x14ac:dyDescent="0.35">
      <c r="A129" s="21" t="s">
        <v>60</v>
      </c>
      <c r="B129">
        <v>1000</v>
      </c>
      <c r="C129" s="1">
        <v>45695</v>
      </c>
      <c r="D129">
        <v>14422</v>
      </c>
      <c r="E129">
        <v>36009</v>
      </c>
      <c r="F129" s="1">
        <v>41640</v>
      </c>
      <c r="G129" s="21" t="s">
        <v>17</v>
      </c>
      <c r="H129" s="21" t="s">
        <v>134</v>
      </c>
      <c r="I129" s="21" t="s">
        <v>133</v>
      </c>
      <c r="J129">
        <v>2</v>
      </c>
      <c r="K129" t="s">
        <v>69</v>
      </c>
    </row>
    <row r="130" spans="1:11" x14ac:dyDescent="0.35">
      <c r="A130" s="21" t="s">
        <v>257</v>
      </c>
      <c r="B130">
        <v>1000</v>
      </c>
      <c r="C130" s="1">
        <v>45804</v>
      </c>
      <c r="D130">
        <v>15738</v>
      </c>
      <c r="E130">
        <v>39267</v>
      </c>
      <c r="F130" s="1">
        <v>42736</v>
      </c>
      <c r="G130" s="21" t="s">
        <v>17</v>
      </c>
      <c r="H130" s="21" t="s">
        <v>258</v>
      </c>
      <c r="I130" s="21" t="s">
        <v>133</v>
      </c>
      <c r="J130">
        <v>5</v>
      </c>
      <c r="K130" t="s">
        <v>69</v>
      </c>
    </row>
    <row r="131" spans="1:11" x14ac:dyDescent="0.35">
      <c r="A131" s="21" t="s">
        <v>259</v>
      </c>
      <c r="B131">
        <v>1000</v>
      </c>
      <c r="C131" s="1">
        <v>45793</v>
      </c>
      <c r="D131">
        <v>15670</v>
      </c>
      <c r="E131">
        <v>39200</v>
      </c>
      <c r="F131" s="1">
        <v>43101</v>
      </c>
      <c r="G131" s="21" t="s">
        <v>17</v>
      </c>
      <c r="H131" s="21" t="s">
        <v>260</v>
      </c>
      <c r="I131" s="21" t="s">
        <v>133</v>
      </c>
      <c r="J131">
        <v>5</v>
      </c>
      <c r="K131" t="s">
        <v>71</v>
      </c>
    </row>
    <row r="132" spans="1:11" x14ac:dyDescent="0.35">
      <c r="A132" s="21" t="s">
        <v>236</v>
      </c>
      <c r="B132">
        <v>1033</v>
      </c>
      <c r="C132" s="1">
        <v>45743</v>
      </c>
      <c r="D132">
        <v>15190</v>
      </c>
      <c r="E132">
        <v>37731</v>
      </c>
      <c r="F132" s="1">
        <v>36892</v>
      </c>
      <c r="G132" s="21" t="s">
        <v>17</v>
      </c>
      <c r="H132" s="21" t="s">
        <v>237</v>
      </c>
      <c r="I132" s="21" t="s">
        <v>133</v>
      </c>
      <c r="J132">
        <v>3</v>
      </c>
      <c r="K132" t="s">
        <v>68</v>
      </c>
    </row>
    <row r="133" spans="1:11" x14ac:dyDescent="0.35">
      <c r="A133" s="21" t="s">
        <v>43</v>
      </c>
      <c r="B133">
        <v>1053.5</v>
      </c>
      <c r="C133" s="1">
        <v>45736</v>
      </c>
      <c r="D133">
        <v>14904</v>
      </c>
      <c r="E133">
        <v>36867</v>
      </c>
      <c r="F133" s="1">
        <v>36526</v>
      </c>
      <c r="G133" s="21" t="s">
        <v>17</v>
      </c>
      <c r="H133" s="21" t="s">
        <v>179</v>
      </c>
      <c r="I133" s="21" t="s">
        <v>133</v>
      </c>
      <c r="J133">
        <v>3</v>
      </c>
      <c r="K133" t="s">
        <v>68</v>
      </c>
    </row>
    <row r="134" spans="1:11" x14ac:dyDescent="0.35">
      <c r="A134" s="21" t="s">
        <v>244</v>
      </c>
      <c r="B134">
        <v>1242</v>
      </c>
      <c r="C134" s="1">
        <v>45748</v>
      </c>
      <c r="D134">
        <v>15079</v>
      </c>
      <c r="E134">
        <v>37262</v>
      </c>
      <c r="F134" s="1">
        <v>37622</v>
      </c>
      <c r="G134" s="21" t="s">
        <v>17</v>
      </c>
      <c r="H134" s="21" t="s">
        <v>245</v>
      </c>
      <c r="I134" s="21" t="s">
        <v>133</v>
      </c>
      <c r="J134">
        <v>4</v>
      </c>
      <c r="K134" t="s">
        <v>68</v>
      </c>
    </row>
    <row r="135" spans="1:11" x14ac:dyDescent="0.35">
      <c r="A135" s="21" t="s">
        <v>240</v>
      </c>
      <c r="B135">
        <v>1308</v>
      </c>
      <c r="C135" s="1">
        <v>45762</v>
      </c>
      <c r="D135">
        <v>15327</v>
      </c>
      <c r="E135">
        <v>38280</v>
      </c>
      <c r="F135" s="1">
        <v>44562</v>
      </c>
      <c r="G135" s="21" t="s">
        <v>17</v>
      </c>
      <c r="H135" s="21" t="s">
        <v>241</v>
      </c>
      <c r="I135" s="21" t="s">
        <v>133</v>
      </c>
      <c r="J135">
        <v>4</v>
      </c>
      <c r="K135" t="s">
        <v>67</v>
      </c>
    </row>
    <row r="136" spans="1:11" x14ac:dyDescent="0.35">
      <c r="A136" s="21" t="s">
        <v>46</v>
      </c>
      <c r="B136">
        <v>1359</v>
      </c>
      <c r="C136" s="1">
        <v>45743</v>
      </c>
      <c r="D136">
        <v>15001</v>
      </c>
      <c r="E136">
        <v>37060</v>
      </c>
      <c r="F136" s="1">
        <v>36526</v>
      </c>
      <c r="G136" s="21" t="s">
        <v>17</v>
      </c>
      <c r="H136" s="21" t="s">
        <v>177</v>
      </c>
      <c r="I136" s="21" t="s">
        <v>133</v>
      </c>
      <c r="J136">
        <v>3</v>
      </c>
      <c r="K136" t="s">
        <v>68</v>
      </c>
    </row>
    <row r="137" spans="1:11" x14ac:dyDescent="0.35">
      <c r="A137" s="21" t="s">
        <v>218</v>
      </c>
      <c r="B137">
        <v>1545</v>
      </c>
      <c r="C137" s="1">
        <v>45769</v>
      </c>
      <c r="D137">
        <v>15381</v>
      </c>
      <c r="E137">
        <v>38442</v>
      </c>
      <c r="F137" s="1">
        <v>42005</v>
      </c>
      <c r="G137" s="21" t="s">
        <v>12</v>
      </c>
      <c r="H137" s="21" t="s">
        <v>219</v>
      </c>
      <c r="I137" s="21" t="s">
        <v>20</v>
      </c>
      <c r="J137">
        <v>4</v>
      </c>
      <c r="K137" t="s">
        <v>69</v>
      </c>
    </row>
    <row r="138" spans="1:11" x14ac:dyDescent="0.35">
      <c r="A138" s="21" t="s">
        <v>409</v>
      </c>
      <c r="B138">
        <v>1545</v>
      </c>
      <c r="C138" s="1">
        <v>45890</v>
      </c>
      <c r="D138">
        <v>16801</v>
      </c>
      <c r="E138">
        <v>42165</v>
      </c>
      <c r="F138" s="1">
        <v>43831</v>
      </c>
      <c r="G138" s="21" t="s">
        <v>12</v>
      </c>
      <c r="H138" s="21" t="s">
        <v>13</v>
      </c>
      <c r="I138" s="21" t="s">
        <v>20</v>
      </c>
      <c r="J138">
        <v>8</v>
      </c>
      <c r="K138" t="s">
        <v>71</v>
      </c>
    </row>
    <row r="139" spans="1:11" x14ac:dyDescent="0.35">
      <c r="A139" s="21" t="s">
        <v>221</v>
      </c>
      <c r="B139">
        <v>1545</v>
      </c>
      <c r="C139" s="1">
        <v>45750</v>
      </c>
      <c r="D139">
        <v>15100</v>
      </c>
      <c r="E139">
        <v>37324</v>
      </c>
      <c r="F139" s="1">
        <v>37622</v>
      </c>
      <c r="G139" s="21" t="s">
        <v>12</v>
      </c>
      <c r="H139" s="21" t="s">
        <v>13</v>
      </c>
      <c r="I139" s="21" t="s">
        <v>20</v>
      </c>
      <c r="J139">
        <v>4</v>
      </c>
      <c r="K139" t="s">
        <v>68</v>
      </c>
    </row>
    <row r="140" spans="1:11" x14ac:dyDescent="0.35">
      <c r="A140" s="21" t="s">
        <v>162</v>
      </c>
      <c r="B140">
        <v>1545</v>
      </c>
      <c r="C140" s="1">
        <v>45722</v>
      </c>
      <c r="D140">
        <v>14689</v>
      </c>
      <c r="E140">
        <v>36502</v>
      </c>
      <c r="F140" s="1">
        <v>40909</v>
      </c>
      <c r="G140" s="21" t="s">
        <v>12</v>
      </c>
      <c r="H140" s="21" t="s">
        <v>13</v>
      </c>
      <c r="I140" s="21" t="s">
        <v>20</v>
      </c>
      <c r="J140">
        <v>3</v>
      </c>
      <c r="K140" t="s">
        <v>70</v>
      </c>
    </row>
    <row r="141" spans="1:11" x14ac:dyDescent="0.35">
      <c r="A141" s="21" t="s">
        <v>410</v>
      </c>
      <c r="B141">
        <v>1545</v>
      </c>
      <c r="C141" s="1">
        <v>45902</v>
      </c>
      <c r="D141">
        <v>17007</v>
      </c>
      <c r="E141">
        <v>42540</v>
      </c>
      <c r="F141" s="1">
        <v>45292</v>
      </c>
      <c r="G141" s="21" t="s">
        <v>12</v>
      </c>
      <c r="H141" s="21" t="s">
        <v>13</v>
      </c>
      <c r="I141" s="21" t="s">
        <v>20</v>
      </c>
      <c r="J141">
        <v>9</v>
      </c>
      <c r="K141" t="s">
        <v>67</v>
      </c>
    </row>
    <row r="142" spans="1:11" x14ac:dyDescent="0.35">
      <c r="A142" s="21" t="s">
        <v>465</v>
      </c>
      <c r="B142">
        <v>1545</v>
      </c>
      <c r="C142" s="1">
        <v>45938</v>
      </c>
      <c r="D142">
        <v>17461</v>
      </c>
      <c r="E142">
        <v>43196</v>
      </c>
      <c r="F142" s="1">
        <v>40544</v>
      </c>
      <c r="G142" s="21" t="s">
        <v>19</v>
      </c>
      <c r="H142" s="21" t="s">
        <v>13</v>
      </c>
      <c r="I142" s="21" t="s">
        <v>20</v>
      </c>
      <c r="J142">
        <v>10</v>
      </c>
      <c r="K142" t="s">
        <v>70</v>
      </c>
    </row>
    <row r="143" spans="1:11" x14ac:dyDescent="0.35">
      <c r="A143" s="21" t="s">
        <v>466</v>
      </c>
      <c r="B143">
        <v>1545</v>
      </c>
      <c r="C143" s="1">
        <v>45940</v>
      </c>
      <c r="D143">
        <v>17481</v>
      </c>
      <c r="E143">
        <v>43216</v>
      </c>
      <c r="F143" s="1">
        <v>45292</v>
      </c>
      <c r="G143" s="21" t="s">
        <v>0</v>
      </c>
      <c r="H143" s="21" t="s">
        <v>13</v>
      </c>
      <c r="I143" s="21" t="s">
        <v>20</v>
      </c>
      <c r="J143">
        <v>10</v>
      </c>
      <c r="K143" t="s">
        <v>67</v>
      </c>
    </row>
    <row r="144" spans="1:11" x14ac:dyDescent="0.35">
      <c r="A144" s="21" t="s">
        <v>450</v>
      </c>
      <c r="B144">
        <v>1545</v>
      </c>
      <c r="C144" s="1">
        <v>45910</v>
      </c>
      <c r="D144">
        <v>17150</v>
      </c>
      <c r="E144">
        <v>42825</v>
      </c>
      <c r="F144" s="1">
        <v>45658</v>
      </c>
      <c r="G144" s="21" t="s">
        <v>0</v>
      </c>
      <c r="H144" s="21" t="s">
        <v>13</v>
      </c>
      <c r="I144" s="21" t="s">
        <v>20</v>
      </c>
      <c r="J144">
        <v>9</v>
      </c>
      <c r="K144" t="s">
        <v>67</v>
      </c>
    </row>
    <row r="145" spans="1:11" x14ac:dyDescent="0.35">
      <c r="A145" s="21" t="s">
        <v>123</v>
      </c>
      <c r="B145">
        <v>1545</v>
      </c>
      <c r="C145" s="1">
        <v>45666</v>
      </c>
      <c r="D145">
        <v>13918</v>
      </c>
      <c r="E145">
        <v>35299</v>
      </c>
      <c r="F145" s="1">
        <v>42370</v>
      </c>
      <c r="G145" s="21" t="s">
        <v>19</v>
      </c>
      <c r="H145" s="21" t="s">
        <v>58</v>
      </c>
      <c r="I145" s="21" t="s">
        <v>20</v>
      </c>
      <c r="J145">
        <v>1</v>
      </c>
      <c r="K145" t="s">
        <v>69</v>
      </c>
    </row>
    <row r="146" spans="1:11" x14ac:dyDescent="0.35">
      <c r="A146" s="21" t="s">
        <v>500</v>
      </c>
      <c r="B146">
        <v>1545</v>
      </c>
      <c r="C146" s="1">
        <v>45978</v>
      </c>
      <c r="D146">
        <v>17735</v>
      </c>
      <c r="E146">
        <v>43497</v>
      </c>
      <c r="F146" s="1">
        <v>40179</v>
      </c>
      <c r="G146" s="21" t="s">
        <v>12</v>
      </c>
      <c r="H146" s="21" t="s">
        <v>13</v>
      </c>
      <c r="I146" s="21" t="s">
        <v>20</v>
      </c>
      <c r="J146">
        <v>11</v>
      </c>
      <c r="K146" t="s">
        <v>70</v>
      </c>
    </row>
    <row r="147" spans="1:11" x14ac:dyDescent="0.35">
      <c r="A147" s="21" t="s">
        <v>225</v>
      </c>
      <c r="B147">
        <v>1545</v>
      </c>
      <c r="C147" s="1">
        <v>45769</v>
      </c>
      <c r="D147">
        <v>15378</v>
      </c>
      <c r="E147">
        <v>38439</v>
      </c>
      <c r="F147" s="1">
        <v>45292</v>
      </c>
      <c r="G147" s="21" t="s">
        <v>19</v>
      </c>
      <c r="H147" s="21" t="s">
        <v>13</v>
      </c>
      <c r="I147" s="21" t="s">
        <v>20</v>
      </c>
      <c r="J147">
        <v>4</v>
      </c>
      <c r="K147" t="s">
        <v>67</v>
      </c>
    </row>
    <row r="148" spans="1:11" x14ac:dyDescent="0.35">
      <c r="A148" s="21" t="s">
        <v>61</v>
      </c>
      <c r="B148">
        <v>1545</v>
      </c>
      <c r="C148" s="1">
        <v>45663</v>
      </c>
      <c r="D148">
        <v>13765</v>
      </c>
      <c r="E148">
        <v>35119</v>
      </c>
      <c r="F148" s="1">
        <v>40179</v>
      </c>
      <c r="G148" s="21" t="s">
        <v>19</v>
      </c>
      <c r="H148" s="21" t="s">
        <v>27</v>
      </c>
      <c r="I148" s="21" t="s">
        <v>20</v>
      </c>
      <c r="J148">
        <v>1</v>
      </c>
      <c r="K148" t="s">
        <v>70</v>
      </c>
    </row>
    <row r="149" spans="1:11" x14ac:dyDescent="0.35">
      <c r="A149" s="21" t="s">
        <v>92</v>
      </c>
      <c r="B149">
        <v>1545</v>
      </c>
      <c r="C149" s="1">
        <v>45684</v>
      </c>
      <c r="D149">
        <v>14244</v>
      </c>
      <c r="E149">
        <v>35754</v>
      </c>
      <c r="F149" s="1">
        <v>45658</v>
      </c>
      <c r="G149" s="21" t="s">
        <v>19</v>
      </c>
      <c r="H149" s="21" t="s">
        <v>13</v>
      </c>
      <c r="I149" s="21" t="s">
        <v>20</v>
      </c>
      <c r="J149">
        <v>1</v>
      </c>
      <c r="K149" t="s">
        <v>67</v>
      </c>
    </row>
    <row r="150" spans="1:11" x14ac:dyDescent="0.35">
      <c r="A150" s="21" t="s">
        <v>127</v>
      </c>
      <c r="B150">
        <v>1545</v>
      </c>
      <c r="C150" s="1">
        <v>45706</v>
      </c>
      <c r="D150">
        <v>14505</v>
      </c>
      <c r="E150">
        <v>36131</v>
      </c>
      <c r="F150" s="1">
        <v>40909</v>
      </c>
      <c r="G150" s="21" t="s">
        <v>19</v>
      </c>
      <c r="H150" s="21" t="s">
        <v>128</v>
      </c>
      <c r="I150" s="21" t="s">
        <v>20</v>
      </c>
      <c r="J150">
        <v>2</v>
      </c>
      <c r="K150" t="s">
        <v>70</v>
      </c>
    </row>
    <row r="151" spans="1:11" x14ac:dyDescent="0.35">
      <c r="A151" s="21" t="s">
        <v>503</v>
      </c>
      <c r="B151">
        <v>1545</v>
      </c>
      <c r="C151" s="1">
        <v>45987</v>
      </c>
      <c r="D151">
        <v>17842</v>
      </c>
      <c r="E151">
        <v>43607</v>
      </c>
      <c r="F151" s="1">
        <v>40909</v>
      </c>
      <c r="G151" s="21" t="s">
        <v>19</v>
      </c>
      <c r="H151" s="21" t="s">
        <v>13</v>
      </c>
      <c r="I151" s="21" t="s">
        <v>20</v>
      </c>
      <c r="J151">
        <v>11</v>
      </c>
      <c r="K151" t="s">
        <v>70</v>
      </c>
    </row>
    <row r="152" spans="1:11" x14ac:dyDescent="0.35">
      <c r="A152" s="21" t="s">
        <v>452</v>
      </c>
      <c r="B152">
        <v>1545</v>
      </c>
      <c r="C152" s="1">
        <v>45929</v>
      </c>
      <c r="D152">
        <v>17383</v>
      </c>
      <c r="E152">
        <v>43114</v>
      </c>
      <c r="F152" s="1">
        <v>44927</v>
      </c>
      <c r="G152" s="21" t="s">
        <v>19</v>
      </c>
      <c r="H152" s="21" t="s">
        <v>13</v>
      </c>
      <c r="I152" s="21" t="s">
        <v>20</v>
      </c>
      <c r="J152">
        <v>9</v>
      </c>
      <c r="K152" t="s">
        <v>67</v>
      </c>
    </row>
    <row r="153" spans="1:11" x14ac:dyDescent="0.35">
      <c r="A153" s="21" t="s">
        <v>471</v>
      </c>
      <c r="B153">
        <v>1545</v>
      </c>
      <c r="C153" s="1">
        <v>45937</v>
      </c>
      <c r="D153">
        <v>17450</v>
      </c>
      <c r="E153">
        <v>43185</v>
      </c>
      <c r="F153" s="1">
        <v>42736</v>
      </c>
      <c r="G153" s="21" t="s">
        <v>12</v>
      </c>
      <c r="H153" s="21" t="s">
        <v>13</v>
      </c>
      <c r="I153" s="21" t="s">
        <v>20</v>
      </c>
      <c r="J153">
        <v>10</v>
      </c>
      <c r="K153" t="s">
        <v>69</v>
      </c>
    </row>
    <row r="154" spans="1:11" x14ac:dyDescent="0.35">
      <c r="A154" s="21" t="s">
        <v>421</v>
      </c>
      <c r="B154">
        <v>1545</v>
      </c>
      <c r="C154" s="1">
        <v>45891</v>
      </c>
      <c r="D154">
        <v>16850</v>
      </c>
      <c r="E154">
        <v>42293</v>
      </c>
      <c r="F154" s="1">
        <v>40909</v>
      </c>
      <c r="G154" s="21" t="s">
        <v>19</v>
      </c>
      <c r="H154" s="21" t="s">
        <v>13</v>
      </c>
      <c r="I154" s="21" t="s">
        <v>20</v>
      </c>
      <c r="J154">
        <v>8</v>
      </c>
      <c r="K154" t="s">
        <v>70</v>
      </c>
    </row>
    <row r="155" spans="1:11" x14ac:dyDescent="0.35">
      <c r="A155" s="21" t="s">
        <v>323</v>
      </c>
      <c r="B155">
        <v>1545</v>
      </c>
      <c r="C155" s="1">
        <v>45817</v>
      </c>
      <c r="D155">
        <v>15847</v>
      </c>
      <c r="E155">
        <v>39444</v>
      </c>
      <c r="F155" s="1">
        <v>43101</v>
      </c>
      <c r="G155" s="21" t="s">
        <v>19</v>
      </c>
      <c r="H155" s="21" t="s">
        <v>13</v>
      </c>
      <c r="I155" s="21" t="s">
        <v>20</v>
      </c>
      <c r="J155">
        <v>6</v>
      </c>
      <c r="K155" t="s">
        <v>71</v>
      </c>
    </row>
    <row r="156" spans="1:11" x14ac:dyDescent="0.35">
      <c r="A156" s="21" t="s">
        <v>453</v>
      </c>
      <c r="B156">
        <v>1545</v>
      </c>
      <c r="C156" s="1">
        <v>45921</v>
      </c>
      <c r="D156">
        <v>17279</v>
      </c>
      <c r="E156">
        <v>43006</v>
      </c>
      <c r="F156" s="1">
        <v>45658</v>
      </c>
      <c r="G156" s="21" t="s">
        <v>19</v>
      </c>
      <c r="H156" s="21" t="s">
        <v>13</v>
      </c>
      <c r="I156" s="21" t="s">
        <v>20</v>
      </c>
      <c r="J156">
        <v>9</v>
      </c>
      <c r="K156" t="s">
        <v>67</v>
      </c>
    </row>
    <row r="157" spans="1:11" x14ac:dyDescent="0.35">
      <c r="A157" s="21" t="s">
        <v>426</v>
      </c>
      <c r="B157">
        <v>1545</v>
      </c>
      <c r="C157" s="1">
        <v>45881</v>
      </c>
      <c r="D157">
        <v>16596</v>
      </c>
      <c r="E157">
        <v>41393</v>
      </c>
      <c r="F157" s="1">
        <v>42370</v>
      </c>
      <c r="G157" s="21" t="s">
        <v>12</v>
      </c>
      <c r="H157" s="21" t="s">
        <v>13</v>
      </c>
      <c r="I157" s="21" t="s">
        <v>20</v>
      </c>
      <c r="J157">
        <v>8</v>
      </c>
      <c r="K157" t="s">
        <v>69</v>
      </c>
    </row>
    <row r="158" spans="1:11" x14ac:dyDescent="0.35">
      <c r="A158" s="21" t="s">
        <v>130</v>
      </c>
      <c r="B158">
        <v>1545</v>
      </c>
      <c r="C158" s="1">
        <v>45692</v>
      </c>
      <c r="D158">
        <v>14362</v>
      </c>
      <c r="E158">
        <v>35913</v>
      </c>
      <c r="F158" s="1">
        <v>44197</v>
      </c>
      <c r="G158" s="21" t="s">
        <v>0</v>
      </c>
      <c r="H158" s="21" t="s">
        <v>13</v>
      </c>
      <c r="I158" s="21" t="s">
        <v>20</v>
      </c>
      <c r="J158">
        <v>2</v>
      </c>
      <c r="K158" t="s">
        <v>71</v>
      </c>
    </row>
    <row r="159" spans="1:11" x14ac:dyDescent="0.35">
      <c r="A159" s="21" t="s">
        <v>182</v>
      </c>
      <c r="B159">
        <v>1545</v>
      </c>
      <c r="C159" s="1">
        <v>45747</v>
      </c>
      <c r="D159">
        <v>15039</v>
      </c>
      <c r="E159">
        <v>37132</v>
      </c>
      <c r="F159" s="1">
        <v>41640</v>
      </c>
      <c r="G159" s="21" t="s">
        <v>19</v>
      </c>
      <c r="H159" s="21" t="s">
        <v>13</v>
      </c>
      <c r="I159" s="21" t="s">
        <v>20</v>
      </c>
      <c r="J159">
        <v>3</v>
      </c>
      <c r="K159" t="s">
        <v>69</v>
      </c>
    </row>
    <row r="160" spans="1:11" x14ac:dyDescent="0.35">
      <c r="A160" s="21" t="s">
        <v>336</v>
      </c>
      <c r="B160">
        <v>1545</v>
      </c>
      <c r="C160" s="1">
        <v>45820</v>
      </c>
      <c r="D160">
        <v>15874</v>
      </c>
      <c r="E160">
        <v>39487</v>
      </c>
      <c r="F160" s="1">
        <v>40909</v>
      </c>
      <c r="G160" s="21" t="s">
        <v>12</v>
      </c>
      <c r="H160" s="21" t="s">
        <v>51</v>
      </c>
      <c r="I160" s="21" t="s">
        <v>20</v>
      </c>
      <c r="J160">
        <v>6</v>
      </c>
      <c r="K160" t="s">
        <v>70</v>
      </c>
    </row>
    <row r="161" spans="1:11" x14ac:dyDescent="0.35">
      <c r="A161" s="21" t="s">
        <v>267</v>
      </c>
      <c r="B161">
        <v>1545</v>
      </c>
      <c r="C161" s="1">
        <v>45777</v>
      </c>
      <c r="D161">
        <v>15467</v>
      </c>
      <c r="E161">
        <v>38682</v>
      </c>
      <c r="F161" s="1">
        <v>44197</v>
      </c>
      <c r="G161" s="21" t="s">
        <v>12</v>
      </c>
      <c r="H161" s="21" t="s">
        <v>13</v>
      </c>
      <c r="I161" s="21" t="s">
        <v>20</v>
      </c>
      <c r="J161">
        <v>4</v>
      </c>
      <c r="K161" t="s">
        <v>71</v>
      </c>
    </row>
    <row r="162" spans="1:11" x14ac:dyDescent="0.35">
      <c r="A162" s="21" t="s">
        <v>184</v>
      </c>
      <c r="B162">
        <v>1545</v>
      </c>
      <c r="C162" s="1">
        <v>45735</v>
      </c>
      <c r="D162">
        <v>14883</v>
      </c>
      <c r="E162">
        <v>36839</v>
      </c>
      <c r="F162" s="1">
        <v>45658</v>
      </c>
      <c r="G162" s="21" t="s">
        <v>19</v>
      </c>
      <c r="H162" s="21" t="s">
        <v>13</v>
      </c>
      <c r="I162" s="21" t="s">
        <v>20</v>
      </c>
      <c r="J162">
        <v>3</v>
      </c>
      <c r="K162" t="s">
        <v>67</v>
      </c>
    </row>
    <row r="163" spans="1:11" x14ac:dyDescent="0.35">
      <c r="A163" s="21" t="s">
        <v>339</v>
      </c>
      <c r="B163">
        <v>1545</v>
      </c>
      <c r="C163" s="1">
        <v>45821</v>
      </c>
      <c r="D163">
        <v>15892</v>
      </c>
      <c r="E163">
        <v>39518</v>
      </c>
      <c r="F163" s="1">
        <v>43101</v>
      </c>
      <c r="G163" s="21" t="s">
        <v>0</v>
      </c>
      <c r="H163" s="21" t="s">
        <v>13</v>
      </c>
      <c r="I163" s="21" t="s">
        <v>20</v>
      </c>
      <c r="J163">
        <v>6</v>
      </c>
      <c r="K163" t="s">
        <v>71</v>
      </c>
    </row>
    <row r="164" spans="1:11" x14ac:dyDescent="0.35">
      <c r="A164" s="21" t="s">
        <v>386</v>
      </c>
      <c r="B164">
        <v>1545</v>
      </c>
      <c r="C164" s="1">
        <v>45862</v>
      </c>
      <c r="D164">
        <v>16362</v>
      </c>
      <c r="E164">
        <v>40399</v>
      </c>
      <c r="F164" s="1">
        <v>45658</v>
      </c>
      <c r="G164" s="21" t="s">
        <v>19</v>
      </c>
      <c r="H164" s="21" t="s">
        <v>13</v>
      </c>
      <c r="I164" s="21" t="s">
        <v>20</v>
      </c>
      <c r="J164">
        <v>7</v>
      </c>
      <c r="K164" t="s">
        <v>67</v>
      </c>
    </row>
    <row r="165" spans="1:11" x14ac:dyDescent="0.35">
      <c r="A165" s="21" t="s">
        <v>141</v>
      </c>
      <c r="B165">
        <v>1545</v>
      </c>
      <c r="C165" s="1">
        <v>45708</v>
      </c>
      <c r="D165">
        <v>14524</v>
      </c>
      <c r="E165">
        <v>36150</v>
      </c>
      <c r="F165" s="1">
        <v>44927</v>
      </c>
      <c r="G165" s="21" t="s">
        <v>0</v>
      </c>
      <c r="H165" s="21" t="s">
        <v>13</v>
      </c>
      <c r="I165" s="21" t="s">
        <v>20</v>
      </c>
      <c r="J165">
        <v>2</v>
      </c>
      <c r="K165" t="s">
        <v>67</v>
      </c>
    </row>
    <row r="166" spans="1:11" x14ac:dyDescent="0.35">
      <c r="A166" s="21" t="s">
        <v>24</v>
      </c>
      <c r="B166">
        <v>1545</v>
      </c>
      <c r="C166" s="1">
        <v>45685</v>
      </c>
      <c r="D166">
        <v>14273</v>
      </c>
      <c r="E166">
        <v>35804</v>
      </c>
      <c r="F166" s="1">
        <v>45292</v>
      </c>
      <c r="G166" s="21" t="s">
        <v>19</v>
      </c>
      <c r="H166" s="21" t="s">
        <v>13</v>
      </c>
      <c r="I166" s="21" t="s">
        <v>20</v>
      </c>
      <c r="J166">
        <v>1</v>
      </c>
      <c r="K166" t="s">
        <v>67</v>
      </c>
    </row>
    <row r="167" spans="1:11" x14ac:dyDescent="0.35">
      <c r="A167" s="21" t="s">
        <v>390</v>
      </c>
      <c r="B167">
        <v>1545</v>
      </c>
      <c r="C167" s="1">
        <v>45839</v>
      </c>
      <c r="D167">
        <v>16062</v>
      </c>
      <c r="E167">
        <v>39802</v>
      </c>
      <c r="F167" s="1">
        <v>45658</v>
      </c>
      <c r="G167" s="21" t="s">
        <v>0</v>
      </c>
      <c r="H167" s="21" t="s">
        <v>13</v>
      </c>
      <c r="I167" s="21" t="s">
        <v>20</v>
      </c>
      <c r="J167">
        <v>7</v>
      </c>
      <c r="K167" t="s">
        <v>67</v>
      </c>
    </row>
    <row r="168" spans="1:11" x14ac:dyDescent="0.35">
      <c r="A168" s="21" t="s">
        <v>391</v>
      </c>
      <c r="B168">
        <v>1545</v>
      </c>
      <c r="C168" s="1">
        <v>45863</v>
      </c>
      <c r="D168">
        <v>16384</v>
      </c>
      <c r="E168">
        <v>40465</v>
      </c>
      <c r="F168" s="1">
        <v>35431</v>
      </c>
      <c r="G168" s="21" t="s">
        <v>12</v>
      </c>
      <c r="H168" s="21" t="s">
        <v>13</v>
      </c>
      <c r="I168" s="21" t="s">
        <v>20</v>
      </c>
      <c r="J168">
        <v>7</v>
      </c>
      <c r="K168" t="s">
        <v>68</v>
      </c>
    </row>
    <row r="169" spans="1:11" x14ac:dyDescent="0.35">
      <c r="A169" s="21" t="s">
        <v>287</v>
      </c>
      <c r="B169">
        <v>1545</v>
      </c>
      <c r="C169" s="1">
        <v>45806</v>
      </c>
      <c r="D169">
        <v>15757</v>
      </c>
      <c r="E169">
        <v>39305</v>
      </c>
      <c r="F169" s="1">
        <v>45658</v>
      </c>
      <c r="G169" s="21" t="s">
        <v>12</v>
      </c>
      <c r="H169" s="21" t="s">
        <v>13</v>
      </c>
      <c r="I169" s="21" t="s">
        <v>20</v>
      </c>
      <c r="J169">
        <v>5</v>
      </c>
      <c r="K169" t="s">
        <v>67</v>
      </c>
    </row>
    <row r="170" spans="1:11" x14ac:dyDescent="0.35">
      <c r="A170" s="21" t="s">
        <v>15</v>
      </c>
      <c r="B170">
        <v>1545</v>
      </c>
      <c r="C170" s="1">
        <v>45663</v>
      </c>
      <c r="D170">
        <v>13776</v>
      </c>
      <c r="E170">
        <v>35134</v>
      </c>
      <c r="F170" s="1">
        <v>38718</v>
      </c>
      <c r="G170" s="21" t="s">
        <v>12</v>
      </c>
      <c r="H170" s="21" t="s">
        <v>13</v>
      </c>
      <c r="I170" s="21" t="s">
        <v>20</v>
      </c>
      <c r="J170">
        <v>1</v>
      </c>
      <c r="K170" t="s">
        <v>68</v>
      </c>
    </row>
    <row r="171" spans="1:11" x14ac:dyDescent="0.35">
      <c r="A171" s="21" t="s">
        <v>289</v>
      </c>
      <c r="B171">
        <v>1545</v>
      </c>
      <c r="C171" s="1">
        <v>45749</v>
      </c>
      <c r="D171">
        <v>15092</v>
      </c>
      <c r="E171">
        <v>37296</v>
      </c>
      <c r="F171" s="1">
        <v>43831</v>
      </c>
      <c r="G171" s="21" t="s">
        <v>12</v>
      </c>
      <c r="H171" s="21" t="s">
        <v>176</v>
      </c>
      <c r="I171" s="21" t="s">
        <v>20</v>
      </c>
      <c r="J171">
        <v>4</v>
      </c>
      <c r="K171" t="s">
        <v>71</v>
      </c>
    </row>
    <row r="172" spans="1:11" x14ac:dyDescent="0.35">
      <c r="A172" s="21" t="s">
        <v>516</v>
      </c>
      <c r="B172">
        <v>1545</v>
      </c>
      <c r="C172" s="1">
        <v>45985</v>
      </c>
      <c r="D172">
        <v>17823</v>
      </c>
      <c r="E172">
        <v>43588</v>
      </c>
      <c r="F172" s="1">
        <v>44562</v>
      </c>
      <c r="G172" s="21" t="s">
        <v>0</v>
      </c>
      <c r="H172" s="21" t="s">
        <v>13</v>
      </c>
      <c r="I172" s="21" t="s">
        <v>20</v>
      </c>
      <c r="J172">
        <v>11</v>
      </c>
      <c r="K172" t="s">
        <v>67</v>
      </c>
    </row>
    <row r="173" spans="1:11" x14ac:dyDescent="0.35">
      <c r="A173" s="21" t="s">
        <v>290</v>
      </c>
      <c r="B173">
        <v>1545</v>
      </c>
      <c r="C173" s="1">
        <v>45777</v>
      </c>
      <c r="D173">
        <v>15464</v>
      </c>
      <c r="E173">
        <v>38674</v>
      </c>
      <c r="F173" s="1">
        <v>45658</v>
      </c>
      <c r="G173" s="21" t="s">
        <v>19</v>
      </c>
      <c r="H173" s="21" t="s">
        <v>13</v>
      </c>
      <c r="I173" s="21" t="s">
        <v>20</v>
      </c>
      <c r="J173">
        <v>4</v>
      </c>
      <c r="K173" t="s">
        <v>67</v>
      </c>
    </row>
    <row r="174" spans="1:11" x14ac:dyDescent="0.35">
      <c r="A174" s="21" t="s">
        <v>291</v>
      </c>
      <c r="B174">
        <v>1545</v>
      </c>
      <c r="C174" s="1">
        <v>45756</v>
      </c>
      <c r="D174">
        <v>15193</v>
      </c>
      <c r="E174">
        <v>37734</v>
      </c>
      <c r="F174" s="1">
        <v>40909</v>
      </c>
      <c r="G174" s="21" t="s">
        <v>19</v>
      </c>
      <c r="H174" s="21" t="s">
        <v>13</v>
      </c>
      <c r="I174" s="21" t="s">
        <v>20</v>
      </c>
      <c r="J174">
        <v>4</v>
      </c>
      <c r="K174" t="s">
        <v>70</v>
      </c>
    </row>
    <row r="175" spans="1:11" x14ac:dyDescent="0.35">
      <c r="A175" s="21" t="s">
        <v>21</v>
      </c>
      <c r="B175">
        <v>1545</v>
      </c>
      <c r="C175" s="1">
        <v>45663</v>
      </c>
      <c r="D175">
        <v>13773</v>
      </c>
      <c r="E175">
        <v>35131</v>
      </c>
      <c r="F175" s="1">
        <v>40179</v>
      </c>
      <c r="G175" s="21" t="s">
        <v>0</v>
      </c>
      <c r="H175" s="21" t="s">
        <v>13</v>
      </c>
      <c r="I175" s="21" t="s">
        <v>20</v>
      </c>
      <c r="J175">
        <v>1</v>
      </c>
      <c r="K175" t="s">
        <v>70</v>
      </c>
    </row>
    <row r="176" spans="1:11" x14ac:dyDescent="0.35">
      <c r="A176" s="21" t="s">
        <v>519</v>
      </c>
      <c r="B176">
        <v>1545</v>
      </c>
      <c r="C176" s="1">
        <v>45982</v>
      </c>
      <c r="D176">
        <v>17820</v>
      </c>
      <c r="E176">
        <v>43585</v>
      </c>
      <c r="F176" s="1">
        <v>40179</v>
      </c>
      <c r="G176" s="21" t="s">
        <v>19</v>
      </c>
      <c r="H176" s="21" t="s">
        <v>13</v>
      </c>
      <c r="I176" s="21" t="s">
        <v>20</v>
      </c>
      <c r="J176">
        <v>11</v>
      </c>
      <c r="K176" t="s">
        <v>70</v>
      </c>
    </row>
    <row r="177" spans="1:11" x14ac:dyDescent="0.35">
      <c r="A177" s="21" t="s">
        <v>154</v>
      </c>
      <c r="B177">
        <v>1545</v>
      </c>
      <c r="C177" s="1">
        <v>45721</v>
      </c>
      <c r="D177">
        <v>14670</v>
      </c>
      <c r="E177">
        <v>36450</v>
      </c>
      <c r="F177" s="1">
        <v>43466</v>
      </c>
      <c r="G177" s="21" t="s">
        <v>19</v>
      </c>
      <c r="H177" s="21" t="s">
        <v>13</v>
      </c>
      <c r="I177" s="21" t="s">
        <v>20</v>
      </c>
      <c r="J177">
        <v>3</v>
      </c>
      <c r="K177" t="s">
        <v>71</v>
      </c>
    </row>
    <row r="178" spans="1:11" x14ac:dyDescent="0.35">
      <c r="A178" s="21" t="s">
        <v>398</v>
      </c>
      <c r="B178">
        <v>1545</v>
      </c>
      <c r="C178" s="1">
        <v>45860</v>
      </c>
      <c r="D178">
        <v>16339</v>
      </c>
      <c r="E178">
        <v>40319</v>
      </c>
      <c r="F178" s="1">
        <v>44927</v>
      </c>
      <c r="G178" s="21" t="s">
        <v>19</v>
      </c>
      <c r="H178" s="21" t="s">
        <v>13</v>
      </c>
      <c r="I178" s="21" t="s">
        <v>20</v>
      </c>
      <c r="J178">
        <v>7</v>
      </c>
      <c r="K178" t="s">
        <v>67</v>
      </c>
    </row>
    <row r="179" spans="1:11" x14ac:dyDescent="0.35">
      <c r="A179" s="21" t="s">
        <v>521</v>
      </c>
      <c r="B179">
        <v>1545</v>
      </c>
      <c r="C179" s="1">
        <v>45971</v>
      </c>
      <c r="D179">
        <v>17693</v>
      </c>
      <c r="E179">
        <v>43454</v>
      </c>
      <c r="F179" s="1">
        <v>37987</v>
      </c>
      <c r="G179" s="21" t="s">
        <v>19</v>
      </c>
      <c r="H179" s="21" t="s">
        <v>13</v>
      </c>
      <c r="I179" s="21" t="s">
        <v>20</v>
      </c>
      <c r="J179">
        <v>11</v>
      </c>
      <c r="K179" t="s">
        <v>68</v>
      </c>
    </row>
    <row r="180" spans="1:11" x14ac:dyDescent="0.35">
      <c r="A180" s="21" t="s">
        <v>29</v>
      </c>
      <c r="B180">
        <v>1545</v>
      </c>
      <c r="C180" s="1">
        <v>45677</v>
      </c>
      <c r="D180">
        <v>14144</v>
      </c>
      <c r="E180">
        <v>35616</v>
      </c>
      <c r="F180" s="1">
        <v>41275</v>
      </c>
      <c r="G180" s="21" t="s">
        <v>12</v>
      </c>
      <c r="H180" s="21" t="s">
        <v>13</v>
      </c>
      <c r="I180" s="21" t="s">
        <v>20</v>
      </c>
      <c r="J180">
        <v>1</v>
      </c>
      <c r="K180" t="s">
        <v>69</v>
      </c>
    </row>
    <row r="181" spans="1:11" x14ac:dyDescent="0.35">
      <c r="A181" s="21" t="s">
        <v>34</v>
      </c>
      <c r="B181">
        <v>1545</v>
      </c>
      <c r="C181" s="1">
        <v>45687</v>
      </c>
      <c r="D181">
        <v>14312</v>
      </c>
      <c r="E181">
        <v>35848</v>
      </c>
      <c r="F181" s="1">
        <v>45292</v>
      </c>
      <c r="G181" s="21" t="s">
        <v>19</v>
      </c>
      <c r="H181" s="21" t="s">
        <v>27</v>
      </c>
      <c r="I181" s="21" t="s">
        <v>20</v>
      </c>
      <c r="J181">
        <v>1</v>
      </c>
      <c r="K181" t="s">
        <v>67</v>
      </c>
    </row>
    <row r="182" spans="1:11" x14ac:dyDescent="0.35">
      <c r="A182" s="21" t="s">
        <v>203</v>
      </c>
      <c r="B182">
        <v>1545</v>
      </c>
      <c r="C182" s="1">
        <v>45733</v>
      </c>
      <c r="D182">
        <v>14823</v>
      </c>
      <c r="E182">
        <v>36736</v>
      </c>
      <c r="F182" s="1">
        <v>44197</v>
      </c>
      <c r="G182" s="21" t="s">
        <v>19</v>
      </c>
      <c r="H182" s="21" t="s">
        <v>13</v>
      </c>
      <c r="I182" s="21" t="s">
        <v>20</v>
      </c>
      <c r="J182">
        <v>3</v>
      </c>
      <c r="K182" t="s">
        <v>71</v>
      </c>
    </row>
    <row r="183" spans="1:11" x14ac:dyDescent="0.35">
      <c r="A183" s="21" t="s">
        <v>298</v>
      </c>
      <c r="B183">
        <v>1545</v>
      </c>
      <c r="C183" s="1">
        <v>45791</v>
      </c>
      <c r="D183">
        <v>15635</v>
      </c>
      <c r="E183">
        <v>39152</v>
      </c>
      <c r="F183" s="1">
        <v>45658</v>
      </c>
      <c r="G183" s="21" t="s">
        <v>0</v>
      </c>
      <c r="H183" s="21" t="s">
        <v>13</v>
      </c>
      <c r="I183" s="21" t="s">
        <v>20</v>
      </c>
      <c r="J183">
        <v>5</v>
      </c>
      <c r="K183" t="s">
        <v>67</v>
      </c>
    </row>
    <row r="184" spans="1:11" x14ac:dyDescent="0.35">
      <c r="A184" s="21" t="s">
        <v>488</v>
      </c>
      <c r="B184">
        <v>1545</v>
      </c>
      <c r="C184" s="1">
        <v>45944</v>
      </c>
      <c r="D184">
        <v>17505</v>
      </c>
      <c r="E184">
        <v>43241</v>
      </c>
      <c r="F184" s="1">
        <v>39814</v>
      </c>
      <c r="G184" s="21" t="s">
        <v>12</v>
      </c>
      <c r="H184" s="21" t="s">
        <v>489</v>
      </c>
      <c r="I184" s="21" t="s">
        <v>20</v>
      </c>
      <c r="J184">
        <v>10</v>
      </c>
      <c r="K184" t="s">
        <v>70</v>
      </c>
    </row>
    <row r="185" spans="1:11" x14ac:dyDescent="0.35">
      <c r="A185" s="21" t="s">
        <v>440</v>
      </c>
      <c r="B185">
        <v>1545</v>
      </c>
      <c r="C185" s="1">
        <v>45888</v>
      </c>
      <c r="D185">
        <v>16720</v>
      </c>
      <c r="E185">
        <v>41970</v>
      </c>
      <c r="F185" s="1">
        <v>45292</v>
      </c>
      <c r="G185" s="21" t="s">
        <v>0</v>
      </c>
      <c r="H185" s="21" t="s">
        <v>17</v>
      </c>
      <c r="I185" s="21" t="s">
        <v>20</v>
      </c>
      <c r="J185">
        <v>8</v>
      </c>
      <c r="K185" t="s">
        <v>67</v>
      </c>
    </row>
    <row r="186" spans="1:11" x14ac:dyDescent="0.35">
      <c r="A186" s="21" t="s">
        <v>114</v>
      </c>
      <c r="B186">
        <v>1545</v>
      </c>
      <c r="C186" s="1">
        <v>45679</v>
      </c>
      <c r="D186">
        <v>14170</v>
      </c>
      <c r="E186">
        <v>35654</v>
      </c>
      <c r="F186" s="1">
        <v>45658</v>
      </c>
      <c r="G186" s="21" t="s">
        <v>19</v>
      </c>
      <c r="H186" s="21" t="s">
        <v>13</v>
      </c>
      <c r="I186" s="21" t="s">
        <v>20</v>
      </c>
      <c r="J186">
        <v>1</v>
      </c>
      <c r="K186" t="s">
        <v>67</v>
      </c>
    </row>
    <row r="187" spans="1:11" x14ac:dyDescent="0.35">
      <c r="A187" s="21" t="s">
        <v>490</v>
      </c>
      <c r="B187">
        <v>1545</v>
      </c>
      <c r="C187" s="1">
        <v>45951</v>
      </c>
      <c r="D187">
        <v>17580</v>
      </c>
      <c r="E187">
        <v>43322</v>
      </c>
      <c r="F187" s="1">
        <v>40179</v>
      </c>
      <c r="G187" s="21" t="s">
        <v>12</v>
      </c>
      <c r="H187" s="21" t="s">
        <v>13</v>
      </c>
      <c r="I187" s="21" t="s">
        <v>20</v>
      </c>
      <c r="J187">
        <v>10</v>
      </c>
      <c r="K187" t="s">
        <v>70</v>
      </c>
    </row>
    <row r="188" spans="1:11" x14ac:dyDescent="0.35">
      <c r="A188" s="21" t="s">
        <v>491</v>
      </c>
      <c r="B188">
        <v>1545</v>
      </c>
      <c r="C188" s="1">
        <v>45947</v>
      </c>
      <c r="D188">
        <v>17532</v>
      </c>
      <c r="E188">
        <v>43269</v>
      </c>
      <c r="F188" s="1">
        <v>45292</v>
      </c>
      <c r="G188" s="21" t="s">
        <v>19</v>
      </c>
      <c r="H188" s="21" t="s">
        <v>27</v>
      </c>
      <c r="I188" s="21" t="s">
        <v>20</v>
      </c>
      <c r="J188">
        <v>10</v>
      </c>
      <c r="K188" t="s">
        <v>67</v>
      </c>
    </row>
    <row r="189" spans="1:11" x14ac:dyDescent="0.35">
      <c r="A189" s="21" t="s">
        <v>524</v>
      </c>
      <c r="B189">
        <v>1545</v>
      </c>
      <c r="C189" s="1">
        <v>45982</v>
      </c>
      <c r="D189">
        <v>17808</v>
      </c>
      <c r="E189">
        <v>43574</v>
      </c>
      <c r="F189" s="1">
        <v>40544</v>
      </c>
      <c r="G189" s="21" t="s">
        <v>12</v>
      </c>
      <c r="H189" s="21" t="s">
        <v>13</v>
      </c>
      <c r="I189" s="21" t="s">
        <v>20</v>
      </c>
      <c r="J189">
        <v>11</v>
      </c>
      <c r="K189" t="s">
        <v>70</v>
      </c>
    </row>
    <row r="190" spans="1:11" x14ac:dyDescent="0.35">
      <c r="A190" s="21" t="s">
        <v>403</v>
      </c>
      <c r="B190">
        <v>1545</v>
      </c>
      <c r="C190" s="1">
        <v>45866</v>
      </c>
      <c r="D190">
        <v>16415</v>
      </c>
      <c r="E190">
        <v>40518</v>
      </c>
      <c r="F190" s="1">
        <v>44562</v>
      </c>
      <c r="G190" s="21" t="s">
        <v>12</v>
      </c>
      <c r="H190" s="21" t="s">
        <v>13</v>
      </c>
      <c r="I190" s="21" t="s">
        <v>20</v>
      </c>
      <c r="J190">
        <v>7</v>
      </c>
      <c r="K190" t="s">
        <v>67</v>
      </c>
    </row>
    <row r="191" spans="1:11" x14ac:dyDescent="0.35">
      <c r="A191" s="21" t="s">
        <v>210</v>
      </c>
      <c r="B191">
        <v>1545</v>
      </c>
      <c r="C191" s="1">
        <v>45734</v>
      </c>
      <c r="D191">
        <v>14830</v>
      </c>
      <c r="E191">
        <v>36743</v>
      </c>
      <c r="F191" s="1">
        <v>45658</v>
      </c>
      <c r="G191" s="21" t="s">
        <v>19</v>
      </c>
      <c r="H191" s="21" t="s">
        <v>13</v>
      </c>
      <c r="I191" s="21" t="s">
        <v>20</v>
      </c>
      <c r="J191">
        <v>3</v>
      </c>
      <c r="K191" t="s">
        <v>67</v>
      </c>
    </row>
    <row r="192" spans="1:11" x14ac:dyDescent="0.35">
      <c r="A192" s="21" t="s">
        <v>525</v>
      </c>
      <c r="B192">
        <v>1545</v>
      </c>
      <c r="C192" s="1">
        <v>45967</v>
      </c>
      <c r="D192">
        <v>17678</v>
      </c>
      <c r="E192">
        <v>43441</v>
      </c>
      <c r="F192" s="1">
        <v>41275</v>
      </c>
      <c r="G192" s="21" t="s">
        <v>0</v>
      </c>
      <c r="H192" s="21" t="s">
        <v>13</v>
      </c>
      <c r="I192" s="21" t="s">
        <v>20</v>
      </c>
      <c r="J192">
        <v>11</v>
      </c>
      <c r="K192" t="s">
        <v>69</v>
      </c>
    </row>
    <row r="193" spans="1:11" x14ac:dyDescent="0.35">
      <c r="A193" s="21" t="s">
        <v>156</v>
      </c>
      <c r="B193">
        <v>1545</v>
      </c>
      <c r="C193" s="1">
        <v>45698</v>
      </c>
      <c r="D193">
        <v>14419</v>
      </c>
      <c r="E193">
        <v>36006</v>
      </c>
      <c r="F193" s="1">
        <v>40544</v>
      </c>
      <c r="G193" s="21" t="s">
        <v>12</v>
      </c>
      <c r="H193" s="21" t="s">
        <v>13</v>
      </c>
      <c r="I193" s="21" t="s">
        <v>20</v>
      </c>
      <c r="J193">
        <v>2</v>
      </c>
      <c r="K193" t="s">
        <v>70</v>
      </c>
    </row>
    <row r="194" spans="1:11" x14ac:dyDescent="0.35">
      <c r="A194" s="21" t="s">
        <v>310</v>
      </c>
      <c r="B194">
        <v>1545</v>
      </c>
      <c r="C194" s="1">
        <v>45749</v>
      </c>
      <c r="D194">
        <v>15075</v>
      </c>
      <c r="E194">
        <v>37243</v>
      </c>
      <c r="F194" s="1">
        <v>41275</v>
      </c>
      <c r="G194" s="21" t="s">
        <v>0</v>
      </c>
      <c r="H194" s="21" t="s">
        <v>13</v>
      </c>
      <c r="I194" s="21" t="s">
        <v>20</v>
      </c>
      <c r="J194">
        <v>4</v>
      </c>
      <c r="K194" t="s">
        <v>69</v>
      </c>
    </row>
    <row r="195" spans="1:11" x14ac:dyDescent="0.35">
      <c r="A195" s="21" t="s">
        <v>526</v>
      </c>
      <c r="B195">
        <v>1545</v>
      </c>
      <c r="C195" s="1">
        <v>45967</v>
      </c>
      <c r="D195">
        <v>17677</v>
      </c>
      <c r="E195">
        <v>43440</v>
      </c>
      <c r="F195" s="1">
        <v>44197</v>
      </c>
      <c r="G195" s="21" t="s">
        <v>19</v>
      </c>
      <c r="H195" s="21" t="s">
        <v>13</v>
      </c>
      <c r="I195" s="21" t="s">
        <v>20</v>
      </c>
      <c r="J195">
        <v>11</v>
      </c>
      <c r="K195" t="s">
        <v>71</v>
      </c>
    </row>
    <row r="196" spans="1:11" x14ac:dyDescent="0.35">
      <c r="A196" s="21" t="s">
        <v>211</v>
      </c>
      <c r="B196">
        <v>1545</v>
      </c>
      <c r="C196" s="1">
        <v>45742</v>
      </c>
      <c r="D196">
        <v>14965</v>
      </c>
      <c r="E196">
        <v>36975</v>
      </c>
      <c r="F196" s="1">
        <v>40179</v>
      </c>
      <c r="G196" s="21" t="s">
        <v>12</v>
      </c>
      <c r="H196" s="21" t="s">
        <v>13</v>
      </c>
      <c r="I196" s="21" t="s">
        <v>20</v>
      </c>
      <c r="J196">
        <v>3</v>
      </c>
      <c r="K196" t="s">
        <v>70</v>
      </c>
    </row>
    <row r="197" spans="1:11" x14ac:dyDescent="0.35">
      <c r="A197" s="21" t="s">
        <v>443</v>
      </c>
      <c r="B197">
        <v>1545</v>
      </c>
      <c r="C197" s="1">
        <v>45880</v>
      </c>
      <c r="D197">
        <v>16592</v>
      </c>
      <c r="E197">
        <v>41360</v>
      </c>
      <c r="F197" s="1">
        <v>39814</v>
      </c>
      <c r="G197" s="21" t="s">
        <v>12</v>
      </c>
      <c r="H197" s="21" t="s">
        <v>13</v>
      </c>
      <c r="I197" s="21" t="s">
        <v>20</v>
      </c>
      <c r="J197">
        <v>8</v>
      </c>
      <c r="K197" t="s">
        <v>70</v>
      </c>
    </row>
    <row r="198" spans="1:11" x14ac:dyDescent="0.35">
      <c r="A198" s="21" t="s">
        <v>496</v>
      </c>
      <c r="B198">
        <v>1545</v>
      </c>
      <c r="C198" s="1">
        <v>45958</v>
      </c>
      <c r="D198">
        <v>17608</v>
      </c>
      <c r="E198">
        <v>43354</v>
      </c>
      <c r="F198" s="1">
        <v>42736</v>
      </c>
      <c r="G198" s="21" t="s">
        <v>19</v>
      </c>
      <c r="H198" s="21" t="s">
        <v>13</v>
      </c>
      <c r="I198" s="21" t="s">
        <v>20</v>
      </c>
      <c r="J198">
        <v>10</v>
      </c>
      <c r="K198" t="s">
        <v>69</v>
      </c>
    </row>
    <row r="199" spans="1:11" x14ac:dyDescent="0.35">
      <c r="A199" s="21" t="s">
        <v>158</v>
      </c>
      <c r="B199">
        <v>1545</v>
      </c>
      <c r="C199" s="1">
        <v>45695</v>
      </c>
      <c r="D199">
        <v>14410</v>
      </c>
      <c r="E199">
        <v>35988</v>
      </c>
      <c r="F199" s="1">
        <v>45292</v>
      </c>
      <c r="G199" s="21" t="s">
        <v>19</v>
      </c>
      <c r="H199" s="21" t="s">
        <v>13</v>
      </c>
      <c r="I199" s="21" t="s">
        <v>20</v>
      </c>
      <c r="J199">
        <v>2</v>
      </c>
      <c r="K199" t="s">
        <v>67</v>
      </c>
    </row>
    <row r="200" spans="1:11" x14ac:dyDescent="0.35">
      <c r="A200" s="21" t="s">
        <v>312</v>
      </c>
      <c r="B200">
        <v>1545</v>
      </c>
      <c r="C200" s="1">
        <v>45775</v>
      </c>
      <c r="D200">
        <v>15442</v>
      </c>
      <c r="E200">
        <v>38611</v>
      </c>
      <c r="F200" s="1">
        <v>39814</v>
      </c>
      <c r="G200" s="21" t="s">
        <v>19</v>
      </c>
      <c r="H200" s="21" t="s">
        <v>13</v>
      </c>
      <c r="I200" s="21" t="s">
        <v>20</v>
      </c>
      <c r="J200">
        <v>4</v>
      </c>
      <c r="K200" t="s">
        <v>70</v>
      </c>
    </row>
    <row r="201" spans="1:11" x14ac:dyDescent="0.35">
      <c r="A201" s="21" t="s">
        <v>381</v>
      </c>
      <c r="B201">
        <v>1590.58</v>
      </c>
      <c r="C201" s="1">
        <v>45840</v>
      </c>
      <c r="D201">
        <v>16075</v>
      </c>
      <c r="E201">
        <v>39823</v>
      </c>
      <c r="F201" s="1">
        <v>37622</v>
      </c>
      <c r="G201" s="21" t="s">
        <v>17</v>
      </c>
      <c r="H201" s="21" t="s">
        <v>382</v>
      </c>
      <c r="I201" s="21" t="s">
        <v>133</v>
      </c>
      <c r="J201">
        <v>7</v>
      </c>
      <c r="K201" t="s">
        <v>68</v>
      </c>
    </row>
    <row r="202" spans="1:11" x14ac:dyDescent="0.35">
      <c r="A202" s="21" t="s">
        <v>131</v>
      </c>
      <c r="B202">
        <v>1643.74</v>
      </c>
      <c r="C202" s="1">
        <v>45712</v>
      </c>
      <c r="D202">
        <v>14586</v>
      </c>
      <c r="E202">
        <v>36254</v>
      </c>
      <c r="F202" s="1">
        <v>36892</v>
      </c>
      <c r="G202" s="21" t="s">
        <v>17</v>
      </c>
      <c r="H202" s="21" t="s">
        <v>132</v>
      </c>
      <c r="I202" s="21" t="s">
        <v>133</v>
      </c>
      <c r="J202">
        <v>2</v>
      </c>
      <c r="K202" t="s">
        <v>68</v>
      </c>
    </row>
    <row r="203" spans="1:11" x14ac:dyDescent="0.35">
      <c r="A203" s="21" t="s">
        <v>159</v>
      </c>
      <c r="B203">
        <v>1650</v>
      </c>
      <c r="C203" s="1">
        <v>45748</v>
      </c>
      <c r="D203">
        <v>15065</v>
      </c>
      <c r="E203">
        <v>37188</v>
      </c>
      <c r="F203" s="1">
        <v>37257</v>
      </c>
      <c r="G203" s="21" t="s">
        <v>1</v>
      </c>
      <c r="H203" s="21" t="s">
        <v>13</v>
      </c>
      <c r="I203" s="21" t="s">
        <v>20</v>
      </c>
      <c r="J203">
        <v>4</v>
      </c>
      <c r="K203" t="s">
        <v>68</v>
      </c>
    </row>
    <row r="204" spans="1:11" x14ac:dyDescent="0.35">
      <c r="A204" s="21" t="s">
        <v>223</v>
      </c>
      <c r="B204">
        <v>1650</v>
      </c>
      <c r="C204" s="1">
        <v>45768</v>
      </c>
      <c r="D204">
        <v>15371</v>
      </c>
      <c r="E204">
        <v>38426</v>
      </c>
      <c r="F204" s="1">
        <v>44562</v>
      </c>
      <c r="G204" s="21" t="s">
        <v>1</v>
      </c>
      <c r="H204" s="21" t="s">
        <v>13</v>
      </c>
      <c r="I204" s="21" t="s">
        <v>20</v>
      </c>
      <c r="J204">
        <v>4</v>
      </c>
      <c r="K204" t="s">
        <v>67</v>
      </c>
    </row>
    <row r="205" spans="1:11" x14ac:dyDescent="0.35">
      <c r="A205" s="21" t="s">
        <v>283</v>
      </c>
      <c r="B205">
        <v>1650</v>
      </c>
      <c r="C205" s="1">
        <v>45750</v>
      </c>
      <c r="D205">
        <v>15084</v>
      </c>
      <c r="E205">
        <v>37267</v>
      </c>
      <c r="F205" s="1">
        <v>42370</v>
      </c>
      <c r="G205" s="21" t="s">
        <v>1</v>
      </c>
      <c r="H205" s="21" t="s">
        <v>284</v>
      </c>
      <c r="I205" s="21" t="s">
        <v>20</v>
      </c>
      <c r="J205">
        <v>4</v>
      </c>
      <c r="K205" t="s">
        <v>69</v>
      </c>
    </row>
    <row r="206" spans="1:11" x14ac:dyDescent="0.35">
      <c r="A206" s="21" t="s">
        <v>520</v>
      </c>
      <c r="B206">
        <v>1650</v>
      </c>
      <c r="C206" s="1">
        <v>45981</v>
      </c>
      <c r="D206">
        <v>17795</v>
      </c>
      <c r="E206">
        <v>43559</v>
      </c>
      <c r="F206" s="1">
        <v>43101</v>
      </c>
      <c r="G206" s="21" t="s">
        <v>1</v>
      </c>
      <c r="H206" s="21" t="s">
        <v>13</v>
      </c>
      <c r="I206" s="21" t="s">
        <v>20</v>
      </c>
      <c r="J206">
        <v>11</v>
      </c>
      <c r="K206" t="s">
        <v>71</v>
      </c>
    </row>
    <row r="207" spans="1:11" x14ac:dyDescent="0.35">
      <c r="A207" s="21" t="s">
        <v>400</v>
      </c>
      <c r="B207">
        <v>1650</v>
      </c>
      <c r="C207" s="1">
        <v>45845</v>
      </c>
      <c r="D207">
        <v>16184</v>
      </c>
      <c r="E207">
        <v>39955</v>
      </c>
      <c r="F207" s="1">
        <v>44197</v>
      </c>
      <c r="G207" s="21" t="s">
        <v>1</v>
      </c>
      <c r="H207" s="21" t="s">
        <v>13</v>
      </c>
      <c r="I207" s="21" t="s">
        <v>20</v>
      </c>
      <c r="J207">
        <v>7</v>
      </c>
      <c r="K207" t="s">
        <v>71</v>
      </c>
    </row>
    <row r="208" spans="1:11" x14ac:dyDescent="0.35">
      <c r="A208" s="21" t="s">
        <v>209</v>
      </c>
      <c r="B208">
        <v>1650</v>
      </c>
      <c r="C208" s="1">
        <v>45733</v>
      </c>
      <c r="D208">
        <v>14812</v>
      </c>
      <c r="E208">
        <v>36725</v>
      </c>
      <c r="F208" s="1">
        <v>37257</v>
      </c>
      <c r="G208" s="21" t="s">
        <v>1</v>
      </c>
      <c r="H208" s="21" t="s">
        <v>13</v>
      </c>
      <c r="I208" s="21" t="s">
        <v>20</v>
      </c>
      <c r="J208">
        <v>3</v>
      </c>
      <c r="K208" t="s">
        <v>68</v>
      </c>
    </row>
    <row r="209" spans="1:11" x14ac:dyDescent="0.35">
      <c r="A209" s="21" t="s">
        <v>406</v>
      </c>
      <c r="B209">
        <v>1905</v>
      </c>
      <c r="C209" s="1">
        <v>45884</v>
      </c>
      <c r="D209">
        <v>16683</v>
      </c>
      <c r="E209">
        <v>41862</v>
      </c>
      <c r="F209" s="1">
        <v>45658</v>
      </c>
      <c r="G209" s="21" t="s">
        <v>19</v>
      </c>
      <c r="H209" s="21" t="s">
        <v>13</v>
      </c>
      <c r="I209" s="21" t="s">
        <v>14</v>
      </c>
      <c r="J209">
        <v>8</v>
      </c>
      <c r="K209" t="s">
        <v>67</v>
      </c>
    </row>
    <row r="210" spans="1:11" x14ac:dyDescent="0.35">
      <c r="A210" s="21" t="s">
        <v>498</v>
      </c>
      <c r="B210">
        <v>1905</v>
      </c>
      <c r="C210" s="1">
        <v>45975</v>
      </c>
      <c r="D210">
        <v>17729</v>
      </c>
      <c r="E210">
        <v>43491</v>
      </c>
      <c r="F210" s="1">
        <v>40544</v>
      </c>
      <c r="G210" s="21" t="s">
        <v>12</v>
      </c>
      <c r="H210" s="21" t="s">
        <v>13</v>
      </c>
      <c r="I210" s="21" t="s">
        <v>14</v>
      </c>
      <c r="J210">
        <v>11</v>
      </c>
      <c r="K210" t="s">
        <v>70</v>
      </c>
    </row>
    <row r="211" spans="1:11" x14ac:dyDescent="0.35">
      <c r="A211" s="21" t="s">
        <v>122</v>
      </c>
      <c r="B211">
        <v>1905</v>
      </c>
      <c r="C211" s="1">
        <v>45702</v>
      </c>
      <c r="D211">
        <v>14482</v>
      </c>
      <c r="E211">
        <v>36087</v>
      </c>
      <c r="F211" s="1">
        <v>44562</v>
      </c>
      <c r="G211" s="21" t="s">
        <v>19</v>
      </c>
      <c r="H211" s="21" t="s">
        <v>13</v>
      </c>
      <c r="I211" s="21" t="s">
        <v>14</v>
      </c>
      <c r="J211">
        <v>2</v>
      </c>
      <c r="K211" t="s">
        <v>67</v>
      </c>
    </row>
    <row r="212" spans="1:11" x14ac:dyDescent="0.35">
      <c r="A212" s="21" t="s">
        <v>361</v>
      </c>
      <c r="B212">
        <v>1905</v>
      </c>
      <c r="C212" s="1">
        <v>45866</v>
      </c>
      <c r="D212">
        <v>16411</v>
      </c>
      <c r="E212">
        <v>40502</v>
      </c>
      <c r="F212" s="1">
        <v>41640</v>
      </c>
      <c r="G212" s="21" t="s">
        <v>0</v>
      </c>
      <c r="H212" s="21" t="s">
        <v>13</v>
      </c>
      <c r="I212" s="21" t="s">
        <v>14</v>
      </c>
      <c r="J212">
        <v>7</v>
      </c>
      <c r="K212" t="s">
        <v>69</v>
      </c>
    </row>
    <row r="213" spans="1:11" x14ac:dyDescent="0.35">
      <c r="A213" s="21" t="s">
        <v>220</v>
      </c>
      <c r="B213">
        <v>1905</v>
      </c>
      <c r="C213" s="1">
        <v>45758</v>
      </c>
      <c r="D213">
        <v>15216</v>
      </c>
      <c r="E213">
        <v>37814</v>
      </c>
      <c r="F213" s="1">
        <v>41275</v>
      </c>
      <c r="G213" s="21" t="s">
        <v>12</v>
      </c>
      <c r="H213" s="21" t="s">
        <v>13</v>
      </c>
      <c r="I213" s="21" t="s">
        <v>14</v>
      </c>
      <c r="J213">
        <v>4</v>
      </c>
      <c r="K213" t="s">
        <v>69</v>
      </c>
    </row>
    <row r="214" spans="1:11" x14ac:dyDescent="0.35">
      <c r="A214" s="21" t="s">
        <v>222</v>
      </c>
      <c r="B214">
        <v>1905</v>
      </c>
      <c r="C214" s="1">
        <v>45800</v>
      </c>
      <c r="D214">
        <v>15717</v>
      </c>
      <c r="E214">
        <v>39246</v>
      </c>
      <c r="F214" s="1">
        <v>44197</v>
      </c>
      <c r="G214" s="21" t="s">
        <v>12</v>
      </c>
      <c r="H214" s="21" t="s">
        <v>13</v>
      </c>
      <c r="I214" s="21" t="s">
        <v>14</v>
      </c>
      <c r="J214">
        <v>5</v>
      </c>
      <c r="K214" t="s">
        <v>71</v>
      </c>
    </row>
    <row r="215" spans="1:11" x14ac:dyDescent="0.35">
      <c r="A215" s="21" t="s">
        <v>412</v>
      </c>
      <c r="B215">
        <v>1905</v>
      </c>
      <c r="C215" s="1">
        <v>45889</v>
      </c>
      <c r="D215">
        <v>16779</v>
      </c>
      <c r="E215">
        <v>42106</v>
      </c>
      <c r="F215" s="1">
        <v>42370</v>
      </c>
      <c r="G215" s="21" t="s">
        <v>19</v>
      </c>
      <c r="H215" s="21" t="s">
        <v>13</v>
      </c>
      <c r="I215" s="21" t="s">
        <v>14</v>
      </c>
      <c r="J215">
        <v>8</v>
      </c>
      <c r="K215" t="s">
        <v>69</v>
      </c>
    </row>
    <row r="216" spans="1:11" x14ac:dyDescent="0.35">
      <c r="A216" s="21" t="s">
        <v>224</v>
      </c>
      <c r="B216">
        <v>1905</v>
      </c>
      <c r="C216" s="1">
        <v>45784</v>
      </c>
      <c r="D216">
        <v>15561</v>
      </c>
      <c r="E216">
        <v>38970</v>
      </c>
      <c r="F216" s="1">
        <v>36161</v>
      </c>
      <c r="G216" s="21" t="s">
        <v>12</v>
      </c>
      <c r="H216" s="21" t="s">
        <v>13</v>
      </c>
      <c r="I216" s="21" t="s">
        <v>14</v>
      </c>
      <c r="J216">
        <v>5</v>
      </c>
      <c r="K216" t="s">
        <v>68</v>
      </c>
    </row>
    <row r="217" spans="1:11" x14ac:dyDescent="0.35">
      <c r="A217" s="21" t="s">
        <v>124</v>
      </c>
      <c r="B217">
        <v>1905</v>
      </c>
      <c r="C217" s="1">
        <v>45707</v>
      </c>
      <c r="D217">
        <v>14507</v>
      </c>
      <c r="E217">
        <v>36134</v>
      </c>
      <c r="F217" s="1">
        <v>37622</v>
      </c>
      <c r="G217" s="21" t="s">
        <v>19</v>
      </c>
      <c r="H217" s="21" t="s">
        <v>13</v>
      </c>
      <c r="I217" s="21" t="s">
        <v>14</v>
      </c>
      <c r="J217">
        <v>2</v>
      </c>
      <c r="K217" t="s">
        <v>68</v>
      </c>
    </row>
    <row r="218" spans="1:11" x14ac:dyDescent="0.35">
      <c r="A218" s="21" t="s">
        <v>54</v>
      </c>
      <c r="B218">
        <v>1905</v>
      </c>
      <c r="C218" s="1">
        <v>45666</v>
      </c>
      <c r="D218">
        <v>13881</v>
      </c>
      <c r="E218">
        <v>35253</v>
      </c>
      <c r="F218" s="1">
        <v>44197</v>
      </c>
      <c r="G218" s="21" t="s">
        <v>12</v>
      </c>
      <c r="H218" s="21" t="s">
        <v>13</v>
      </c>
      <c r="I218" s="21" t="s">
        <v>14</v>
      </c>
      <c r="J218">
        <v>1</v>
      </c>
      <c r="K218" t="s">
        <v>71</v>
      </c>
    </row>
    <row r="219" spans="1:11" x14ac:dyDescent="0.35">
      <c r="A219" s="21" t="s">
        <v>469</v>
      </c>
      <c r="B219">
        <v>1905</v>
      </c>
      <c r="C219" s="1">
        <v>45946</v>
      </c>
      <c r="D219">
        <v>17536</v>
      </c>
      <c r="E219">
        <v>43273</v>
      </c>
      <c r="F219" s="1">
        <v>45292</v>
      </c>
      <c r="G219" s="21" t="s">
        <v>12</v>
      </c>
      <c r="H219" s="21" t="s">
        <v>13</v>
      </c>
      <c r="I219" s="21" t="s">
        <v>14</v>
      </c>
      <c r="J219">
        <v>10</v>
      </c>
      <c r="K219" t="s">
        <v>67</v>
      </c>
    </row>
    <row r="220" spans="1:11" x14ac:dyDescent="0.35">
      <c r="A220" s="21" t="s">
        <v>228</v>
      </c>
      <c r="B220">
        <v>1905</v>
      </c>
      <c r="C220" s="1">
        <v>45804</v>
      </c>
      <c r="D220">
        <v>15734</v>
      </c>
      <c r="E220">
        <v>39263</v>
      </c>
      <c r="F220" s="1">
        <v>43101</v>
      </c>
      <c r="G220" s="21" t="s">
        <v>0</v>
      </c>
      <c r="H220" s="21" t="s">
        <v>13</v>
      </c>
      <c r="I220" s="21" t="s">
        <v>14</v>
      </c>
      <c r="J220">
        <v>5</v>
      </c>
      <c r="K220" t="s">
        <v>71</v>
      </c>
    </row>
    <row r="221" spans="1:11" x14ac:dyDescent="0.35">
      <c r="A221" s="21" t="s">
        <v>125</v>
      </c>
      <c r="B221">
        <v>1905</v>
      </c>
      <c r="C221" s="1">
        <v>45715</v>
      </c>
      <c r="D221">
        <v>14617</v>
      </c>
      <c r="E221">
        <v>36333</v>
      </c>
      <c r="F221" s="1">
        <v>43831</v>
      </c>
      <c r="G221" s="21" t="s">
        <v>0</v>
      </c>
      <c r="H221" s="21" t="s">
        <v>13</v>
      </c>
      <c r="I221" s="21" t="s">
        <v>14</v>
      </c>
      <c r="J221">
        <v>2</v>
      </c>
      <c r="K221" t="s">
        <v>71</v>
      </c>
    </row>
    <row r="222" spans="1:11" x14ac:dyDescent="0.35">
      <c r="A222" s="21" t="s">
        <v>502</v>
      </c>
      <c r="B222">
        <v>1905</v>
      </c>
      <c r="C222" s="1">
        <v>45978</v>
      </c>
      <c r="D222">
        <v>17739</v>
      </c>
      <c r="E222">
        <v>43502</v>
      </c>
      <c r="F222" s="1">
        <v>40909</v>
      </c>
      <c r="G222" s="21" t="s">
        <v>12</v>
      </c>
      <c r="H222" s="21" t="s">
        <v>13</v>
      </c>
      <c r="I222" s="21" t="s">
        <v>14</v>
      </c>
      <c r="J222">
        <v>11</v>
      </c>
      <c r="K222" t="s">
        <v>70</v>
      </c>
    </row>
    <row r="223" spans="1:11" x14ac:dyDescent="0.35">
      <c r="A223" s="21" t="s">
        <v>504</v>
      </c>
      <c r="B223">
        <v>1905</v>
      </c>
      <c r="C223" s="1">
        <v>45982</v>
      </c>
      <c r="D223">
        <v>17819</v>
      </c>
      <c r="E223">
        <v>43584</v>
      </c>
      <c r="F223" s="1">
        <v>44562</v>
      </c>
      <c r="G223" s="21" t="s">
        <v>0</v>
      </c>
      <c r="H223" s="21" t="s">
        <v>27</v>
      </c>
      <c r="I223" s="21" t="s">
        <v>14</v>
      </c>
      <c r="J223">
        <v>11</v>
      </c>
      <c r="K223" t="s">
        <v>67</v>
      </c>
    </row>
    <row r="224" spans="1:11" x14ac:dyDescent="0.35">
      <c r="A224" s="21" t="s">
        <v>422</v>
      </c>
      <c r="B224">
        <v>1905</v>
      </c>
      <c r="C224" s="1">
        <v>45902</v>
      </c>
      <c r="D224">
        <v>17002</v>
      </c>
      <c r="E224">
        <v>42531</v>
      </c>
      <c r="F224" s="1">
        <v>43466</v>
      </c>
      <c r="G224" s="21" t="s">
        <v>0</v>
      </c>
      <c r="H224" s="21" t="s">
        <v>13</v>
      </c>
      <c r="I224" s="21" t="s">
        <v>14</v>
      </c>
      <c r="J224">
        <v>9</v>
      </c>
      <c r="K224" t="s">
        <v>71</v>
      </c>
    </row>
    <row r="225" spans="1:11" x14ac:dyDescent="0.35">
      <c r="A225" s="21" t="s">
        <v>36</v>
      </c>
      <c r="B225">
        <v>1905</v>
      </c>
      <c r="C225" s="1">
        <v>45678</v>
      </c>
      <c r="D225">
        <v>14154</v>
      </c>
      <c r="E225">
        <v>35633</v>
      </c>
      <c r="F225" s="1">
        <v>45292</v>
      </c>
      <c r="G225" s="21" t="s">
        <v>19</v>
      </c>
      <c r="H225" s="21" t="s">
        <v>13</v>
      </c>
      <c r="I225" s="21" t="s">
        <v>14</v>
      </c>
      <c r="J225">
        <v>1</v>
      </c>
      <c r="K225" t="s">
        <v>67</v>
      </c>
    </row>
    <row r="226" spans="1:11" x14ac:dyDescent="0.35">
      <c r="A226" s="21" t="s">
        <v>102</v>
      </c>
      <c r="B226">
        <v>1905</v>
      </c>
      <c r="C226" s="1">
        <v>45681</v>
      </c>
      <c r="D226">
        <v>14260</v>
      </c>
      <c r="E226">
        <v>35770</v>
      </c>
      <c r="F226" s="1">
        <v>39814</v>
      </c>
      <c r="G226" s="21" t="s">
        <v>12</v>
      </c>
      <c r="H226" s="21" t="s">
        <v>13</v>
      </c>
      <c r="I226" s="21" t="s">
        <v>14</v>
      </c>
      <c r="J226">
        <v>1</v>
      </c>
      <c r="K226" t="s">
        <v>70</v>
      </c>
    </row>
    <row r="227" spans="1:11" x14ac:dyDescent="0.35">
      <c r="A227" s="21" t="s">
        <v>337</v>
      </c>
      <c r="B227">
        <v>1905</v>
      </c>
      <c r="C227" s="1">
        <v>45834</v>
      </c>
      <c r="D227">
        <v>16015</v>
      </c>
      <c r="E227">
        <v>39726</v>
      </c>
      <c r="F227" s="1">
        <v>44197</v>
      </c>
      <c r="G227" s="21" t="s">
        <v>12</v>
      </c>
      <c r="H227" s="21" t="s">
        <v>13</v>
      </c>
      <c r="I227" s="21" t="s">
        <v>14</v>
      </c>
      <c r="J227">
        <v>6</v>
      </c>
      <c r="K227" t="s">
        <v>71</v>
      </c>
    </row>
    <row r="228" spans="1:11" x14ac:dyDescent="0.35">
      <c r="A228" s="21" t="s">
        <v>511</v>
      </c>
      <c r="B228">
        <v>1905</v>
      </c>
      <c r="C228" s="1">
        <v>45974</v>
      </c>
      <c r="D228">
        <v>17718</v>
      </c>
      <c r="E228">
        <v>43480</v>
      </c>
      <c r="F228" s="1">
        <v>39448</v>
      </c>
      <c r="G228" s="21" t="s">
        <v>19</v>
      </c>
      <c r="H228" s="21" t="s">
        <v>27</v>
      </c>
      <c r="I228" s="21" t="s">
        <v>14</v>
      </c>
      <c r="J228">
        <v>11</v>
      </c>
      <c r="K228" t="s">
        <v>70</v>
      </c>
    </row>
    <row r="229" spans="1:11" x14ac:dyDescent="0.35">
      <c r="A229" s="21" t="s">
        <v>458</v>
      </c>
      <c r="B229">
        <v>1905</v>
      </c>
      <c r="C229" s="1">
        <v>45905</v>
      </c>
      <c r="D229">
        <v>17089</v>
      </c>
      <c r="E229">
        <v>42732</v>
      </c>
      <c r="F229" s="1">
        <v>45658</v>
      </c>
      <c r="G229" s="21" t="s">
        <v>19</v>
      </c>
      <c r="H229" s="21" t="s">
        <v>13</v>
      </c>
      <c r="I229" s="21" t="s">
        <v>14</v>
      </c>
      <c r="J229">
        <v>9</v>
      </c>
      <c r="K229" t="s">
        <v>67</v>
      </c>
    </row>
    <row r="230" spans="1:11" x14ac:dyDescent="0.35">
      <c r="A230" s="21" t="s">
        <v>280</v>
      </c>
      <c r="B230">
        <v>1905</v>
      </c>
      <c r="C230" s="1">
        <v>45763</v>
      </c>
      <c r="D230">
        <v>15282</v>
      </c>
      <c r="E230">
        <v>38056</v>
      </c>
      <c r="F230" s="1">
        <v>43831</v>
      </c>
      <c r="G230" s="21" t="s">
        <v>12</v>
      </c>
      <c r="H230" s="21" t="s">
        <v>13</v>
      </c>
      <c r="I230" s="21" t="s">
        <v>14</v>
      </c>
      <c r="J230">
        <v>4</v>
      </c>
      <c r="K230" t="s">
        <v>71</v>
      </c>
    </row>
    <row r="231" spans="1:11" x14ac:dyDescent="0.35">
      <c r="A231" s="21" t="s">
        <v>282</v>
      </c>
      <c r="B231">
        <v>1905</v>
      </c>
      <c r="C231" s="1">
        <v>45805</v>
      </c>
      <c r="D231">
        <v>15744</v>
      </c>
      <c r="E231">
        <v>39273</v>
      </c>
      <c r="F231" s="1">
        <v>44562</v>
      </c>
      <c r="G231" s="21" t="s">
        <v>12</v>
      </c>
      <c r="H231" s="21" t="s">
        <v>175</v>
      </c>
      <c r="I231" s="21" t="s">
        <v>14</v>
      </c>
      <c r="J231">
        <v>5</v>
      </c>
      <c r="K231" t="s">
        <v>67</v>
      </c>
    </row>
    <row r="232" spans="1:11" x14ac:dyDescent="0.35">
      <c r="A232" s="21" t="s">
        <v>392</v>
      </c>
      <c r="B232">
        <v>1905</v>
      </c>
      <c r="C232" s="1">
        <v>45864</v>
      </c>
      <c r="D232">
        <v>16394</v>
      </c>
      <c r="E232">
        <v>40480</v>
      </c>
      <c r="F232" s="1">
        <v>40544</v>
      </c>
      <c r="G232" s="21" t="s">
        <v>12</v>
      </c>
      <c r="H232" s="21" t="s">
        <v>13</v>
      </c>
      <c r="I232" s="21" t="s">
        <v>14</v>
      </c>
      <c r="J232">
        <v>7</v>
      </c>
      <c r="K232" t="s">
        <v>70</v>
      </c>
    </row>
    <row r="233" spans="1:11" x14ac:dyDescent="0.35">
      <c r="A233" s="21" t="s">
        <v>483</v>
      </c>
      <c r="B233">
        <v>1905</v>
      </c>
      <c r="C233" s="1">
        <v>45959</v>
      </c>
      <c r="D233">
        <v>17621</v>
      </c>
      <c r="E233">
        <v>43381</v>
      </c>
      <c r="F233" s="1">
        <v>45292</v>
      </c>
      <c r="G233" s="21" t="s">
        <v>19</v>
      </c>
      <c r="H233" s="21" t="s">
        <v>13</v>
      </c>
      <c r="I233" s="21" t="s">
        <v>14</v>
      </c>
      <c r="J233">
        <v>10</v>
      </c>
      <c r="K233" t="s">
        <v>67</v>
      </c>
    </row>
    <row r="234" spans="1:11" x14ac:dyDescent="0.35">
      <c r="A234" s="21" t="s">
        <v>484</v>
      </c>
      <c r="B234">
        <v>1905</v>
      </c>
      <c r="C234" s="1">
        <v>45939</v>
      </c>
      <c r="D234">
        <v>17474</v>
      </c>
      <c r="E234">
        <v>43209</v>
      </c>
      <c r="F234" s="1">
        <v>40544</v>
      </c>
      <c r="G234" s="21" t="s">
        <v>12</v>
      </c>
      <c r="H234" s="21" t="s">
        <v>13</v>
      </c>
      <c r="I234" s="21" t="s">
        <v>14</v>
      </c>
      <c r="J234">
        <v>10</v>
      </c>
      <c r="K234" t="s">
        <v>70</v>
      </c>
    </row>
    <row r="235" spans="1:11" x14ac:dyDescent="0.35">
      <c r="A235" s="21" t="s">
        <v>354</v>
      </c>
      <c r="B235">
        <v>1905</v>
      </c>
      <c r="C235" s="1">
        <v>45812</v>
      </c>
      <c r="D235">
        <v>15800</v>
      </c>
      <c r="E235">
        <v>39370</v>
      </c>
      <c r="F235" s="1">
        <v>43101</v>
      </c>
      <c r="G235" s="21" t="s">
        <v>12</v>
      </c>
      <c r="H235" s="21" t="s">
        <v>13</v>
      </c>
      <c r="I235" s="21" t="s">
        <v>14</v>
      </c>
      <c r="J235">
        <v>6</v>
      </c>
      <c r="K235" t="s">
        <v>71</v>
      </c>
    </row>
    <row r="236" spans="1:11" x14ac:dyDescent="0.35">
      <c r="A236" s="21" t="s">
        <v>461</v>
      </c>
      <c r="B236">
        <v>1905</v>
      </c>
      <c r="C236" s="1">
        <v>45910</v>
      </c>
      <c r="D236">
        <v>17154</v>
      </c>
      <c r="E236">
        <v>42830</v>
      </c>
      <c r="F236" s="1">
        <v>43101</v>
      </c>
      <c r="G236" s="21" t="s">
        <v>0</v>
      </c>
      <c r="H236" s="21" t="s">
        <v>13</v>
      </c>
      <c r="I236" s="21" t="s">
        <v>14</v>
      </c>
      <c r="J236">
        <v>9</v>
      </c>
      <c r="K236" t="s">
        <v>71</v>
      </c>
    </row>
    <row r="237" spans="1:11" x14ac:dyDescent="0.35">
      <c r="A237" s="21" t="s">
        <v>402</v>
      </c>
      <c r="B237">
        <v>1905</v>
      </c>
      <c r="C237" s="1">
        <v>45855</v>
      </c>
      <c r="D237">
        <v>16284</v>
      </c>
      <c r="E237">
        <v>40198</v>
      </c>
      <c r="F237" s="1">
        <v>42005</v>
      </c>
      <c r="G237" s="21" t="s">
        <v>12</v>
      </c>
      <c r="H237" s="21" t="s">
        <v>13</v>
      </c>
      <c r="I237" s="21" t="s">
        <v>14</v>
      </c>
      <c r="J237">
        <v>7</v>
      </c>
      <c r="K237" t="s">
        <v>69</v>
      </c>
    </row>
    <row r="238" spans="1:11" x14ac:dyDescent="0.35">
      <c r="A238" s="21" t="s">
        <v>356</v>
      </c>
      <c r="B238">
        <v>1905</v>
      </c>
      <c r="C238" s="1">
        <v>45835</v>
      </c>
      <c r="D238">
        <v>16014</v>
      </c>
      <c r="E238">
        <v>39725</v>
      </c>
      <c r="F238" s="1">
        <v>41275</v>
      </c>
      <c r="G238" s="21" t="s">
        <v>12</v>
      </c>
      <c r="H238" s="21" t="s">
        <v>13</v>
      </c>
      <c r="I238" s="21" t="s">
        <v>14</v>
      </c>
      <c r="J238">
        <v>6</v>
      </c>
      <c r="K238" t="s">
        <v>69</v>
      </c>
    </row>
    <row r="239" spans="1:11" x14ac:dyDescent="0.35">
      <c r="A239" s="21" t="s">
        <v>301</v>
      </c>
      <c r="B239">
        <v>1905</v>
      </c>
      <c r="C239" s="1">
        <v>45805</v>
      </c>
      <c r="D239">
        <v>15749</v>
      </c>
      <c r="E239">
        <v>39289</v>
      </c>
      <c r="F239" s="1">
        <v>40544</v>
      </c>
      <c r="G239" s="21" t="s">
        <v>12</v>
      </c>
      <c r="H239" s="21" t="s">
        <v>13</v>
      </c>
      <c r="I239" s="21" t="s">
        <v>14</v>
      </c>
      <c r="J239">
        <v>5</v>
      </c>
      <c r="K239" t="s">
        <v>70</v>
      </c>
    </row>
    <row r="240" spans="1:11" x14ac:dyDescent="0.35">
      <c r="A240" s="21" t="s">
        <v>207</v>
      </c>
      <c r="B240">
        <v>1905</v>
      </c>
      <c r="C240" s="1">
        <v>45725</v>
      </c>
      <c r="D240">
        <v>14697</v>
      </c>
      <c r="E240">
        <v>36520</v>
      </c>
      <c r="F240" s="1">
        <v>44562</v>
      </c>
      <c r="G240" s="21" t="s">
        <v>12</v>
      </c>
      <c r="H240" s="21" t="s">
        <v>13</v>
      </c>
      <c r="I240" s="21" t="s">
        <v>14</v>
      </c>
      <c r="J240">
        <v>3</v>
      </c>
      <c r="K240" t="s">
        <v>67</v>
      </c>
    </row>
    <row r="241" spans="1:11" x14ac:dyDescent="0.35">
      <c r="A241" s="21" t="s">
        <v>493</v>
      </c>
      <c r="B241">
        <v>1905</v>
      </c>
      <c r="C241" s="1">
        <v>45903</v>
      </c>
      <c r="D241">
        <v>17027</v>
      </c>
      <c r="E241">
        <v>43328</v>
      </c>
      <c r="F241" s="1">
        <v>35796</v>
      </c>
      <c r="G241" s="21" t="s">
        <v>12</v>
      </c>
      <c r="H241" s="21" t="s">
        <v>13</v>
      </c>
      <c r="I241" s="21" t="s">
        <v>14</v>
      </c>
      <c r="J241">
        <v>9</v>
      </c>
      <c r="K241" t="s">
        <v>68</v>
      </c>
    </row>
    <row r="242" spans="1:11" x14ac:dyDescent="0.35">
      <c r="A242" s="21" t="s">
        <v>494</v>
      </c>
      <c r="B242">
        <v>1905</v>
      </c>
      <c r="C242" s="1">
        <v>45937</v>
      </c>
      <c r="D242">
        <v>17451</v>
      </c>
      <c r="E242">
        <v>43186</v>
      </c>
      <c r="F242" s="1">
        <v>42005</v>
      </c>
      <c r="G242" s="21" t="s">
        <v>12</v>
      </c>
      <c r="H242" s="21" t="s">
        <v>13</v>
      </c>
      <c r="I242" s="21" t="s">
        <v>14</v>
      </c>
      <c r="J242">
        <v>10</v>
      </c>
      <c r="K242" t="s">
        <v>69</v>
      </c>
    </row>
    <row r="243" spans="1:11" x14ac:dyDescent="0.35">
      <c r="A243" s="21" t="s">
        <v>33</v>
      </c>
      <c r="B243">
        <v>1905</v>
      </c>
      <c r="C243" s="1">
        <v>45660</v>
      </c>
      <c r="D243">
        <v>13747</v>
      </c>
      <c r="E243">
        <v>35098</v>
      </c>
      <c r="F243" s="1">
        <v>43831</v>
      </c>
      <c r="G243" s="21" t="s">
        <v>12</v>
      </c>
      <c r="H243" s="21" t="s">
        <v>13</v>
      </c>
      <c r="I243" s="21" t="s">
        <v>14</v>
      </c>
      <c r="J243">
        <v>1</v>
      </c>
      <c r="K243" t="s">
        <v>71</v>
      </c>
    </row>
    <row r="244" spans="1:11" x14ac:dyDescent="0.35">
      <c r="A244" s="21" t="s">
        <v>441</v>
      </c>
      <c r="B244">
        <v>1905</v>
      </c>
      <c r="C244" s="1">
        <v>45870</v>
      </c>
      <c r="D244">
        <v>16466</v>
      </c>
      <c r="E244">
        <v>40644</v>
      </c>
      <c r="F244" s="1">
        <v>43831</v>
      </c>
      <c r="G244" s="21" t="s">
        <v>0</v>
      </c>
      <c r="H244" s="21" t="s">
        <v>382</v>
      </c>
      <c r="I244" s="21" t="s">
        <v>14</v>
      </c>
      <c r="J244">
        <v>8</v>
      </c>
      <c r="K244" t="s">
        <v>71</v>
      </c>
    </row>
    <row r="245" spans="1:11" x14ac:dyDescent="0.35">
      <c r="A245" s="21" t="s">
        <v>157</v>
      </c>
      <c r="B245">
        <v>1905</v>
      </c>
      <c r="C245" s="1">
        <v>45721</v>
      </c>
      <c r="D245">
        <v>14673</v>
      </c>
      <c r="E245">
        <v>36453</v>
      </c>
      <c r="F245" s="1">
        <v>44197</v>
      </c>
      <c r="G245" s="21" t="s">
        <v>19</v>
      </c>
      <c r="H245" s="21" t="s">
        <v>13</v>
      </c>
      <c r="I245" s="21" t="s">
        <v>14</v>
      </c>
      <c r="J245">
        <v>3</v>
      </c>
      <c r="K245" t="s">
        <v>71</v>
      </c>
    </row>
    <row r="246" spans="1:11" x14ac:dyDescent="0.35">
      <c r="A246" s="21" t="s">
        <v>171</v>
      </c>
      <c r="B246">
        <v>2033</v>
      </c>
      <c r="C246" s="1">
        <v>45741</v>
      </c>
      <c r="D246">
        <v>14966</v>
      </c>
      <c r="E246">
        <v>36976</v>
      </c>
      <c r="F246" s="1">
        <v>35065</v>
      </c>
      <c r="G246" s="21" t="s">
        <v>17</v>
      </c>
      <c r="H246" s="21" t="s">
        <v>27</v>
      </c>
      <c r="I246" s="21" t="s">
        <v>133</v>
      </c>
      <c r="J246">
        <v>3</v>
      </c>
      <c r="K246" t="s">
        <v>68</v>
      </c>
    </row>
    <row r="247" spans="1:11" x14ac:dyDescent="0.35">
      <c r="A247" s="21" t="s">
        <v>52</v>
      </c>
      <c r="B247">
        <v>2160</v>
      </c>
      <c r="C247" s="1">
        <v>45707</v>
      </c>
      <c r="D247">
        <v>14530</v>
      </c>
      <c r="E247">
        <v>36155</v>
      </c>
      <c r="F247" s="1">
        <v>38718</v>
      </c>
      <c r="G247" s="21" t="s">
        <v>17</v>
      </c>
      <c r="H247" s="21" t="s">
        <v>135</v>
      </c>
      <c r="I247" s="21" t="s">
        <v>133</v>
      </c>
      <c r="J247">
        <v>2</v>
      </c>
      <c r="K247" t="s">
        <v>68</v>
      </c>
    </row>
    <row r="248" spans="1:11" x14ac:dyDescent="0.35">
      <c r="A248" s="21" t="s">
        <v>293</v>
      </c>
      <c r="B248">
        <v>2160</v>
      </c>
      <c r="C248" s="1">
        <v>45778</v>
      </c>
      <c r="D248">
        <v>15478</v>
      </c>
      <c r="E248">
        <v>38710</v>
      </c>
      <c r="F248" s="1">
        <v>35796</v>
      </c>
      <c r="G248" s="21" t="s">
        <v>1</v>
      </c>
      <c r="H248" s="21" t="s">
        <v>13</v>
      </c>
      <c r="I248" s="21" t="s">
        <v>14</v>
      </c>
      <c r="J248">
        <v>5</v>
      </c>
      <c r="K248" t="s">
        <v>68</v>
      </c>
    </row>
    <row r="249" spans="1:11" x14ac:dyDescent="0.35">
      <c r="A249" s="21" t="s">
        <v>199</v>
      </c>
      <c r="B249">
        <v>2160</v>
      </c>
      <c r="C249" s="1">
        <v>45744</v>
      </c>
      <c r="D249">
        <v>15011</v>
      </c>
      <c r="E249">
        <v>37072</v>
      </c>
      <c r="F249" s="1">
        <v>45292</v>
      </c>
      <c r="G249" s="21" t="s">
        <v>1</v>
      </c>
      <c r="H249" s="21" t="s">
        <v>13</v>
      </c>
      <c r="I249" s="21" t="s">
        <v>14</v>
      </c>
      <c r="J249">
        <v>3</v>
      </c>
      <c r="K249" t="s">
        <v>67</v>
      </c>
    </row>
    <row r="250" spans="1:11" x14ac:dyDescent="0.35">
      <c r="A250" s="21" t="s">
        <v>165</v>
      </c>
      <c r="B250">
        <v>2370</v>
      </c>
      <c r="C250" s="1">
        <v>45728</v>
      </c>
      <c r="D250">
        <v>14744</v>
      </c>
      <c r="E250">
        <v>36595</v>
      </c>
      <c r="F250" s="1">
        <v>37622</v>
      </c>
      <c r="G250" s="21" t="s">
        <v>19</v>
      </c>
      <c r="H250" s="21" t="s">
        <v>13</v>
      </c>
      <c r="I250" s="21" t="s">
        <v>20</v>
      </c>
      <c r="J250">
        <v>3</v>
      </c>
      <c r="K250" t="s">
        <v>68</v>
      </c>
    </row>
    <row r="251" spans="1:11" x14ac:dyDescent="0.35">
      <c r="A251" s="21" t="s">
        <v>316</v>
      </c>
      <c r="B251">
        <v>2370</v>
      </c>
      <c r="C251" s="1">
        <v>45811</v>
      </c>
      <c r="D251">
        <v>15791</v>
      </c>
      <c r="E251">
        <v>39358</v>
      </c>
      <c r="F251" s="1">
        <v>43466</v>
      </c>
      <c r="G251" s="21" t="s">
        <v>19</v>
      </c>
      <c r="H251" s="21" t="s">
        <v>13</v>
      </c>
      <c r="I251" s="21" t="s">
        <v>20</v>
      </c>
      <c r="J251">
        <v>6</v>
      </c>
      <c r="K251" t="s">
        <v>71</v>
      </c>
    </row>
    <row r="252" spans="1:11" x14ac:dyDescent="0.35">
      <c r="A252" s="21" t="s">
        <v>320</v>
      </c>
      <c r="B252">
        <v>2370</v>
      </c>
      <c r="C252" s="1">
        <v>45816</v>
      </c>
      <c r="D252">
        <v>15832</v>
      </c>
      <c r="E252">
        <v>39409</v>
      </c>
      <c r="F252" s="1">
        <v>40544</v>
      </c>
      <c r="G252" s="21" t="s">
        <v>19</v>
      </c>
      <c r="H252" s="21" t="s">
        <v>13</v>
      </c>
      <c r="I252" s="21" t="s">
        <v>20</v>
      </c>
      <c r="J252">
        <v>6</v>
      </c>
      <c r="K252" t="s">
        <v>70</v>
      </c>
    </row>
    <row r="253" spans="1:11" x14ac:dyDescent="0.35">
      <c r="A253" s="21" t="s">
        <v>231</v>
      </c>
      <c r="B253">
        <v>2370</v>
      </c>
      <c r="C253" s="1">
        <v>45807</v>
      </c>
      <c r="D253">
        <v>15759</v>
      </c>
      <c r="E253">
        <v>39307</v>
      </c>
      <c r="F253" s="1">
        <v>42736</v>
      </c>
      <c r="G253" s="21" t="s">
        <v>0</v>
      </c>
      <c r="H253" s="21" t="s">
        <v>13</v>
      </c>
      <c r="I253" s="21" t="s">
        <v>20</v>
      </c>
      <c r="J253">
        <v>5</v>
      </c>
      <c r="K253" t="s">
        <v>69</v>
      </c>
    </row>
    <row r="254" spans="1:11" x14ac:dyDescent="0.35">
      <c r="A254" s="21" t="s">
        <v>264</v>
      </c>
      <c r="B254">
        <v>2370</v>
      </c>
      <c r="C254" s="1">
        <v>45789</v>
      </c>
      <c r="D254">
        <v>15601</v>
      </c>
      <c r="E254">
        <v>39088</v>
      </c>
      <c r="F254" s="1">
        <v>45658</v>
      </c>
      <c r="G254" s="21" t="s">
        <v>19</v>
      </c>
      <c r="H254" s="21" t="s">
        <v>265</v>
      </c>
      <c r="I254" s="21" t="s">
        <v>20</v>
      </c>
      <c r="J254">
        <v>5</v>
      </c>
      <c r="K254" t="s">
        <v>67</v>
      </c>
    </row>
    <row r="255" spans="1:11" x14ac:dyDescent="0.35">
      <c r="A255" s="21" t="s">
        <v>25</v>
      </c>
      <c r="B255">
        <v>2370</v>
      </c>
      <c r="C255" s="1">
        <v>45681</v>
      </c>
      <c r="D255">
        <v>14204</v>
      </c>
      <c r="E255">
        <v>35686</v>
      </c>
      <c r="F255" s="1">
        <v>44927</v>
      </c>
      <c r="G255" s="21" t="s">
        <v>0</v>
      </c>
      <c r="H255" s="21" t="s">
        <v>13</v>
      </c>
      <c r="I255" s="21" t="s">
        <v>20</v>
      </c>
      <c r="J255">
        <v>1</v>
      </c>
      <c r="K255" t="s">
        <v>67</v>
      </c>
    </row>
    <row r="256" spans="1:11" x14ac:dyDescent="0.35">
      <c r="A256" s="21" t="s">
        <v>479</v>
      </c>
      <c r="B256">
        <v>2370</v>
      </c>
      <c r="C256" s="1">
        <v>45961</v>
      </c>
      <c r="D256">
        <v>17627</v>
      </c>
      <c r="E256">
        <v>43387</v>
      </c>
      <c r="F256" s="1">
        <v>40544</v>
      </c>
      <c r="G256" s="21" t="s">
        <v>19</v>
      </c>
      <c r="H256" s="21" t="s">
        <v>13</v>
      </c>
      <c r="I256" s="21" t="s">
        <v>20</v>
      </c>
      <c r="J256">
        <v>10</v>
      </c>
      <c r="K256" t="s">
        <v>70</v>
      </c>
    </row>
    <row r="257" spans="1:11" x14ac:dyDescent="0.35">
      <c r="A257" s="21" t="s">
        <v>144</v>
      </c>
      <c r="B257">
        <v>2370</v>
      </c>
      <c r="C257" s="1">
        <v>45692</v>
      </c>
      <c r="D257">
        <v>14365</v>
      </c>
      <c r="E257">
        <v>35916</v>
      </c>
      <c r="F257" s="1">
        <v>41640</v>
      </c>
      <c r="G257" s="21" t="s">
        <v>19</v>
      </c>
      <c r="H257" s="21" t="s">
        <v>13</v>
      </c>
      <c r="I257" s="21" t="s">
        <v>20</v>
      </c>
      <c r="J257">
        <v>2</v>
      </c>
      <c r="K257" t="s">
        <v>69</v>
      </c>
    </row>
    <row r="258" spans="1:11" x14ac:dyDescent="0.35">
      <c r="A258" s="21" t="s">
        <v>145</v>
      </c>
      <c r="B258">
        <v>2370</v>
      </c>
      <c r="C258" s="1">
        <v>45712</v>
      </c>
      <c r="D258">
        <v>14564</v>
      </c>
      <c r="E258">
        <v>36212</v>
      </c>
      <c r="F258" s="1">
        <v>41275</v>
      </c>
      <c r="G258" s="21" t="s">
        <v>19</v>
      </c>
      <c r="H258" s="21" t="s">
        <v>13</v>
      </c>
      <c r="I258" s="21" t="s">
        <v>20</v>
      </c>
      <c r="J258">
        <v>2</v>
      </c>
      <c r="K258" t="s">
        <v>69</v>
      </c>
    </row>
    <row r="259" spans="1:11" x14ac:dyDescent="0.35">
      <c r="A259" s="21" t="s">
        <v>435</v>
      </c>
      <c r="B259">
        <v>2370</v>
      </c>
      <c r="C259" s="1">
        <v>45902</v>
      </c>
      <c r="D259">
        <v>16999</v>
      </c>
      <c r="E259">
        <v>42527</v>
      </c>
      <c r="F259" s="1">
        <v>41640</v>
      </c>
      <c r="G259" s="21" t="s">
        <v>19</v>
      </c>
      <c r="H259" s="21" t="s">
        <v>13</v>
      </c>
      <c r="I259" s="21" t="s">
        <v>20</v>
      </c>
      <c r="J259">
        <v>9</v>
      </c>
      <c r="K259" t="s">
        <v>69</v>
      </c>
    </row>
    <row r="260" spans="1:11" x14ac:dyDescent="0.35">
      <c r="A260" s="21" t="s">
        <v>198</v>
      </c>
      <c r="B260">
        <v>2370</v>
      </c>
      <c r="C260" s="1">
        <v>45726</v>
      </c>
      <c r="D260">
        <v>14701</v>
      </c>
      <c r="E260">
        <v>36524</v>
      </c>
      <c r="F260" s="1">
        <v>38353</v>
      </c>
      <c r="G260" s="21" t="s">
        <v>19</v>
      </c>
      <c r="H260" s="21" t="s">
        <v>13</v>
      </c>
      <c r="I260" s="21" t="s">
        <v>20</v>
      </c>
      <c r="J260">
        <v>3</v>
      </c>
      <c r="K260" t="s">
        <v>68</v>
      </c>
    </row>
    <row r="261" spans="1:11" x14ac:dyDescent="0.35">
      <c r="A261" s="21" t="s">
        <v>201</v>
      </c>
      <c r="B261">
        <v>2370</v>
      </c>
      <c r="C261" s="1">
        <v>45734</v>
      </c>
      <c r="D261">
        <v>14860</v>
      </c>
      <c r="E261">
        <v>36779</v>
      </c>
      <c r="F261" s="1">
        <v>44927</v>
      </c>
      <c r="G261" s="21" t="s">
        <v>19</v>
      </c>
      <c r="H261" s="21" t="s">
        <v>13</v>
      </c>
      <c r="I261" s="21" t="s">
        <v>20</v>
      </c>
      <c r="J261">
        <v>3</v>
      </c>
      <c r="K261" t="s">
        <v>67</v>
      </c>
    </row>
    <row r="262" spans="1:11" x14ac:dyDescent="0.35">
      <c r="A262" s="21" t="s">
        <v>399</v>
      </c>
      <c r="B262">
        <v>2370</v>
      </c>
      <c r="C262" s="1">
        <v>45868</v>
      </c>
      <c r="D262">
        <v>16434</v>
      </c>
      <c r="E262">
        <v>40553</v>
      </c>
      <c r="F262" s="1">
        <v>45292</v>
      </c>
      <c r="G262" s="21" t="s">
        <v>19</v>
      </c>
      <c r="H262" s="21" t="s">
        <v>13</v>
      </c>
      <c r="I262" s="21" t="s">
        <v>20</v>
      </c>
      <c r="J262">
        <v>7</v>
      </c>
      <c r="K262" t="s">
        <v>67</v>
      </c>
    </row>
    <row r="263" spans="1:11" x14ac:dyDescent="0.35">
      <c r="A263" s="21" t="s">
        <v>296</v>
      </c>
      <c r="B263">
        <v>2370</v>
      </c>
      <c r="C263" s="1">
        <v>45768</v>
      </c>
      <c r="D263">
        <v>15364</v>
      </c>
      <c r="E263">
        <v>38405</v>
      </c>
      <c r="F263" s="1">
        <v>44562</v>
      </c>
      <c r="G263" s="21" t="s">
        <v>19</v>
      </c>
      <c r="H263" s="21" t="s">
        <v>13</v>
      </c>
      <c r="I263" s="21" t="s">
        <v>20</v>
      </c>
      <c r="J263">
        <v>4</v>
      </c>
      <c r="K263" t="s">
        <v>67</v>
      </c>
    </row>
    <row r="264" spans="1:11" x14ac:dyDescent="0.35">
      <c r="A264" s="21" t="s">
        <v>38</v>
      </c>
      <c r="B264">
        <v>2370</v>
      </c>
      <c r="C264" s="1">
        <v>45681</v>
      </c>
      <c r="D264">
        <v>14214</v>
      </c>
      <c r="E264">
        <v>35724</v>
      </c>
      <c r="F264" s="1">
        <v>40179</v>
      </c>
      <c r="G264" s="21" t="s">
        <v>0</v>
      </c>
      <c r="H264" s="21" t="s">
        <v>13</v>
      </c>
      <c r="I264" s="21" t="s">
        <v>20</v>
      </c>
      <c r="J264">
        <v>1</v>
      </c>
      <c r="K264" t="s">
        <v>70</v>
      </c>
    </row>
    <row r="265" spans="1:11" x14ac:dyDescent="0.35">
      <c r="A265" s="21" t="s">
        <v>463</v>
      </c>
      <c r="B265">
        <v>2370</v>
      </c>
      <c r="C265" s="1">
        <v>45924</v>
      </c>
      <c r="D265">
        <v>17328</v>
      </c>
      <c r="E265">
        <v>43054</v>
      </c>
      <c r="F265" s="1">
        <v>44927</v>
      </c>
      <c r="G265" s="21" t="s">
        <v>19</v>
      </c>
      <c r="H265" s="21" t="s">
        <v>27</v>
      </c>
      <c r="I265" s="21" t="s">
        <v>20</v>
      </c>
      <c r="J265">
        <v>9</v>
      </c>
      <c r="K265" t="s">
        <v>67</v>
      </c>
    </row>
    <row r="266" spans="1:11" x14ac:dyDescent="0.35">
      <c r="A266" s="21" t="s">
        <v>305</v>
      </c>
      <c r="B266">
        <v>2370</v>
      </c>
      <c r="C266" s="1">
        <v>45779</v>
      </c>
      <c r="D266">
        <v>15503</v>
      </c>
      <c r="E266">
        <v>38817</v>
      </c>
      <c r="F266" s="1">
        <v>45292</v>
      </c>
      <c r="G266" s="21" t="s">
        <v>0</v>
      </c>
      <c r="H266" s="21" t="s">
        <v>13</v>
      </c>
      <c r="I266" s="21" t="s">
        <v>20</v>
      </c>
      <c r="J266">
        <v>5</v>
      </c>
      <c r="K266" t="s">
        <v>67</v>
      </c>
    </row>
    <row r="267" spans="1:11" x14ac:dyDescent="0.35">
      <c r="A267" s="21" t="s">
        <v>333</v>
      </c>
      <c r="B267">
        <v>2536</v>
      </c>
      <c r="C267" s="1">
        <v>45807</v>
      </c>
      <c r="D267">
        <v>15772</v>
      </c>
      <c r="E267">
        <v>39331</v>
      </c>
      <c r="F267" s="1">
        <v>43101</v>
      </c>
      <c r="G267" s="21" t="s">
        <v>17</v>
      </c>
      <c r="H267" s="21" t="s">
        <v>334</v>
      </c>
      <c r="I267" s="21" t="s">
        <v>133</v>
      </c>
      <c r="J267">
        <v>5</v>
      </c>
      <c r="K267" t="s">
        <v>71</v>
      </c>
    </row>
    <row r="268" spans="1:11" x14ac:dyDescent="0.35">
      <c r="A268" s="21" t="s">
        <v>408</v>
      </c>
      <c r="B268">
        <v>2680</v>
      </c>
      <c r="C268" s="1">
        <v>45884</v>
      </c>
      <c r="D268">
        <v>16669</v>
      </c>
      <c r="E268">
        <v>41835</v>
      </c>
      <c r="F268" s="1">
        <v>40179</v>
      </c>
      <c r="G268" s="21" t="s">
        <v>12</v>
      </c>
      <c r="H268" s="21" t="s">
        <v>13</v>
      </c>
      <c r="I268" s="21" t="s">
        <v>20</v>
      </c>
      <c r="J268">
        <v>8</v>
      </c>
      <c r="K268" t="s">
        <v>70</v>
      </c>
    </row>
    <row r="269" spans="1:11" x14ac:dyDescent="0.35">
      <c r="A269" s="21" t="s">
        <v>166</v>
      </c>
      <c r="B269">
        <v>2680</v>
      </c>
      <c r="C269" s="1">
        <v>45734</v>
      </c>
      <c r="D269">
        <v>14837</v>
      </c>
      <c r="E269">
        <v>36750</v>
      </c>
      <c r="F269" s="1">
        <v>43466</v>
      </c>
      <c r="G269" s="21" t="s">
        <v>1</v>
      </c>
      <c r="H269" s="21" t="s">
        <v>13</v>
      </c>
      <c r="I269" s="21" t="s">
        <v>20</v>
      </c>
      <c r="J269">
        <v>3</v>
      </c>
      <c r="K269" t="s">
        <v>71</v>
      </c>
    </row>
    <row r="270" spans="1:11" x14ac:dyDescent="0.35">
      <c r="A270" s="21" t="s">
        <v>167</v>
      </c>
      <c r="B270">
        <v>2680</v>
      </c>
      <c r="C270" s="1">
        <v>45740</v>
      </c>
      <c r="D270">
        <v>14939</v>
      </c>
      <c r="E270">
        <v>36931</v>
      </c>
      <c r="F270" s="1">
        <v>39814</v>
      </c>
      <c r="G270" s="21" t="s">
        <v>1</v>
      </c>
      <c r="H270" s="21" t="s">
        <v>13</v>
      </c>
      <c r="I270" s="21" t="s">
        <v>20</v>
      </c>
      <c r="J270">
        <v>3</v>
      </c>
      <c r="K270" t="s">
        <v>70</v>
      </c>
    </row>
    <row r="271" spans="1:11" x14ac:dyDescent="0.35">
      <c r="A271" s="21" t="s">
        <v>414</v>
      </c>
      <c r="B271">
        <v>2680</v>
      </c>
      <c r="C271" s="1">
        <v>45884</v>
      </c>
      <c r="D271">
        <v>16668</v>
      </c>
      <c r="E271">
        <v>41834</v>
      </c>
      <c r="F271" s="1">
        <v>41640</v>
      </c>
      <c r="G271" s="21" t="s">
        <v>1</v>
      </c>
      <c r="H271" s="21" t="s">
        <v>13</v>
      </c>
      <c r="I271" s="21" t="s">
        <v>20</v>
      </c>
      <c r="J271">
        <v>8</v>
      </c>
      <c r="K271" t="s">
        <v>69</v>
      </c>
    </row>
    <row r="272" spans="1:11" x14ac:dyDescent="0.35">
      <c r="A272" s="21" t="s">
        <v>318</v>
      </c>
      <c r="B272">
        <v>2680</v>
      </c>
      <c r="C272" s="1">
        <v>45828</v>
      </c>
      <c r="D272">
        <v>15958</v>
      </c>
      <c r="E272">
        <v>39633</v>
      </c>
      <c r="F272" s="1">
        <v>40544</v>
      </c>
      <c r="G272" s="21" t="s">
        <v>12</v>
      </c>
      <c r="H272" s="21" t="s">
        <v>13</v>
      </c>
      <c r="I272" s="21" t="s">
        <v>20</v>
      </c>
      <c r="J272">
        <v>6</v>
      </c>
      <c r="K272" t="s">
        <v>70</v>
      </c>
    </row>
    <row r="273" spans="1:11" x14ac:dyDescent="0.35">
      <c r="A273" s="21" t="s">
        <v>365</v>
      </c>
      <c r="B273">
        <v>2680</v>
      </c>
      <c r="C273" s="1">
        <v>45863</v>
      </c>
      <c r="D273">
        <v>16375</v>
      </c>
      <c r="E273">
        <v>40446</v>
      </c>
      <c r="F273" s="1">
        <v>43466</v>
      </c>
      <c r="G273" s="21" t="s">
        <v>12</v>
      </c>
      <c r="H273" s="21" t="s">
        <v>13</v>
      </c>
      <c r="I273" s="21" t="s">
        <v>20</v>
      </c>
      <c r="J273">
        <v>7</v>
      </c>
      <c r="K273" t="s">
        <v>71</v>
      </c>
    </row>
    <row r="274" spans="1:11" x14ac:dyDescent="0.35">
      <c r="A274" s="21" t="s">
        <v>366</v>
      </c>
      <c r="B274">
        <v>2680</v>
      </c>
      <c r="C274" s="1">
        <v>45869</v>
      </c>
      <c r="D274">
        <v>16451</v>
      </c>
      <c r="E274">
        <v>40596</v>
      </c>
      <c r="F274" s="1">
        <v>33604</v>
      </c>
      <c r="G274" s="21" t="s">
        <v>1</v>
      </c>
      <c r="H274" s="21" t="s">
        <v>13</v>
      </c>
      <c r="I274" s="21" t="s">
        <v>20</v>
      </c>
      <c r="J274">
        <v>7</v>
      </c>
      <c r="K274" t="s">
        <v>68</v>
      </c>
    </row>
    <row r="275" spans="1:11" x14ac:dyDescent="0.35">
      <c r="A275" s="21" t="s">
        <v>321</v>
      </c>
      <c r="B275">
        <v>2680</v>
      </c>
      <c r="C275" s="1">
        <v>45821</v>
      </c>
      <c r="D275">
        <v>15903</v>
      </c>
      <c r="E275">
        <v>39530</v>
      </c>
      <c r="F275" s="1">
        <v>39814</v>
      </c>
      <c r="G275" s="21" t="s">
        <v>12</v>
      </c>
      <c r="H275" s="21" t="s">
        <v>13</v>
      </c>
      <c r="I275" s="21" t="s">
        <v>20</v>
      </c>
      <c r="J275">
        <v>6</v>
      </c>
      <c r="K275" t="s">
        <v>70</v>
      </c>
    </row>
    <row r="276" spans="1:11" x14ac:dyDescent="0.35">
      <c r="A276" s="21" t="s">
        <v>474</v>
      </c>
      <c r="B276">
        <v>2680</v>
      </c>
      <c r="C276" s="1">
        <v>45954</v>
      </c>
      <c r="D276">
        <v>17591</v>
      </c>
      <c r="E276">
        <v>43338</v>
      </c>
      <c r="F276" s="1">
        <v>40909</v>
      </c>
      <c r="G276" s="21" t="s">
        <v>12</v>
      </c>
      <c r="H276" s="21" t="s">
        <v>13</v>
      </c>
      <c r="I276" s="21" t="s">
        <v>20</v>
      </c>
      <c r="J276">
        <v>10</v>
      </c>
      <c r="K276" t="s">
        <v>70</v>
      </c>
    </row>
    <row r="277" spans="1:11" x14ac:dyDescent="0.35">
      <c r="A277" s="21" t="s">
        <v>480</v>
      </c>
      <c r="B277">
        <v>2680</v>
      </c>
      <c r="C277" s="1">
        <v>45950</v>
      </c>
      <c r="D277">
        <v>17560</v>
      </c>
      <c r="E277">
        <v>43300</v>
      </c>
      <c r="F277" s="1">
        <v>40179</v>
      </c>
      <c r="G277" s="21" t="s">
        <v>12</v>
      </c>
      <c r="H277" s="21" t="s">
        <v>13</v>
      </c>
      <c r="I277" s="21" t="s">
        <v>20</v>
      </c>
      <c r="J277">
        <v>10</v>
      </c>
      <c r="K277" t="s">
        <v>70</v>
      </c>
    </row>
    <row r="278" spans="1:11" x14ac:dyDescent="0.35">
      <c r="A278" s="21" t="s">
        <v>389</v>
      </c>
      <c r="B278">
        <v>2680</v>
      </c>
      <c r="C278" s="1">
        <v>45856</v>
      </c>
      <c r="D278">
        <v>16330</v>
      </c>
      <c r="E278">
        <v>40308</v>
      </c>
      <c r="F278" s="1">
        <v>38353</v>
      </c>
      <c r="G278" s="21" t="s">
        <v>12</v>
      </c>
      <c r="H278" s="21" t="s">
        <v>13</v>
      </c>
      <c r="I278" s="21" t="s">
        <v>20</v>
      </c>
      <c r="J278">
        <v>7</v>
      </c>
      <c r="K278" t="s">
        <v>68</v>
      </c>
    </row>
    <row r="279" spans="1:11" x14ac:dyDescent="0.35">
      <c r="A279" s="21" t="s">
        <v>514</v>
      </c>
      <c r="B279">
        <v>2680</v>
      </c>
      <c r="C279" s="1">
        <v>45973</v>
      </c>
      <c r="D279">
        <v>17709</v>
      </c>
      <c r="E279">
        <v>43470</v>
      </c>
      <c r="F279" s="1">
        <v>41275</v>
      </c>
      <c r="G279" s="21" t="s">
        <v>12</v>
      </c>
      <c r="H279" s="21" t="s">
        <v>13</v>
      </c>
      <c r="I279" s="21" t="s">
        <v>20</v>
      </c>
      <c r="J279">
        <v>11</v>
      </c>
      <c r="K279" t="s">
        <v>69</v>
      </c>
    </row>
    <row r="280" spans="1:11" x14ac:dyDescent="0.35">
      <c r="A280" s="21" t="s">
        <v>393</v>
      </c>
      <c r="B280">
        <v>2680</v>
      </c>
      <c r="C280" s="1">
        <v>45854</v>
      </c>
      <c r="D280">
        <v>16275</v>
      </c>
      <c r="E280">
        <v>40172</v>
      </c>
      <c r="F280" s="1">
        <v>40179</v>
      </c>
      <c r="G280" s="21" t="s">
        <v>12</v>
      </c>
      <c r="H280" s="21" t="s">
        <v>13</v>
      </c>
      <c r="I280" s="21" t="s">
        <v>20</v>
      </c>
      <c r="J280">
        <v>7</v>
      </c>
      <c r="K280" t="s">
        <v>70</v>
      </c>
    </row>
    <row r="281" spans="1:11" x14ac:dyDescent="0.35">
      <c r="A281" s="21" t="s">
        <v>395</v>
      </c>
      <c r="B281">
        <v>2680</v>
      </c>
      <c r="C281" s="1">
        <v>45852</v>
      </c>
      <c r="D281">
        <v>16256</v>
      </c>
      <c r="E281">
        <v>40136</v>
      </c>
      <c r="F281" s="1">
        <v>40544</v>
      </c>
      <c r="G281" s="21" t="s">
        <v>12</v>
      </c>
      <c r="H281" s="21" t="s">
        <v>13</v>
      </c>
      <c r="I281" s="21" t="s">
        <v>20</v>
      </c>
      <c r="J281">
        <v>7</v>
      </c>
      <c r="K281" t="s">
        <v>70</v>
      </c>
    </row>
    <row r="282" spans="1:11" x14ac:dyDescent="0.35">
      <c r="A282" s="21" t="s">
        <v>517</v>
      </c>
      <c r="B282">
        <v>2680</v>
      </c>
      <c r="C282" s="1">
        <v>45979</v>
      </c>
      <c r="D282">
        <v>17745</v>
      </c>
      <c r="E282">
        <v>43508</v>
      </c>
      <c r="F282" s="1">
        <v>40544</v>
      </c>
      <c r="G282" s="21" t="s">
        <v>12</v>
      </c>
      <c r="H282" s="21" t="s">
        <v>13</v>
      </c>
      <c r="I282" s="21" t="s">
        <v>20</v>
      </c>
      <c r="J282">
        <v>11</v>
      </c>
      <c r="K282" t="s">
        <v>70</v>
      </c>
    </row>
    <row r="283" spans="1:11" x14ac:dyDescent="0.35">
      <c r="A283" s="21" t="s">
        <v>438</v>
      </c>
      <c r="B283">
        <v>2680</v>
      </c>
      <c r="C283" s="1">
        <v>45889</v>
      </c>
      <c r="D283">
        <v>16793</v>
      </c>
      <c r="E283">
        <v>42136</v>
      </c>
      <c r="F283" s="1">
        <v>39083</v>
      </c>
      <c r="G283" s="21" t="s">
        <v>1</v>
      </c>
      <c r="H283" s="21" t="s">
        <v>13</v>
      </c>
      <c r="I283" s="21" t="s">
        <v>20</v>
      </c>
      <c r="J283">
        <v>8</v>
      </c>
      <c r="K283" t="s">
        <v>68</v>
      </c>
    </row>
    <row r="284" spans="1:11" x14ac:dyDescent="0.35">
      <c r="A284" s="21" t="s">
        <v>37</v>
      </c>
      <c r="B284">
        <v>2680</v>
      </c>
      <c r="C284" s="1">
        <v>45674</v>
      </c>
      <c r="D284">
        <v>14123</v>
      </c>
      <c r="E284">
        <v>35590</v>
      </c>
      <c r="F284" s="1">
        <v>36892</v>
      </c>
      <c r="G284" s="21" t="s">
        <v>12</v>
      </c>
      <c r="H284" s="21" t="s">
        <v>13</v>
      </c>
      <c r="I284" s="21" t="s">
        <v>20</v>
      </c>
      <c r="J284">
        <v>1</v>
      </c>
      <c r="K284" t="s">
        <v>68</v>
      </c>
    </row>
    <row r="285" spans="1:11" x14ac:dyDescent="0.35">
      <c r="A285" s="21" t="s">
        <v>206</v>
      </c>
      <c r="B285">
        <v>2680</v>
      </c>
      <c r="C285" s="1">
        <v>45733</v>
      </c>
      <c r="D285">
        <v>14811</v>
      </c>
      <c r="E285">
        <v>36724</v>
      </c>
      <c r="F285" s="1">
        <v>39814</v>
      </c>
      <c r="G285" s="21" t="s">
        <v>12</v>
      </c>
      <c r="H285" s="21" t="s">
        <v>13</v>
      </c>
      <c r="I285" s="21" t="s">
        <v>20</v>
      </c>
      <c r="J285">
        <v>3</v>
      </c>
      <c r="K285" t="s">
        <v>70</v>
      </c>
    </row>
    <row r="286" spans="1:11" x14ac:dyDescent="0.35">
      <c r="A286" s="21" t="s">
        <v>492</v>
      </c>
      <c r="B286">
        <v>2680</v>
      </c>
      <c r="C286" s="1">
        <v>45931</v>
      </c>
      <c r="D286">
        <v>17405</v>
      </c>
      <c r="E286">
        <v>43140</v>
      </c>
      <c r="F286" s="1">
        <v>33604</v>
      </c>
      <c r="G286" s="21" t="s">
        <v>1</v>
      </c>
      <c r="H286" s="21" t="s">
        <v>13</v>
      </c>
      <c r="I286" s="21" t="s">
        <v>20</v>
      </c>
      <c r="J286">
        <v>10</v>
      </c>
      <c r="K286" t="s">
        <v>68</v>
      </c>
    </row>
    <row r="287" spans="1:11" x14ac:dyDescent="0.35">
      <c r="A287" s="21" t="s">
        <v>308</v>
      </c>
      <c r="B287">
        <v>2680</v>
      </c>
      <c r="C287" s="1">
        <v>45789</v>
      </c>
      <c r="D287">
        <v>15604</v>
      </c>
      <c r="E287">
        <v>39096</v>
      </c>
      <c r="F287" s="1">
        <v>42736</v>
      </c>
      <c r="G287" s="21" t="s">
        <v>12</v>
      </c>
      <c r="H287" s="21" t="s">
        <v>13</v>
      </c>
      <c r="I287" s="21" t="s">
        <v>20</v>
      </c>
      <c r="J287">
        <v>5</v>
      </c>
      <c r="K287" t="s">
        <v>69</v>
      </c>
    </row>
    <row r="288" spans="1:11" x14ac:dyDescent="0.35">
      <c r="A288" s="21" t="s">
        <v>329</v>
      </c>
      <c r="B288">
        <v>2765.38</v>
      </c>
      <c r="C288" s="1">
        <v>45831</v>
      </c>
      <c r="D288">
        <v>15985</v>
      </c>
      <c r="E288">
        <v>39671</v>
      </c>
      <c r="F288" s="1">
        <v>35065</v>
      </c>
      <c r="G288" s="21" t="s">
        <v>17</v>
      </c>
      <c r="H288" s="21" t="s">
        <v>330</v>
      </c>
      <c r="I288" s="21" t="s">
        <v>133</v>
      </c>
      <c r="J288">
        <v>6</v>
      </c>
      <c r="K288" t="s">
        <v>68</v>
      </c>
    </row>
    <row r="289" spans="1:11" x14ac:dyDescent="0.35">
      <c r="A289" s="21" t="s">
        <v>242</v>
      </c>
      <c r="B289">
        <v>2946.69</v>
      </c>
      <c r="C289" s="1">
        <v>45805</v>
      </c>
      <c r="D289">
        <v>15745</v>
      </c>
      <c r="E289">
        <v>39274</v>
      </c>
      <c r="F289" s="1">
        <v>35796</v>
      </c>
      <c r="G289" s="21" t="s">
        <v>17</v>
      </c>
      <c r="H289" s="21" t="s">
        <v>58</v>
      </c>
      <c r="I289" s="21" t="s">
        <v>133</v>
      </c>
      <c r="J289">
        <v>5</v>
      </c>
      <c r="K289" t="s">
        <v>68</v>
      </c>
    </row>
    <row r="290" spans="1:11" x14ac:dyDescent="0.35">
      <c r="A290" s="21" t="s">
        <v>464</v>
      </c>
      <c r="B290">
        <v>2990</v>
      </c>
      <c r="C290" s="1">
        <v>45931</v>
      </c>
      <c r="D290">
        <v>17411</v>
      </c>
      <c r="E290">
        <v>43146</v>
      </c>
      <c r="F290" s="1">
        <v>43831</v>
      </c>
      <c r="G290" s="21" t="s">
        <v>0</v>
      </c>
      <c r="H290" s="21" t="s">
        <v>13</v>
      </c>
      <c r="I290" s="21" t="s">
        <v>14</v>
      </c>
      <c r="J290">
        <v>10</v>
      </c>
      <c r="K290" t="s">
        <v>71</v>
      </c>
    </row>
    <row r="291" spans="1:11" x14ac:dyDescent="0.35">
      <c r="A291" s="21" t="s">
        <v>369</v>
      </c>
      <c r="B291">
        <v>2990</v>
      </c>
      <c r="C291" s="1">
        <v>45855</v>
      </c>
      <c r="D291">
        <v>16286</v>
      </c>
      <c r="E291">
        <v>40200</v>
      </c>
      <c r="F291" s="1">
        <v>34700</v>
      </c>
      <c r="G291" s="21" t="s">
        <v>19</v>
      </c>
      <c r="H291" s="21" t="s">
        <v>13</v>
      </c>
      <c r="I291" s="21" t="s">
        <v>14</v>
      </c>
      <c r="J291">
        <v>7</v>
      </c>
      <c r="K291" t="s">
        <v>68</v>
      </c>
    </row>
    <row r="292" spans="1:11" x14ac:dyDescent="0.35">
      <c r="A292" s="21" t="s">
        <v>472</v>
      </c>
      <c r="B292">
        <v>2990</v>
      </c>
      <c r="C292" s="1">
        <v>45946</v>
      </c>
      <c r="D292">
        <v>17535</v>
      </c>
      <c r="E292">
        <v>43272</v>
      </c>
      <c r="F292" s="1">
        <v>43831</v>
      </c>
      <c r="G292" s="21" t="s">
        <v>0</v>
      </c>
      <c r="H292" s="21" t="s">
        <v>13</v>
      </c>
      <c r="I292" s="21" t="s">
        <v>14</v>
      </c>
      <c r="J292">
        <v>10</v>
      </c>
      <c r="K292" t="s">
        <v>71</v>
      </c>
    </row>
    <row r="293" spans="1:11" x14ac:dyDescent="0.35">
      <c r="A293" s="21" t="s">
        <v>477</v>
      </c>
      <c r="B293">
        <v>2990</v>
      </c>
      <c r="C293" s="1">
        <v>45959</v>
      </c>
      <c r="D293">
        <v>17614</v>
      </c>
      <c r="E293">
        <v>43361</v>
      </c>
      <c r="F293" s="1">
        <v>45292</v>
      </c>
      <c r="G293" s="21" t="s">
        <v>19</v>
      </c>
      <c r="H293" s="21" t="s">
        <v>13</v>
      </c>
      <c r="I293" s="21" t="s">
        <v>14</v>
      </c>
      <c r="J293">
        <v>10</v>
      </c>
      <c r="K293" t="s">
        <v>67</v>
      </c>
    </row>
    <row r="294" spans="1:11" x14ac:dyDescent="0.35">
      <c r="A294" s="21" t="s">
        <v>110</v>
      </c>
      <c r="B294">
        <v>2990</v>
      </c>
      <c r="C294" s="1">
        <v>45682</v>
      </c>
      <c r="D294">
        <v>14229</v>
      </c>
      <c r="E294">
        <v>35739</v>
      </c>
      <c r="F294" s="1">
        <v>45658</v>
      </c>
      <c r="G294" s="21" t="s">
        <v>19</v>
      </c>
      <c r="H294" s="21" t="s">
        <v>13</v>
      </c>
      <c r="I294" s="21" t="s">
        <v>14</v>
      </c>
      <c r="J294">
        <v>1</v>
      </c>
      <c r="K294" t="s">
        <v>67</v>
      </c>
    </row>
    <row r="295" spans="1:11" x14ac:dyDescent="0.35">
      <c r="A295" s="21" t="s">
        <v>348</v>
      </c>
      <c r="B295">
        <v>2990</v>
      </c>
      <c r="C295" s="1">
        <v>45814</v>
      </c>
      <c r="D295">
        <v>15823</v>
      </c>
      <c r="E295">
        <v>39395</v>
      </c>
      <c r="F295" s="1">
        <v>44927</v>
      </c>
      <c r="G295" s="21" t="s">
        <v>0</v>
      </c>
      <c r="H295" s="21" t="s">
        <v>13</v>
      </c>
      <c r="I295" s="21" t="s">
        <v>14</v>
      </c>
      <c r="J295">
        <v>6</v>
      </c>
      <c r="K295" t="s">
        <v>67</v>
      </c>
    </row>
    <row r="296" spans="1:11" x14ac:dyDescent="0.35">
      <c r="A296" s="21" t="s">
        <v>111</v>
      </c>
      <c r="B296">
        <v>2990</v>
      </c>
      <c r="C296" s="1">
        <v>45667</v>
      </c>
      <c r="D296">
        <v>13924</v>
      </c>
      <c r="E296">
        <v>35305</v>
      </c>
      <c r="F296" s="1">
        <v>45658</v>
      </c>
      <c r="G296" s="21" t="s">
        <v>19</v>
      </c>
      <c r="H296" s="21" t="s">
        <v>13</v>
      </c>
      <c r="I296" s="21" t="s">
        <v>14</v>
      </c>
      <c r="J296">
        <v>1</v>
      </c>
      <c r="K296" t="s">
        <v>67</v>
      </c>
    </row>
    <row r="297" spans="1:11" x14ac:dyDescent="0.35">
      <c r="A297" s="21" t="s">
        <v>486</v>
      </c>
      <c r="B297">
        <v>2990</v>
      </c>
      <c r="C297" s="1">
        <v>45946</v>
      </c>
      <c r="D297">
        <v>17520</v>
      </c>
      <c r="E297">
        <v>43257</v>
      </c>
      <c r="F297" s="1">
        <v>44927</v>
      </c>
      <c r="G297" s="21" t="s">
        <v>19</v>
      </c>
      <c r="H297" s="21" t="s">
        <v>13</v>
      </c>
      <c r="I297" s="21" t="s">
        <v>14</v>
      </c>
      <c r="J297">
        <v>10</v>
      </c>
      <c r="K297" t="s">
        <v>67</v>
      </c>
    </row>
    <row r="298" spans="1:11" x14ac:dyDescent="0.35">
      <c r="A298" s="21" t="s">
        <v>313</v>
      </c>
      <c r="B298">
        <v>2990</v>
      </c>
      <c r="C298" s="1">
        <v>45777</v>
      </c>
      <c r="D298">
        <v>15475</v>
      </c>
      <c r="E298">
        <v>38701</v>
      </c>
      <c r="F298" s="1">
        <v>45658</v>
      </c>
      <c r="G298" s="21" t="s">
        <v>19</v>
      </c>
      <c r="H298" s="21" t="s">
        <v>13</v>
      </c>
      <c r="I298" s="21" t="s">
        <v>14</v>
      </c>
      <c r="J298">
        <v>4</v>
      </c>
      <c r="K298" t="s">
        <v>67</v>
      </c>
    </row>
    <row r="299" spans="1:11" x14ac:dyDescent="0.35">
      <c r="A299" s="21" t="s">
        <v>93</v>
      </c>
      <c r="B299">
        <v>3400</v>
      </c>
      <c r="C299" s="1">
        <v>45671</v>
      </c>
      <c r="D299">
        <v>14073</v>
      </c>
      <c r="E299">
        <v>35517</v>
      </c>
      <c r="F299" s="1">
        <v>40909</v>
      </c>
      <c r="G299" s="21" t="s">
        <v>12</v>
      </c>
      <c r="H299" s="21" t="s">
        <v>13</v>
      </c>
      <c r="I299" s="21" t="s">
        <v>14</v>
      </c>
      <c r="J299">
        <v>1</v>
      </c>
      <c r="K299" t="s">
        <v>70</v>
      </c>
    </row>
    <row r="300" spans="1:11" x14ac:dyDescent="0.35">
      <c r="A300" s="21" t="s">
        <v>442</v>
      </c>
      <c r="B300">
        <v>3400</v>
      </c>
      <c r="C300" s="1">
        <v>45870</v>
      </c>
      <c r="D300">
        <v>16474</v>
      </c>
      <c r="E300">
        <v>40664</v>
      </c>
      <c r="F300" s="1">
        <v>37257</v>
      </c>
      <c r="G300" s="21" t="s">
        <v>12</v>
      </c>
      <c r="H300" s="21" t="s">
        <v>13</v>
      </c>
      <c r="I300" s="21" t="s">
        <v>14</v>
      </c>
      <c r="J300">
        <v>8</v>
      </c>
      <c r="K300" t="s">
        <v>68</v>
      </c>
    </row>
    <row r="301" spans="1:11" x14ac:dyDescent="0.35">
      <c r="A301" s="21" t="s">
        <v>147</v>
      </c>
      <c r="B301">
        <v>3455</v>
      </c>
      <c r="C301" s="1">
        <v>45699</v>
      </c>
      <c r="D301">
        <v>14441</v>
      </c>
      <c r="E301">
        <v>36032</v>
      </c>
      <c r="F301" s="1">
        <v>45292</v>
      </c>
      <c r="G301" s="21" t="s">
        <v>12</v>
      </c>
      <c r="H301" s="21" t="s">
        <v>13</v>
      </c>
      <c r="I301" s="21" t="s">
        <v>20</v>
      </c>
      <c r="J301">
        <v>2</v>
      </c>
      <c r="K301" t="s">
        <v>67</v>
      </c>
    </row>
    <row r="302" spans="1:11" x14ac:dyDescent="0.35">
      <c r="A302" s="21" t="s">
        <v>331</v>
      </c>
      <c r="B302">
        <v>3600</v>
      </c>
      <c r="C302" s="1">
        <v>45807</v>
      </c>
      <c r="D302">
        <v>15773</v>
      </c>
      <c r="E302">
        <v>39332</v>
      </c>
      <c r="F302" s="1">
        <v>42736</v>
      </c>
      <c r="G302" s="21" t="s">
        <v>17</v>
      </c>
      <c r="H302" s="21" t="s">
        <v>332</v>
      </c>
      <c r="I302" s="21" t="s">
        <v>133</v>
      </c>
      <c r="J302">
        <v>5</v>
      </c>
      <c r="K302" t="s">
        <v>69</v>
      </c>
    </row>
    <row r="303" spans="1:11" x14ac:dyDescent="0.35">
      <c r="A303" s="21" t="s">
        <v>449</v>
      </c>
      <c r="B303">
        <v>4225</v>
      </c>
      <c r="C303" s="1">
        <v>45911</v>
      </c>
      <c r="D303">
        <v>17190</v>
      </c>
      <c r="E303">
        <v>42888</v>
      </c>
      <c r="F303" s="1">
        <v>45292</v>
      </c>
      <c r="G303" s="21" t="s">
        <v>1</v>
      </c>
      <c r="H303" s="21" t="s">
        <v>13</v>
      </c>
      <c r="I303" s="21" t="s">
        <v>20</v>
      </c>
      <c r="J303">
        <v>9</v>
      </c>
      <c r="K303" t="s">
        <v>67</v>
      </c>
    </row>
    <row r="304" spans="1:11" x14ac:dyDescent="0.35">
      <c r="A304" s="21" t="s">
        <v>160</v>
      </c>
      <c r="B304">
        <v>5460</v>
      </c>
      <c r="C304" s="1">
        <v>45730</v>
      </c>
      <c r="D304">
        <v>14782</v>
      </c>
      <c r="E304">
        <v>36662</v>
      </c>
      <c r="F304" s="1">
        <v>40909</v>
      </c>
      <c r="G304" s="21" t="s">
        <v>12</v>
      </c>
      <c r="H304" s="21" t="s">
        <v>161</v>
      </c>
      <c r="I304" s="21" t="s">
        <v>20</v>
      </c>
      <c r="J304">
        <v>3</v>
      </c>
      <c r="K304" t="s">
        <v>70</v>
      </c>
    </row>
    <row r="305" spans="1:11" x14ac:dyDescent="0.35">
      <c r="A305" s="21" t="s">
        <v>367</v>
      </c>
      <c r="B305">
        <v>5460</v>
      </c>
      <c r="C305" s="1">
        <v>45845</v>
      </c>
      <c r="D305">
        <v>16171</v>
      </c>
      <c r="E305">
        <v>39935</v>
      </c>
      <c r="F305" s="1">
        <v>40179</v>
      </c>
      <c r="G305" s="21" t="s">
        <v>12</v>
      </c>
      <c r="H305" s="21" t="s">
        <v>13</v>
      </c>
      <c r="I305" s="21" t="s">
        <v>20</v>
      </c>
      <c r="J305">
        <v>7</v>
      </c>
      <c r="K305" t="s">
        <v>70</v>
      </c>
    </row>
    <row r="306" spans="1:11" x14ac:dyDescent="0.35">
      <c r="A306" s="21" t="s">
        <v>368</v>
      </c>
      <c r="B306">
        <v>5460</v>
      </c>
      <c r="C306" s="1">
        <v>45867</v>
      </c>
      <c r="D306">
        <v>16439</v>
      </c>
      <c r="E306">
        <v>40560</v>
      </c>
      <c r="F306" s="1">
        <v>41275</v>
      </c>
      <c r="G306" s="21" t="s">
        <v>12</v>
      </c>
      <c r="H306" s="21" t="s">
        <v>332</v>
      </c>
      <c r="I306" s="21" t="s">
        <v>20</v>
      </c>
      <c r="J306">
        <v>7</v>
      </c>
      <c r="K306" t="s">
        <v>69</v>
      </c>
    </row>
    <row r="307" spans="1:11" x14ac:dyDescent="0.35">
      <c r="A307" s="21" t="s">
        <v>261</v>
      </c>
      <c r="B307">
        <v>5460</v>
      </c>
      <c r="C307" s="1">
        <v>45748</v>
      </c>
      <c r="D307">
        <v>15080</v>
      </c>
      <c r="E307">
        <v>37263</v>
      </c>
      <c r="F307" s="1">
        <v>42736</v>
      </c>
      <c r="G307" s="21" t="s">
        <v>12</v>
      </c>
      <c r="H307" s="21" t="s">
        <v>262</v>
      </c>
      <c r="I307" s="21" t="s">
        <v>20</v>
      </c>
      <c r="J307">
        <v>4</v>
      </c>
      <c r="K307" t="s">
        <v>69</v>
      </c>
    </row>
    <row r="308" spans="1:11" x14ac:dyDescent="0.35">
      <c r="A308" s="21" t="s">
        <v>42</v>
      </c>
      <c r="B308">
        <v>5460</v>
      </c>
      <c r="C308" s="1">
        <v>45688</v>
      </c>
      <c r="D308">
        <v>14314</v>
      </c>
      <c r="E308">
        <v>35850</v>
      </c>
      <c r="F308" s="1">
        <v>39814</v>
      </c>
      <c r="G308" s="21" t="s">
        <v>12</v>
      </c>
      <c r="H308" s="21" t="s">
        <v>13</v>
      </c>
      <c r="I308" s="21" t="s">
        <v>20</v>
      </c>
      <c r="J308">
        <v>1</v>
      </c>
      <c r="K308" t="s">
        <v>70</v>
      </c>
    </row>
    <row r="309" spans="1:11" x14ac:dyDescent="0.35">
      <c r="A309" s="21" t="s">
        <v>346</v>
      </c>
      <c r="B309">
        <v>5460</v>
      </c>
      <c r="C309" s="1">
        <v>45833</v>
      </c>
      <c r="D309">
        <v>15993</v>
      </c>
      <c r="E309">
        <v>39698</v>
      </c>
      <c r="F309" s="1">
        <v>37257</v>
      </c>
      <c r="G309" s="21" t="s">
        <v>12</v>
      </c>
      <c r="H309" s="21" t="s">
        <v>13</v>
      </c>
      <c r="I309" s="21" t="s">
        <v>20</v>
      </c>
      <c r="J309">
        <v>6</v>
      </c>
      <c r="K309" t="s">
        <v>68</v>
      </c>
    </row>
    <row r="310" spans="1:11" x14ac:dyDescent="0.35">
      <c r="A310" s="21" t="s">
        <v>288</v>
      </c>
      <c r="B310">
        <v>5460</v>
      </c>
      <c r="C310" s="1">
        <v>45791</v>
      </c>
      <c r="D310">
        <v>15633</v>
      </c>
      <c r="E310">
        <v>39150</v>
      </c>
      <c r="F310" s="1">
        <v>33604</v>
      </c>
      <c r="G310" s="21" t="s">
        <v>12</v>
      </c>
      <c r="H310" s="21" t="s">
        <v>13</v>
      </c>
      <c r="I310" s="21" t="s">
        <v>20</v>
      </c>
      <c r="J310">
        <v>5</v>
      </c>
      <c r="K310" t="s">
        <v>68</v>
      </c>
    </row>
    <row r="311" spans="1:11" x14ac:dyDescent="0.35">
      <c r="A311" s="21" t="s">
        <v>151</v>
      </c>
      <c r="B311">
        <v>5460</v>
      </c>
      <c r="C311" s="1">
        <v>45700</v>
      </c>
      <c r="D311">
        <v>14446</v>
      </c>
      <c r="E311">
        <v>36044</v>
      </c>
      <c r="F311" s="1">
        <v>44927</v>
      </c>
      <c r="G311" s="21" t="s">
        <v>12</v>
      </c>
      <c r="H311" s="21" t="s">
        <v>13</v>
      </c>
      <c r="I311" s="21" t="s">
        <v>20</v>
      </c>
      <c r="J311">
        <v>2</v>
      </c>
      <c r="K311" t="s">
        <v>67</v>
      </c>
    </row>
    <row r="312" spans="1:11" x14ac:dyDescent="0.35">
      <c r="A312" s="21" t="s">
        <v>350</v>
      </c>
      <c r="B312">
        <v>5460</v>
      </c>
      <c r="C312" s="1">
        <v>45838</v>
      </c>
      <c r="D312">
        <v>16060</v>
      </c>
      <c r="E312">
        <v>39800</v>
      </c>
      <c r="F312" s="1">
        <v>39083</v>
      </c>
      <c r="G312" s="21" t="s">
        <v>12</v>
      </c>
      <c r="H312" s="21" t="s">
        <v>328</v>
      </c>
      <c r="I312" s="21" t="s">
        <v>20</v>
      </c>
      <c r="J312">
        <v>6</v>
      </c>
      <c r="K312" t="s">
        <v>68</v>
      </c>
    </row>
    <row r="313" spans="1:11" x14ac:dyDescent="0.35">
      <c r="A313" s="21" t="s">
        <v>413</v>
      </c>
      <c r="B313">
        <v>5770</v>
      </c>
      <c r="C313" s="1">
        <v>45890</v>
      </c>
      <c r="D313">
        <v>16845</v>
      </c>
      <c r="E313">
        <v>42310</v>
      </c>
      <c r="F313" s="1">
        <v>39814</v>
      </c>
      <c r="G313" s="21" t="s">
        <v>227</v>
      </c>
      <c r="H313" s="21" t="s">
        <v>13</v>
      </c>
      <c r="I313" s="21" t="s">
        <v>20</v>
      </c>
      <c r="J313">
        <v>8</v>
      </c>
      <c r="K313" t="s">
        <v>70</v>
      </c>
    </row>
    <row r="314" spans="1:11" x14ac:dyDescent="0.35">
      <c r="A314" s="21" t="s">
        <v>41</v>
      </c>
      <c r="B314">
        <v>5770</v>
      </c>
      <c r="C314" s="1">
        <v>45681</v>
      </c>
      <c r="D314">
        <v>14208</v>
      </c>
      <c r="E314">
        <v>35690</v>
      </c>
      <c r="F314" s="1">
        <v>43101</v>
      </c>
      <c r="G314" s="21" t="s">
        <v>19</v>
      </c>
      <c r="H314" s="21" t="s">
        <v>13</v>
      </c>
      <c r="I314" s="21" t="s">
        <v>20</v>
      </c>
      <c r="J314">
        <v>1</v>
      </c>
      <c r="K314" t="s">
        <v>71</v>
      </c>
    </row>
    <row r="315" spans="1:11" x14ac:dyDescent="0.35">
      <c r="A315" s="21" t="s">
        <v>371</v>
      </c>
      <c r="B315">
        <v>5770</v>
      </c>
      <c r="C315" s="1">
        <v>45861</v>
      </c>
      <c r="D315">
        <v>16349</v>
      </c>
      <c r="E315">
        <v>40353</v>
      </c>
      <c r="F315" s="1">
        <v>43831</v>
      </c>
      <c r="G315" s="21" t="s">
        <v>19</v>
      </c>
      <c r="H315" s="21" t="s">
        <v>13</v>
      </c>
      <c r="I315" s="21" t="s">
        <v>20</v>
      </c>
      <c r="J315">
        <v>7</v>
      </c>
      <c r="K315" t="s">
        <v>71</v>
      </c>
    </row>
    <row r="316" spans="1:11" x14ac:dyDescent="0.35">
      <c r="A316" s="21" t="s">
        <v>309</v>
      </c>
      <c r="B316">
        <v>5770</v>
      </c>
      <c r="C316" s="1">
        <v>45758</v>
      </c>
      <c r="D316">
        <v>15239</v>
      </c>
      <c r="E316">
        <v>37885</v>
      </c>
      <c r="F316" s="1">
        <v>37622</v>
      </c>
      <c r="G316" s="21" t="s">
        <v>227</v>
      </c>
      <c r="H316" s="21" t="s">
        <v>13</v>
      </c>
      <c r="I316" s="21" t="s">
        <v>20</v>
      </c>
      <c r="J316">
        <v>4</v>
      </c>
      <c r="K316" t="s">
        <v>68</v>
      </c>
    </row>
    <row r="317" spans="1:11" x14ac:dyDescent="0.35">
      <c r="A317" s="21" t="s">
        <v>444</v>
      </c>
      <c r="B317">
        <v>5770</v>
      </c>
      <c r="C317" s="1">
        <v>45873</v>
      </c>
      <c r="D317">
        <v>16487</v>
      </c>
      <c r="E317">
        <v>40702</v>
      </c>
      <c r="F317" s="1">
        <v>45658</v>
      </c>
      <c r="G317" s="21" t="s">
        <v>19</v>
      </c>
      <c r="H317" s="21" t="s">
        <v>13</v>
      </c>
      <c r="I317" s="21" t="s">
        <v>20</v>
      </c>
      <c r="J317">
        <v>8</v>
      </c>
      <c r="K317" t="s">
        <v>67</v>
      </c>
    </row>
    <row r="318" spans="1:11" x14ac:dyDescent="0.35">
      <c r="A318" s="21" t="s">
        <v>55</v>
      </c>
      <c r="B318">
        <v>6673</v>
      </c>
      <c r="C318" s="1">
        <v>45734</v>
      </c>
      <c r="D318">
        <v>14864</v>
      </c>
      <c r="E318">
        <v>36792</v>
      </c>
      <c r="F318" s="1">
        <v>42005</v>
      </c>
      <c r="G318" s="21" t="s">
        <v>17</v>
      </c>
      <c r="H318" s="21" t="s">
        <v>175</v>
      </c>
      <c r="I318" s="21" t="s">
        <v>133</v>
      </c>
      <c r="J318">
        <v>3</v>
      </c>
      <c r="K318" t="s">
        <v>69</v>
      </c>
    </row>
    <row r="319" spans="1:11" x14ac:dyDescent="0.35">
      <c r="A319" s="21" t="s">
        <v>434</v>
      </c>
      <c r="B319">
        <v>7010</v>
      </c>
      <c r="C319" s="1">
        <v>45880</v>
      </c>
      <c r="D319">
        <v>16583</v>
      </c>
      <c r="E319">
        <v>41325</v>
      </c>
      <c r="F319" s="1">
        <v>36892</v>
      </c>
      <c r="G319" s="21" t="s">
        <v>12</v>
      </c>
      <c r="H319" s="21" t="s">
        <v>13</v>
      </c>
      <c r="I319" s="21" t="s">
        <v>20</v>
      </c>
      <c r="J319">
        <v>8</v>
      </c>
      <c r="K319" t="s">
        <v>68</v>
      </c>
    </row>
    <row r="320" spans="1:11" x14ac:dyDescent="0.35">
      <c r="A320" s="21" t="s">
        <v>138</v>
      </c>
      <c r="B320">
        <v>7200</v>
      </c>
      <c r="C320" s="1">
        <v>45720</v>
      </c>
      <c r="D320">
        <v>14662</v>
      </c>
      <c r="E320">
        <v>36435</v>
      </c>
      <c r="F320" s="1">
        <v>40909</v>
      </c>
      <c r="G320" s="21" t="s">
        <v>19</v>
      </c>
      <c r="H320" s="21" t="s">
        <v>13</v>
      </c>
      <c r="I320" s="21" t="s">
        <v>14</v>
      </c>
      <c r="J320">
        <v>3</v>
      </c>
      <c r="K320" t="s">
        <v>70</v>
      </c>
    </row>
    <row r="321" spans="1:11" x14ac:dyDescent="0.35">
      <c r="A321" s="21" t="s">
        <v>269</v>
      </c>
      <c r="B321">
        <v>7200</v>
      </c>
      <c r="C321" s="1">
        <v>45765</v>
      </c>
      <c r="D321">
        <v>15333</v>
      </c>
      <c r="E321">
        <v>38296</v>
      </c>
      <c r="F321" s="1">
        <v>45658</v>
      </c>
      <c r="G321" s="21" t="s">
        <v>0</v>
      </c>
      <c r="H321" s="21" t="s">
        <v>13</v>
      </c>
      <c r="I321" s="21" t="s">
        <v>14</v>
      </c>
      <c r="J321">
        <v>4</v>
      </c>
      <c r="K321" t="s">
        <v>67</v>
      </c>
    </row>
    <row r="322" spans="1:11" x14ac:dyDescent="0.35">
      <c r="A322" s="21" t="s">
        <v>510</v>
      </c>
      <c r="B322">
        <v>7200</v>
      </c>
      <c r="C322" s="1">
        <v>45964</v>
      </c>
      <c r="D322">
        <v>17644</v>
      </c>
      <c r="E322">
        <v>43405</v>
      </c>
      <c r="F322" s="1">
        <v>39083</v>
      </c>
      <c r="G322" s="21" t="s">
        <v>19</v>
      </c>
      <c r="H322" s="21" t="s">
        <v>13</v>
      </c>
      <c r="I322" s="21" t="s">
        <v>14</v>
      </c>
      <c r="J322">
        <v>11</v>
      </c>
      <c r="K322" t="s">
        <v>68</v>
      </c>
    </row>
    <row r="323" spans="1:11" x14ac:dyDescent="0.35">
      <c r="A323" s="21" t="s">
        <v>501</v>
      </c>
      <c r="B323">
        <v>7210</v>
      </c>
      <c r="C323" s="1">
        <v>45985</v>
      </c>
      <c r="D323">
        <v>17824</v>
      </c>
      <c r="E323">
        <v>43589</v>
      </c>
      <c r="F323" s="1">
        <v>40544</v>
      </c>
      <c r="G323" s="21" t="s">
        <v>1</v>
      </c>
      <c r="H323" s="21" t="s">
        <v>13</v>
      </c>
      <c r="I323" s="21" t="s">
        <v>20</v>
      </c>
      <c r="J323">
        <v>11</v>
      </c>
      <c r="K323" t="s">
        <v>70</v>
      </c>
    </row>
    <row r="324" spans="1:11" x14ac:dyDescent="0.35">
      <c r="A324" s="21" t="s">
        <v>94</v>
      </c>
      <c r="B324">
        <v>7210</v>
      </c>
      <c r="C324" s="1">
        <v>45670</v>
      </c>
      <c r="D324">
        <v>14070</v>
      </c>
      <c r="E324">
        <v>35509</v>
      </c>
      <c r="F324" s="1">
        <v>44927</v>
      </c>
      <c r="G324" s="21" t="s">
        <v>1</v>
      </c>
      <c r="H324" s="21" t="s">
        <v>13</v>
      </c>
      <c r="I324" s="21" t="s">
        <v>20</v>
      </c>
      <c r="J324">
        <v>1</v>
      </c>
      <c r="K324" t="s">
        <v>67</v>
      </c>
    </row>
    <row r="325" spans="1:11" x14ac:dyDescent="0.35">
      <c r="A325" s="21" t="s">
        <v>302</v>
      </c>
      <c r="B325">
        <v>7210</v>
      </c>
      <c r="C325" s="1">
        <v>45777</v>
      </c>
      <c r="D325">
        <v>15474</v>
      </c>
      <c r="E325">
        <v>38700</v>
      </c>
      <c r="F325" s="1">
        <v>38718</v>
      </c>
      <c r="G325" s="21" t="s">
        <v>1</v>
      </c>
      <c r="H325" s="21" t="s">
        <v>13</v>
      </c>
      <c r="I325" s="21" t="s">
        <v>20</v>
      </c>
      <c r="J325">
        <v>4</v>
      </c>
      <c r="K325" t="s">
        <v>68</v>
      </c>
    </row>
    <row r="326" spans="1:11" x14ac:dyDescent="0.35">
      <c r="A326" s="21" t="s">
        <v>40</v>
      </c>
      <c r="B326">
        <v>8056</v>
      </c>
      <c r="C326" s="1">
        <v>45740</v>
      </c>
      <c r="D326">
        <v>14951</v>
      </c>
      <c r="E326">
        <v>36942</v>
      </c>
      <c r="F326" s="1">
        <v>39814</v>
      </c>
      <c r="G326" s="21" t="s">
        <v>17</v>
      </c>
      <c r="H326" s="21" t="s">
        <v>173</v>
      </c>
      <c r="I326" s="21" t="s">
        <v>133</v>
      </c>
      <c r="J326">
        <v>3</v>
      </c>
      <c r="K326" t="s">
        <v>70</v>
      </c>
    </row>
    <row r="327" spans="1:11" x14ac:dyDescent="0.35">
      <c r="A327" s="21" t="s">
        <v>48</v>
      </c>
      <c r="B327">
        <v>9469.4599999999991</v>
      </c>
      <c r="C327" s="1">
        <v>45712</v>
      </c>
      <c r="D327">
        <v>14585</v>
      </c>
      <c r="E327">
        <v>36253</v>
      </c>
      <c r="F327" s="1">
        <v>36161</v>
      </c>
      <c r="G327" s="21" t="s">
        <v>17</v>
      </c>
      <c r="H327" s="21" t="s">
        <v>136</v>
      </c>
      <c r="I327" s="21" t="s">
        <v>133</v>
      </c>
      <c r="J327">
        <v>2</v>
      </c>
      <c r="K327" t="s">
        <v>68</v>
      </c>
    </row>
    <row r="328" spans="1:11" x14ac:dyDescent="0.35">
      <c r="A328" s="21" t="s">
        <v>249</v>
      </c>
      <c r="B328">
        <v>9553.6</v>
      </c>
      <c r="C328" s="1">
        <v>45800</v>
      </c>
      <c r="D328">
        <v>15736</v>
      </c>
      <c r="E328">
        <v>39265</v>
      </c>
      <c r="F328" s="1">
        <v>40179</v>
      </c>
      <c r="G328" s="21" t="s">
        <v>17</v>
      </c>
      <c r="H328" s="21" t="s">
        <v>250</v>
      </c>
      <c r="I328" s="21" t="s">
        <v>133</v>
      </c>
      <c r="J328">
        <v>5</v>
      </c>
      <c r="K328" t="s">
        <v>70</v>
      </c>
    </row>
    <row r="329" spans="1:11" x14ac:dyDescent="0.35">
      <c r="A329" s="21" t="s">
        <v>446</v>
      </c>
      <c r="B329">
        <v>9645</v>
      </c>
      <c r="C329" s="1">
        <v>45905</v>
      </c>
      <c r="D329">
        <v>17080</v>
      </c>
      <c r="E329">
        <v>42715</v>
      </c>
      <c r="F329" s="1">
        <v>40179</v>
      </c>
      <c r="G329" s="21" t="s">
        <v>0</v>
      </c>
      <c r="H329" s="21" t="s">
        <v>13</v>
      </c>
      <c r="I329" s="21" t="s">
        <v>20</v>
      </c>
      <c r="J329">
        <v>9</v>
      </c>
      <c r="K329" t="s">
        <v>70</v>
      </c>
    </row>
    <row r="330" spans="1:11" x14ac:dyDescent="0.35">
      <c r="A330" s="21" t="s">
        <v>359</v>
      </c>
      <c r="B330">
        <v>9685</v>
      </c>
      <c r="C330" s="1">
        <v>45849</v>
      </c>
      <c r="D330">
        <v>16260</v>
      </c>
      <c r="E330">
        <v>40140</v>
      </c>
      <c r="F330" s="1">
        <v>44927</v>
      </c>
      <c r="G330" s="21" t="s">
        <v>19</v>
      </c>
      <c r="H330" s="21" t="s">
        <v>13</v>
      </c>
      <c r="I330" s="21" t="s">
        <v>20</v>
      </c>
      <c r="J330">
        <v>7</v>
      </c>
      <c r="K330" t="s">
        <v>67</v>
      </c>
    </row>
    <row r="331" spans="1:11" x14ac:dyDescent="0.35">
      <c r="A331" s="21" t="s">
        <v>230</v>
      </c>
      <c r="B331">
        <v>9685</v>
      </c>
      <c r="C331" s="1">
        <v>45799</v>
      </c>
      <c r="D331">
        <v>15719</v>
      </c>
      <c r="E331">
        <v>39248</v>
      </c>
      <c r="F331" s="1">
        <v>40544</v>
      </c>
      <c r="G331" s="21" t="s">
        <v>19</v>
      </c>
      <c r="H331" s="21" t="s">
        <v>13</v>
      </c>
      <c r="I331" s="21" t="s">
        <v>20</v>
      </c>
      <c r="J331">
        <v>5</v>
      </c>
      <c r="K331" t="s">
        <v>70</v>
      </c>
    </row>
    <row r="332" spans="1:11" x14ac:dyDescent="0.35">
      <c r="A332" s="21" t="s">
        <v>39</v>
      </c>
      <c r="B332">
        <v>9685</v>
      </c>
      <c r="C332" s="1">
        <v>45687</v>
      </c>
      <c r="D332">
        <v>14313</v>
      </c>
      <c r="E332">
        <v>35849</v>
      </c>
      <c r="F332" s="1">
        <v>42005</v>
      </c>
      <c r="G332" s="21" t="s">
        <v>19</v>
      </c>
      <c r="H332" s="21" t="s">
        <v>13</v>
      </c>
      <c r="I332" s="21" t="s">
        <v>20</v>
      </c>
      <c r="J332">
        <v>1</v>
      </c>
      <c r="K332" t="s">
        <v>69</v>
      </c>
    </row>
    <row r="333" spans="1:11" x14ac:dyDescent="0.35">
      <c r="A333" s="21" t="s">
        <v>478</v>
      </c>
      <c r="B333">
        <v>9685</v>
      </c>
      <c r="C333" s="1">
        <v>45961</v>
      </c>
      <c r="D333">
        <v>17628</v>
      </c>
      <c r="E333">
        <v>43388</v>
      </c>
      <c r="F333" s="1">
        <v>44927</v>
      </c>
      <c r="G333" s="21" t="s">
        <v>19</v>
      </c>
      <c r="H333" s="21" t="s">
        <v>13</v>
      </c>
      <c r="I333" s="21" t="s">
        <v>20</v>
      </c>
      <c r="J333">
        <v>10</v>
      </c>
      <c r="K333" t="s">
        <v>67</v>
      </c>
    </row>
    <row r="334" spans="1:11" x14ac:dyDescent="0.35">
      <c r="A334" s="21" t="s">
        <v>263</v>
      </c>
      <c r="B334">
        <v>9685</v>
      </c>
      <c r="C334" s="1">
        <v>45804</v>
      </c>
      <c r="D334">
        <v>15739</v>
      </c>
      <c r="E334">
        <v>39268</v>
      </c>
      <c r="F334" s="1">
        <v>39814</v>
      </c>
      <c r="G334" s="21" t="s">
        <v>19</v>
      </c>
      <c r="H334" s="21" t="s">
        <v>13</v>
      </c>
      <c r="I334" s="21" t="s">
        <v>20</v>
      </c>
      <c r="J334">
        <v>5</v>
      </c>
      <c r="K334" t="s">
        <v>70</v>
      </c>
    </row>
    <row r="335" spans="1:11" x14ac:dyDescent="0.35">
      <c r="A335" s="21" t="s">
        <v>183</v>
      </c>
      <c r="B335">
        <v>9685</v>
      </c>
      <c r="C335" s="1">
        <v>45723</v>
      </c>
      <c r="D335">
        <v>14704</v>
      </c>
      <c r="E335">
        <v>36527</v>
      </c>
      <c r="F335" s="1">
        <v>40179</v>
      </c>
      <c r="G335" s="21" t="s">
        <v>19</v>
      </c>
      <c r="H335" s="21" t="s">
        <v>13</v>
      </c>
      <c r="I335" s="21" t="s">
        <v>20</v>
      </c>
      <c r="J335">
        <v>3</v>
      </c>
      <c r="K335" t="s">
        <v>70</v>
      </c>
    </row>
    <row r="336" spans="1:11" x14ac:dyDescent="0.35">
      <c r="A336" s="21" t="s">
        <v>388</v>
      </c>
      <c r="B336">
        <v>9685</v>
      </c>
      <c r="C336" s="1">
        <v>45861</v>
      </c>
      <c r="D336">
        <v>16354</v>
      </c>
      <c r="E336">
        <v>40367</v>
      </c>
      <c r="F336" s="1">
        <v>39814</v>
      </c>
      <c r="G336" s="21" t="s">
        <v>0</v>
      </c>
      <c r="H336" s="21" t="s">
        <v>13</v>
      </c>
      <c r="I336" s="21" t="s">
        <v>20</v>
      </c>
      <c r="J336">
        <v>7</v>
      </c>
      <c r="K336" t="s">
        <v>70</v>
      </c>
    </row>
    <row r="337" spans="1:11" x14ac:dyDescent="0.35">
      <c r="A337" s="21" t="s">
        <v>295</v>
      </c>
      <c r="B337">
        <v>9685</v>
      </c>
      <c r="C337" s="1">
        <v>45798</v>
      </c>
      <c r="D337">
        <v>15708</v>
      </c>
      <c r="E337">
        <v>39237</v>
      </c>
      <c r="F337" s="1">
        <v>44927</v>
      </c>
      <c r="G337" s="21" t="s">
        <v>19</v>
      </c>
      <c r="H337" s="21" t="s">
        <v>13</v>
      </c>
      <c r="I337" s="21" t="s">
        <v>20</v>
      </c>
      <c r="J337">
        <v>5</v>
      </c>
      <c r="K337" t="s">
        <v>67</v>
      </c>
    </row>
    <row r="338" spans="1:11" x14ac:dyDescent="0.35">
      <c r="A338" s="21" t="s">
        <v>299</v>
      </c>
      <c r="B338">
        <v>9685</v>
      </c>
      <c r="C338" s="1">
        <v>45750</v>
      </c>
      <c r="D338">
        <v>15105</v>
      </c>
      <c r="E338">
        <v>37339</v>
      </c>
      <c r="F338" s="1">
        <v>39083</v>
      </c>
      <c r="G338" s="21" t="s">
        <v>19</v>
      </c>
      <c r="H338" s="21" t="s">
        <v>13</v>
      </c>
      <c r="I338" s="21" t="s">
        <v>20</v>
      </c>
      <c r="J338">
        <v>4</v>
      </c>
      <c r="K338" t="s">
        <v>68</v>
      </c>
    </row>
    <row r="339" spans="1:11" x14ac:dyDescent="0.35">
      <c r="A339" s="21" t="s">
        <v>213</v>
      </c>
      <c r="B339">
        <v>9685</v>
      </c>
      <c r="C339" s="1">
        <v>45733</v>
      </c>
      <c r="D339">
        <v>14810</v>
      </c>
      <c r="E339">
        <v>36723</v>
      </c>
      <c r="F339" s="1">
        <v>43101</v>
      </c>
      <c r="G339" s="21" t="s">
        <v>19</v>
      </c>
      <c r="H339" s="21" t="s">
        <v>13</v>
      </c>
      <c r="I339" s="21" t="s">
        <v>20</v>
      </c>
      <c r="J339">
        <v>3</v>
      </c>
      <c r="K339" t="s">
        <v>71</v>
      </c>
    </row>
    <row r="340" spans="1:11" x14ac:dyDescent="0.35">
      <c r="A340" s="21" t="s">
        <v>467</v>
      </c>
      <c r="B340">
        <v>9690</v>
      </c>
      <c r="C340" s="1">
        <v>45954</v>
      </c>
      <c r="D340">
        <v>17604</v>
      </c>
      <c r="E340">
        <v>43350</v>
      </c>
      <c r="F340" s="1">
        <v>44562</v>
      </c>
      <c r="G340" s="21" t="s">
        <v>227</v>
      </c>
      <c r="H340" s="21" t="s">
        <v>13</v>
      </c>
      <c r="I340" s="21" t="s">
        <v>20</v>
      </c>
      <c r="J340">
        <v>10</v>
      </c>
      <c r="K340" t="s">
        <v>67</v>
      </c>
    </row>
    <row r="341" spans="1:11" x14ac:dyDescent="0.35">
      <c r="A341" s="21" t="s">
        <v>44</v>
      </c>
      <c r="B341">
        <v>9979</v>
      </c>
      <c r="C341" s="1">
        <v>45743</v>
      </c>
      <c r="D341">
        <v>15003</v>
      </c>
      <c r="E341">
        <v>37062</v>
      </c>
      <c r="F341" s="1">
        <v>34700</v>
      </c>
      <c r="G341" s="21" t="s">
        <v>17</v>
      </c>
      <c r="H341" s="21" t="s">
        <v>176</v>
      </c>
      <c r="I341" s="21" t="s">
        <v>133</v>
      </c>
      <c r="J341">
        <v>3</v>
      </c>
      <c r="K341" t="s">
        <v>68</v>
      </c>
    </row>
    <row r="342" spans="1:11" x14ac:dyDescent="0.35">
      <c r="A342" s="21" t="s">
        <v>91</v>
      </c>
      <c r="B342">
        <v>9990</v>
      </c>
      <c r="C342" s="1">
        <v>45666</v>
      </c>
      <c r="D342">
        <v>13902</v>
      </c>
      <c r="E342">
        <v>35282</v>
      </c>
      <c r="F342" s="1">
        <v>39814</v>
      </c>
      <c r="G342" s="21" t="s">
        <v>1</v>
      </c>
      <c r="H342" s="21" t="s">
        <v>13</v>
      </c>
      <c r="I342" s="21" t="s">
        <v>20</v>
      </c>
      <c r="J342">
        <v>1</v>
      </c>
      <c r="K342" t="s">
        <v>70</v>
      </c>
    </row>
    <row r="343" spans="1:11" x14ac:dyDescent="0.35">
      <c r="A343" s="21" t="s">
        <v>238</v>
      </c>
      <c r="B343">
        <v>10172.5</v>
      </c>
      <c r="C343" s="1">
        <v>45755</v>
      </c>
      <c r="D343">
        <v>15189</v>
      </c>
      <c r="E343">
        <v>37730</v>
      </c>
      <c r="F343" s="1">
        <v>39083</v>
      </c>
      <c r="G343" s="21" t="s">
        <v>17</v>
      </c>
      <c r="H343" s="21" t="s">
        <v>239</v>
      </c>
      <c r="I343" s="21" t="s">
        <v>133</v>
      </c>
      <c r="J343">
        <v>4</v>
      </c>
      <c r="K343" t="s">
        <v>68</v>
      </c>
    </row>
    <row r="344" spans="1:11" x14ac:dyDescent="0.35">
      <c r="A344" s="21" t="s">
        <v>327</v>
      </c>
      <c r="B344">
        <v>10383.120000000001</v>
      </c>
      <c r="C344" s="1">
        <v>45821</v>
      </c>
      <c r="D344">
        <v>15904</v>
      </c>
      <c r="E344">
        <v>39531</v>
      </c>
      <c r="F344" s="1">
        <v>35796</v>
      </c>
      <c r="G344" s="21" t="s">
        <v>17</v>
      </c>
      <c r="H344" s="21" t="s">
        <v>328</v>
      </c>
      <c r="I344" s="21" t="s">
        <v>133</v>
      </c>
      <c r="J344">
        <v>6</v>
      </c>
      <c r="K344" t="s">
        <v>68</v>
      </c>
    </row>
    <row r="345" spans="1:11" x14ac:dyDescent="0.35">
      <c r="A345" s="21" t="s">
        <v>468</v>
      </c>
      <c r="B345">
        <v>12050</v>
      </c>
      <c r="C345" s="1">
        <v>45947</v>
      </c>
      <c r="D345">
        <v>17556</v>
      </c>
      <c r="E345">
        <v>43296</v>
      </c>
      <c r="F345" s="1">
        <v>39814</v>
      </c>
      <c r="G345" s="21" t="s">
        <v>227</v>
      </c>
      <c r="H345" s="21" t="s">
        <v>13</v>
      </c>
      <c r="I345" s="21" t="s">
        <v>14</v>
      </c>
      <c r="J345">
        <v>10</v>
      </c>
      <c r="K345" t="s">
        <v>70</v>
      </c>
    </row>
    <row r="346" spans="1:11" x14ac:dyDescent="0.35">
      <c r="A346" s="21" t="s">
        <v>300</v>
      </c>
      <c r="B346">
        <v>12050</v>
      </c>
      <c r="C346" s="1">
        <v>45755</v>
      </c>
      <c r="D346">
        <v>15180</v>
      </c>
      <c r="E346">
        <v>37708</v>
      </c>
      <c r="F346" s="1">
        <v>39814</v>
      </c>
      <c r="G346" s="21" t="s">
        <v>19</v>
      </c>
      <c r="H346" s="21" t="s">
        <v>13</v>
      </c>
      <c r="I346" s="21" t="s">
        <v>14</v>
      </c>
      <c r="J346">
        <v>4</v>
      </c>
      <c r="K346" t="s">
        <v>70</v>
      </c>
    </row>
    <row r="347" spans="1:11" x14ac:dyDescent="0.35">
      <c r="A347" s="21" t="s">
        <v>243</v>
      </c>
      <c r="B347">
        <v>12342.16</v>
      </c>
      <c r="C347" s="1">
        <v>45776</v>
      </c>
      <c r="D347">
        <v>15473</v>
      </c>
      <c r="E347">
        <v>38699</v>
      </c>
      <c r="F347" s="1">
        <v>37987</v>
      </c>
      <c r="G347" s="21" t="s">
        <v>17</v>
      </c>
      <c r="H347" s="21" t="s">
        <v>161</v>
      </c>
      <c r="I347" s="21" t="s">
        <v>133</v>
      </c>
      <c r="J347">
        <v>4</v>
      </c>
      <c r="K347" t="s">
        <v>68</v>
      </c>
    </row>
    <row r="348" spans="1:11" x14ac:dyDescent="0.35">
      <c r="A348" s="21" t="s">
        <v>246</v>
      </c>
      <c r="B348">
        <v>12767.33</v>
      </c>
      <c r="C348" s="1">
        <v>45742</v>
      </c>
      <c r="D348">
        <v>15191</v>
      </c>
      <c r="E348">
        <v>37732</v>
      </c>
      <c r="F348" s="1">
        <v>37622</v>
      </c>
      <c r="G348" s="21" t="s">
        <v>17</v>
      </c>
      <c r="H348" s="21" t="s">
        <v>247</v>
      </c>
      <c r="I348" s="21" t="s">
        <v>133</v>
      </c>
      <c r="J348">
        <v>3</v>
      </c>
      <c r="K348" t="s">
        <v>68</v>
      </c>
    </row>
    <row r="349" spans="1:11" x14ac:dyDescent="0.35">
      <c r="A349" s="21" t="s">
        <v>53</v>
      </c>
      <c r="B349">
        <v>13570.6</v>
      </c>
      <c r="C349" s="1">
        <v>45736</v>
      </c>
      <c r="D349">
        <v>14906</v>
      </c>
      <c r="E349">
        <v>36869</v>
      </c>
      <c r="F349" s="1">
        <v>36526</v>
      </c>
      <c r="G349" s="21" t="s">
        <v>17</v>
      </c>
      <c r="H349" s="21" t="s">
        <v>51</v>
      </c>
      <c r="I349" s="21" t="s">
        <v>133</v>
      </c>
      <c r="J349">
        <v>3</v>
      </c>
      <c r="K349" t="s">
        <v>68</v>
      </c>
    </row>
    <row r="350" spans="1:11" x14ac:dyDescent="0.35">
      <c r="A350" s="21" t="s">
        <v>273</v>
      </c>
      <c r="B350">
        <v>14420</v>
      </c>
      <c r="C350" s="1">
        <v>45750</v>
      </c>
      <c r="D350">
        <v>15106</v>
      </c>
      <c r="E350">
        <v>37340</v>
      </c>
      <c r="F350" s="1">
        <v>37622</v>
      </c>
      <c r="G350" s="21" t="s">
        <v>1</v>
      </c>
      <c r="H350" s="21" t="s">
        <v>13</v>
      </c>
      <c r="I350" s="21" t="s">
        <v>20</v>
      </c>
      <c r="J350">
        <v>4</v>
      </c>
      <c r="K350" t="s">
        <v>68</v>
      </c>
    </row>
    <row r="351" spans="1:11" x14ac:dyDescent="0.35">
      <c r="A351" s="21" t="s">
        <v>387</v>
      </c>
      <c r="B351">
        <v>14420</v>
      </c>
      <c r="C351" s="1">
        <v>45869</v>
      </c>
      <c r="D351">
        <v>16450</v>
      </c>
      <c r="E351">
        <v>40595</v>
      </c>
      <c r="F351" s="1">
        <v>40179</v>
      </c>
      <c r="G351" s="21" t="s">
        <v>1</v>
      </c>
      <c r="H351" s="21" t="s">
        <v>13</v>
      </c>
      <c r="I351" s="21" t="s">
        <v>20</v>
      </c>
      <c r="J351">
        <v>7</v>
      </c>
      <c r="K351" t="s">
        <v>70</v>
      </c>
    </row>
    <row r="352" spans="1:11" x14ac:dyDescent="0.35">
      <c r="A352" s="21" t="s">
        <v>108</v>
      </c>
      <c r="B352">
        <v>14420</v>
      </c>
      <c r="C352" s="1">
        <v>45686</v>
      </c>
      <c r="D352">
        <v>14284</v>
      </c>
      <c r="E352">
        <v>35819</v>
      </c>
      <c r="F352" s="1">
        <v>33604</v>
      </c>
      <c r="G352" s="21" t="s">
        <v>1</v>
      </c>
      <c r="H352" s="21" t="s">
        <v>13</v>
      </c>
      <c r="I352" s="21" t="s">
        <v>20</v>
      </c>
      <c r="J352">
        <v>1</v>
      </c>
      <c r="K352" t="s">
        <v>68</v>
      </c>
    </row>
    <row r="353" spans="1:11" x14ac:dyDescent="0.35">
      <c r="A353" s="21" t="s">
        <v>347</v>
      </c>
      <c r="B353">
        <v>14420</v>
      </c>
      <c r="C353" s="1">
        <v>45820</v>
      </c>
      <c r="D353">
        <v>15873</v>
      </c>
      <c r="E353">
        <v>39486</v>
      </c>
      <c r="F353" s="1">
        <v>33970</v>
      </c>
      <c r="G353" s="21" t="s">
        <v>1</v>
      </c>
      <c r="H353" s="21" t="s">
        <v>13</v>
      </c>
      <c r="I353" s="21" t="s">
        <v>20</v>
      </c>
      <c r="J353">
        <v>6</v>
      </c>
      <c r="K353" t="s">
        <v>68</v>
      </c>
    </row>
    <row r="354" spans="1:11" x14ac:dyDescent="0.35">
      <c r="A354" s="21" t="s">
        <v>297</v>
      </c>
      <c r="B354">
        <v>14420</v>
      </c>
      <c r="C354" s="1">
        <v>45793</v>
      </c>
      <c r="D354">
        <v>15652</v>
      </c>
      <c r="E354">
        <v>39172</v>
      </c>
      <c r="F354" s="1">
        <v>36892</v>
      </c>
      <c r="G354" s="21" t="s">
        <v>1</v>
      </c>
      <c r="H354" s="21" t="s">
        <v>13</v>
      </c>
      <c r="I354" s="21" t="s">
        <v>20</v>
      </c>
      <c r="J354">
        <v>5</v>
      </c>
      <c r="K354" t="s">
        <v>68</v>
      </c>
    </row>
    <row r="355" spans="1:11" x14ac:dyDescent="0.35">
      <c r="A355" s="21" t="s">
        <v>49</v>
      </c>
      <c r="B355">
        <v>16175</v>
      </c>
      <c r="C355" s="1">
        <v>45671</v>
      </c>
      <c r="D355">
        <v>14075</v>
      </c>
      <c r="E355">
        <v>35519</v>
      </c>
      <c r="F355" s="1">
        <v>40179</v>
      </c>
      <c r="G355" s="21" t="s">
        <v>19</v>
      </c>
      <c r="H355" s="21" t="s">
        <v>13</v>
      </c>
      <c r="I355" s="21" t="s">
        <v>20</v>
      </c>
      <c r="J355">
        <v>1</v>
      </c>
      <c r="K355" t="s">
        <v>70</v>
      </c>
    </row>
    <row r="356" spans="1:11" x14ac:dyDescent="0.35">
      <c r="A356" s="21" t="s">
        <v>234</v>
      </c>
      <c r="B356">
        <v>16175</v>
      </c>
      <c r="C356" s="1">
        <v>45784</v>
      </c>
      <c r="D356">
        <v>15554</v>
      </c>
      <c r="E356">
        <v>38950</v>
      </c>
      <c r="F356" s="1">
        <v>41640</v>
      </c>
      <c r="G356" s="21" t="s">
        <v>19</v>
      </c>
      <c r="H356" s="21" t="s">
        <v>13</v>
      </c>
      <c r="I356" s="21" t="s">
        <v>20</v>
      </c>
      <c r="J356">
        <v>5</v>
      </c>
      <c r="K356" t="s">
        <v>69</v>
      </c>
    </row>
    <row r="357" spans="1:11" x14ac:dyDescent="0.35">
      <c r="A357" s="21" t="s">
        <v>142</v>
      </c>
      <c r="B357">
        <v>16175</v>
      </c>
      <c r="C357" s="1">
        <v>45705</v>
      </c>
      <c r="D357">
        <v>14479</v>
      </c>
      <c r="E357">
        <v>36084</v>
      </c>
      <c r="F357" s="1">
        <v>40179</v>
      </c>
      <c r="G357" s="21" t="s">
        <v>19</v>
      </c>
      <c r="H357" s="21" t="s">
        <v>13</v>
      </c>
      <c r="I357" s="21" t="s">
        <v>20</v>
      </c>
      <c r="J357">
        <v>2</v>
      </c>
      <c r="K357" t="s">
        <v>70</v>
      </c>
    </row>
    <row r="358" spans="1:11" x14ac:dyDescent="0.35">
      <c r="A358" s="21" t="s">
        <v>294</v>
      </c>
      <c r="B358">
        <v>16175</v>
      </c>
      <c r="C358" s="1">
        <v>45751</v>
      </c>
      <c r="D358">
        <v>15149</v>
      </c>
      <c r="E358">
        <v>37585</v>
      </c>
      <c r="F358" s="1">
        <v>35796</v>
      </c>
      <c r="G358" s="21" t="s">
        <v>19</v>
      </c>
      <c r="H358" s="21" t="s">
        <v>13</v>
      </c>
      <c r="I358" s="21" t="s">
        <v>20</v>
      </c>
      <c r="J358">
        <v>4</v>
      </c>
      <c r="K358" t="s">
        <v>68</v>
      </c>
    </row>
    <row r="359" spans="1:11" x14ac:dyDescent="0.35">
      <c r="A359" s="21" t="s">
        <v>226</v>
      </c>
      <c r="B359">
        <v>16180</v>
      </c>
      <c r="C359" s="1">
        <v>45799</v>
      </c>
      <c r="D359">
        <v>15720</v>
      </c>
      <c r="E359">
        <v>39249</v>
      </c>
      <c r="F359" s="1">
        <v>41275</v>
      </c>
      <c r="G359" s="21" t="s">
        <v>227</v>
      </c>
      <c r="H359" s="21" t="s">
        <v>13</v>
      </c>
      <c r="I359" s="21" t="s">
        <v>20</v>
      </c>
      <c r="J359">
        <v>5</v>
      </c>
      <c r="K359" t="s">
        <v>69</v>
      </c>
    </row>
    <row r="360" spans="1:11" x14ac:dyDescent="0.35">
      <c r="A360" s="21" t="s">
        <v>149</v>
      </c>
      <c r="B360">
        <v>16480</v>
      </c>
      <c r="C360" s="1">
        <v>45709</v>
      </c>
      <c r="D360">
        <v>14560</v>
      </c>
      <c r="E360">
        <v>36208</v>
      </c>
      <c r="F360" s="1">
        <v>36526</v>
      </c>
      <c r="G360" s="21" t="s">
        <v>12</v>
      </c>
      <c r="H360" s="21" t="s">
        <v>150</v>
      </c>
      <c r="I360" s="21" t="s">
        <v>14</v>
      </c>
      <c r="J360">
        <v>2</v>
      </c>
      <c r="K360" t="s">
        <v>68</v>
      </c>
    </row>
    <row r="361" spans="1:11" x14ac:dyDescent="0.35">
      <c r="A361" s="21" t="s">
        <v>513</v>
      </c>
      <c r="B361">
        <v>16480</v>
      </c>
      <c r="C361" s="1">
        <v>45987</v>
      </c>
      <c r="D361">
        <v>17858</v>
      </c>
      <c r="E361">
        <v>43622</v>
      </c>
      <c r="F361" s="1">
        <v>40179</v>
      </c>
      <c r="G361" s="21" t="s">
        <v>12</v>
      </c>
      <c r="H361" s="21" t="s">
        <v>13</v>
      </c>
      <c r="I361" s="21" t="s">
        <v>14</v>
      </c>
      <c r="J361">
        <v>11</v>
      </c>
      <c r="K361" t="s">
        <v>70</v>
      </c>
    </row>
    <row r="362" spans="1:11" x14ac:dyDescent="0.35">
      <c r="A362" s="21" t="s">
        <v>163</v>
      </c>
      <c r="B362">
        <v>16500</v>
      </c>
      <c r="C362" s="1">
        <v>45744</v>
      </c>
      <c r="D362">
        <v>15034</v>
      </c>
      <c r="E362">
        <v>37127</v>
      </c>
      <c r="F362" s="1">
        <v>39814</v>
      </c>
      <c r="G362" s="21" t="s">
        <v>12</v>
      </c>
      <c r="H362" s="21" t="s">
        <v>13</v>
      </c>
      <c r="I362" s="21" t="s">
        <v>23</v>
      </c>
      <c r="J362">
        <v>3</v>
      </c>
      <c r="K362" t="s">
        <v>70</v>
      </c>
    </row>
    <row r="363" spans="1:11" x14ac:dyDescent="0.35">
      <c r="A363" s="21" t="s">
        <v>429</v>
      </c>
      <c r="B363">
        <v>16500</v>
      </c>
      <c r="C363" s="1">
        <v>45895</v>
      </c>
      <c r="D363">
        <v>16931</v>
      </c>
      <c r="E363">
        <v>42435</v>
      </c>
      <c r="F363" s="1">
        <v>45292</v>
      </c>
      <c r="G363" s="21" t="s">
        <v>12</v>
      </c>
      <c r="H363" s="21" t="s">
        <v>17</v>
      </c>
      <c r="I363" s="21" t="s">
        <v>23</v>
      </c>
      <c r="J363">
        <v>8</v>
      </c>
      <c r="K363" t="s">
        <v>67</v>
      </c>
    </row>
    <row r="364" spans="1:11" x14ac:dyDescent="0.35">
      <c r="A364" s="21" t="s">
        <v>148</v>
      </c>
      <c r="B364">
        <v>16500</v>
      </c>
      <c r="C364" s="1">
        <v>45720</v>
      </c>
      <c r="D364">
        <v>14663</v>
      </c>
      <c r="E364">
        <v>36436</v>
      </c>
      <c r="F364" s="1">
        <v>40909</v>
      </c>
      <c r="G364" s="21" t="s">
        <v>12</v>
      </c>
      <c r="H364" s="21" t="s">
        <v>13</v>
      </c>
      <c r="I364" s="21" t="s">
        <v>23</v>
      </c>
      <c r="J364">
        <v>3</v>
      </c>
      <c r="K364" t="s">
        <v>70</v>
      </c>
    </row>
    <row r="365" spans="1:11" x14ac:dyDescent="0.35">
      <c r="A365" s="21" t="s">
        <v>152</v>
      </c>
      <c r="B365">
        <v>18025</v>
      </c>
      <c r="C365" s="1">
        <v>45706</v>
      </c>
      <c r="D365">
        <v>14494</v>
      </c>
      <c r="E365">
        <v>36099</v>
      </c>
      <c r="F365" s="1">
        <v>43831</v>
      </c>
      <c r="G365" s="21" t="s">
        <v>1</v>
      </c>
      <c r="H365" s="21" t="s">
        <v>13</v>
      </c>
      <c r="I365" s="21" t="s">
        <v>14</v>
      </c>
      <c r="J365">
        <v>2</v>
      </c>
      <c r="K365" t="s">
        <v>71</v>
      </c>
    </row>
    <row r="366" spans="1:11" x14ac:dyDescent="0.35">
      <c r="A366" s="21" t="s">
        <v>394</v>
      </c>
      <c r="B366">
        <v>18700</v>
      </c>
      <c r="C366" s="1">
        <v>45863</v>
      </c>
      <c r="D366">
        <v>16385</v>
      </c>
      <c r="E366">
        <v>40466</v>
      </c>
      <c r="F366" s="1">
        <v>40179</v>
      </c>
      <c r="G366" s="21" t="s">
        <v>19</v>
      </c>
      <c r="H366" s="21" t="s">
        <v>13</v>
      </c>
      <c r="I366" s="21" t="s">
        <v>20</v>
      </c>
      <c r="J366">
        <v>7</v>
      </c>
      <c r="K366" t="s">
        <v>70</v>
      </c>
    </row>
    <row r="367" spans="1:11" x14ac:dyDescent="0.35">
      <c r="A367" s="21" t="s">
        <v>26</v>
      </c>
      <c r="B367">
        <v>18950</v>
      </c>
      <c r="C367" s="1">
        <v>45674</v>
      </c>
      <c r="D367">
        <v>14140</v>
      </c>
      <c r="E367">
        <v>35607</v>
      </c>
      <c r="F367" s="1">
        <v>38353</v>
      </c>
      <c r="G367" s="21" t="s">
        <v>0</v>
      </c>
      <c r="H367" s="21" t="s">
        <v>13</v>
      </c>
      <c r="I367" s="21" t="s">
        <v>20</v>
      </c>
      <c r="J367">
        <v>1</v>
      </c>
      <c r="K367" t="s">
        <v>68</v>
      </c>
    </row>
    <row r="368" spans="1:11" x14ac:dyDescent="0.35">
      <c r="A368" s="21" t="s">
        <v>212</v>
      </c>
      <c r="B368">
        <v>18950</v>
      </c>
      <c r="C368" s="1">
        <v>45730</v>
      </c>
      <c r="D368">
        <v>14790</v>
      </c>
      <c r="E368">
        <v>36678</v>
      </c>
      <c r="F368" s="1">
        <v>36161</v>
      </c>
      <c r="G368" s="21" t="s">
        <v>19</v>
      </c>
      <c r="H368" s="21" t="s">
        <v>13</v>
      </c>
      <c r="I368" s="21" t="s">
        <v>20</v>
      </c>
      <c r="J368">
        <v>3</v>
      </c>
      <c r="K368" t="s">
        <v>68</v>
      </c>
    </row>
    <row r="369" spans="1:11" x14ac:dyDescent="0.35">
      <c r="A369" s="21" t="s">
        <v>196</v>
      </c>
      <c r="B369">
        <v>21630</v>
      </c>
      <c r="C369" s="1">
        <v>45723</v>
      </c>
      <c r="D369">
        <v>14694</v>
      </c>
      <c r="E369">
        <v>36517</v>
      </c>
      <c r="F369" s="1">
        <v>42005</v>
      </c>
      <c r="G369" s="21" t="s">
        <v>19</v>
      </c>
      <c r="H369" s="21" t="s">
        <v>13</v>
      </c>
      <c r="I369" s="21" t="s">
        <v>23</v>
      </c>
      <c r="J369">
        <v>3</v>
      </c>
      <c r="K369" t="s">
        <v>69</v>
      </c>
    </row>
    <row r="370" spans="1:11" x14ac:dyDescent="0.35">
      <c r="A370" s="21" t="s">
        <v>235</v>
      </c>
      <c r="B370">
        <v>21640</v>
      </c>
      <c r="C370" s="1">
        <v>45797</v>
      </c>
      <c r="D370">
        <v>15700</v>
      </c>
      <c r="E370">
        <v>39229</v>
      </c>
      <c r="F370" s="1">
        <v>45292</v>
      </c>
      <c r="G370" s="21" t="s">
        <v>227</v>
      </c>
      <c r="H370" s="21" t="s">
        <v>13</v>
      </c>
      <c r="I370" s="21" t="s">
        <v>23</v>
      </c>
      <c r="J370">
        <v>5</v>
      </c>
      <c r="K370" t="s">
        <v>67</v>
      </c>
    </row>
    <row r="371" spans="1:11" x14ac:dyDescent="0.35">
      <c r="A371" s="21" t="s">
        <v>374</v>
      </c>
      <c r="B371">
        <v>22127.15</v>
      </c>
      <c r="C371" s="1">
        <v>45932</v>
      </c>
      <c r="D371">
        <v>17428</v>
      </c>
      <c r="E371">
        <v>43163</v>
      </c>
      <c r="F371" s="1">
        <v>35431</v>
      </c>
      <c r="G371" s="21" t="s">
        <v>17</v>
      </c>
      <c r="H371" s="21" t="s">
        <v>22</v>
      </c>
      <c r="I371" s="21" t="s">
        <v>133</v>
      </c>
      <c r="J371">
        <v>10</v>
      </c>
      <c r="K371" t="s">
        <v>68</v>
      </c>
    </row>
    <row r="372" spans="1:11" x14ac:dyDescent="0.35">
      <c r="A372" s="21" t="s">
        <v>229</v>
      </c>
      <c r="B372">
        <v>23375</v>
      </c>
      <c r="C372" s="1">
        <v>45782</v>
      </c>
      <c r="D372">
        <v>15533</v>
      </c>
      <c r="E372">
        <v>38901</v>
      </c>
      <c r="F372" s="1">
        <v>45658</v>
      </c>
      <c r="G372" s="21" t="s">
        <v>19</v>
      </c>
      <c r="H372" s="21" t="s">
        <v>13</v>
      </c>
      <c r="I372" s="21" t="s">
        <v>20</v>
      </c>
      <c r="J372">
        <v>5</v>
      </c>
      <c r="K372" t="s">
        <v>67</v>
      </c>
    </row>
    <row r="373" spans="1:11" x14ac:dyDescent="0.35">
      <c r="A373" s="21" t="s">
        <v>420</v>
      </c>
      <c r="B373">
        <v>23375</v>
      </c>
      <c r="C373" s="1">
        <v>45897</v>
      </c>
      <c r="D373">
        <v>16964</v>
      </c>
      <c r="E373">
        <v>42479</v>
      </c>
      <c r="F373" s="1">
        <v>44197</v>
      </c>
      <c r="G373" s="21" t="s">
        <v>19</v>
      </c>
      <c r="H373" s="21" t="s">
        <v>13</v>
      </c>
      <c r="I373" s="21" t="s">
        <v>20</v>
      </c>
      <c r="J373">
        <v>8</v>
      </c>
      <c r="K373" t="s">
        <v>71</v>
      </c>
    </row>
    <row r="374" spans="1:11" x14ac:dyDescent="0.35">
      <c r="A374" s="21" t="s">
        <v>372</v>
      </c>
      <c r="B374">
        <v>23375</v>
      </c>
      <c r="C374" s="1">
        <v>45841</v>
      </c>
      <c r="D374">
        <v>16190</v>
      </c>
      <c r="E374">
        <v>39970</v>
      </c>
      <c r="F374" s="1">
        <v>37257</v>
      </c>
      <c r="G374" s="21" t="s">
        <v>19</v>
      </c>
      <c r="H374" s="21" t="s">
        <v>13</v>
      </c>
      <c r="I374" s="21" t="s">
        <v>20</v>
      </c>
      <c r="J374">
        <v>7</v>
      </c>
      <c r="K374" t="s">
        <v>68</v>
      </c>
    </row>
    <row r="375" spans="1:11" x14ac:dyDescent="0.35">
      <c r="A375" s="21" t="s">
        <v>274</v>
      </c>
      <c r="B375">
        <v>23375</v>
      </c>
      <c r="C375" s="1">
        <v>45751</v>
      </c>
      <c r="D375">
        <v>15148</v>
      </c>
      <c r="E375">
        <v>37584</v>
      </c>
      <c r="F375" s="1">
        <v>37622</v>
      </c>
      <c r="G375" s="21" t="s">
        <v>19</v>
      </c>
      <c r="H375" s="21" t="s">
        <v>13</v>
      </c>
      <c r="I375" s="21" t="s">
        <v>20</v>
      </c>
      <c r="J375">
        <v>4</v>
      </c>
      <c r="K375" t="s">
        <v>68</v>
      </c>
    </row>
    <row r="376" spans="1:11" x14ac:dyDescent="0.35">
      <c r="A376" s="21" t="s">
        <v>143</v>
      </c>
      <c r="B376">
        <v>23375</v>
      </c>
      <c r="C376" s="1">
        <v>45688</v>
      </c>
      <c r="D376">
        <v>14349</v>
      </c>
      <c r="E376">
        <v>35900</v>
      </c>
      <c r="F376" s="1">
        <v>40544</v>
      </c>
      <c r="G376" s="21" t="s">
        <v>19</v>
      </c>
      <c r="H376" s="21" t="s">
        <v>13</v>
      </c>
      <c r="I376" s="21" t="s">
        <v>20</v>
      </c>
      <c r="J376">
        <v>1</v>
      </c>
      <c r="K376" t="s">
        <v>70</v>
      </c>
    </row>
    <row r="377" spans="1:11" x14ac:dyDescent="0.35">
      <c r="A377" s="21" t="s">
        <v>281</v>
      </c>
      <c r="B377">
        <v>23375</v>
      </c>
      <c r="C377" s="1">
        <v>45804</v>
      </c>
      <c r="D377">
        <v>15735</v>
      </c>
      <c r="E377">
        <v>39264</v>
      </c>
      <c r="F377" s="1">
        <v>43101</v>
      </c>
      <c r="G377" s="21" t="s">
        <v>0</v>
      </c>
      <c r="H377" s="21" t="s">
        <v>13</v>
      </c>
      <c r="I377" s="21" t="s">
        <v>20</v>
      </c>
      <c r="J377">
        <v>5</v>
      </c>
      <c r="K377" t="s">
        <v>71</v>
      </c>
    </row>
    <row r="378" spans="1:11" x14ac:dyDescent="0.35">
      <c r="A378" s="21" t="s">
        <v>109</v>
      </c>
      <c r="B378">
        <v>23375</v>
      </c>
      <c r="C378" s="1">
        <v>45666</v>
      </c>
      <c r="D378">
        <v>13901</v>
      </c>
      <c r="E378">
        <v>35281</v>
      </c>
      <c r="F378" s="1">
        <v>37622</v>
      </c>
      <c r="G378" s="21" t="s">
        <v>19</v>
      </c>
      <c r="H378" s="21" t="s">
        <v>13</v>
      </c>
      <c r="I378" s="21" t="s">
        <v>20</v>
      </c>
      <c r="J378">
        <v>1</v>
      </c>
      <c r="K378" t="s">
        <v>68</v>
      </c>
    </row>
    <row r="379" spans="1:11" x14ac:dyDescent="0.35">
      <c r="A379" s="21" t="s">
        <v>342</v>
      </c>
      <c r="B379">
        <v>23375</v>
      </c>
      <c r="C379" s="1">
        <v>45818</v>
      </c>
      <c r="D379">
        <v>15858</v>
      </c>
      <c r="E379">
        <v>39470</v>
      </c>
      <c r="F379" s="1">
        <v>38353</v>
      </c>
      <c r="G379" s="21" t="s">
        <v>19</v>
      </c>
      <c r="H379" s="21" t="s">
        <v>13</v>
      </c>
      <c r="I379" s="21" t="s">
        <v>20</v>
      </c>
      <c r="J379">
        <v>6</v>
      </c>
      <c r="K379" t="s">
        <v>68</v>
      </c>
    </row>
    <row r="380" spans="1:11" x14ac:dyDescent="0.35">
      <c r="A380" s="21" t="s">
        <v>343</v>
      </c>
      <c r="B380">
        <v>23375</v>
      </c>
      <c r="C380" s="1">
        <v>45820</v>
      </c>
      <c r="D380">
        <v>15875</v>
      </c>
      <c r="E380">
        <v>39488</v>
      </c>
      <c r="F380" s="1">
        <v>37257</v>
      </c>
      <c r="G380" s="21" t="s">
        <v>344</v>
      </c>
      <c r="H380" s="21" t="s">
        <v>13</v>
      </c>
      <c r="I380" s="21" t="s">
        <v>20</v>
      </c>
      <c r="J380">
        <v>6</v>
      </c>
      <c r="K380" t="s">
        <v>68</v>
      </c>
    </row>
    <row r="381" spans="1:11" x14ac:dyDescent="0.35">
      <c r="A381" s="21" t="s">
        <v>482</v>
      </c>
      <c r="B381">
        <v>23375</v>
      </c>
      <c r="C381" s="1">
        <v>45936</v>
      </c>
      <c r="D381">
        <v>17446</v>
      </c>
      <c r="E381">
        <v>43181</v>
      </c>
      <c r="F381" s="1">
        <v>40179</v>
      </c>
      <c r="G381" s="21" t="s">
        <v>19</v>
      </c>
      <c r="H381" s="21" t="s">
        <v>13</v>
      </c>
      <c r="I381" s="21" t="s">
        <v>20</v>
      </c>
      <c r="J381">
        <v>10</v>
      </c>
      <c r="K381" t="s">
        <v>70</v>
      </c>
    </row>
    <row r="382" spans="1:11" x14ac:dyDescent="0.35">
      <c r="A382" s="21" t="s">
        <v>195</v>
      </c>
      <c r="B382">
        <v>23375</v>
      </c>
      <c r="C382" s="1">
        <v>45730</v>
      </c>
      <c r="D382">
        <v>14807</v>
      </c>
      <c r="E382">
        <v>36714</v>
      </c>
      <c r="F382" s="1">
        <v>40544</v>
      </c>
      <c r="G382" s="21" t="s">
        <v>19</v>
      </c>
      <c r="H382" s="21" t="s">
        <v>13</v>
      </c>
      <c r="I382" s="21" t="s">
        <v>20</v>
      </c>
      <c r="J382">
        <v>3</v>
      </c>
      <c r="K382" t="s">
        <v>70</v>
      </c>
    </row>
    <row r="383" spans="1:11" x14ac:dyDescent="0.35">
      <c r="A383" s="21" t="s">
        <v>112</v>
      </c>
      <c r="B383">
        <v>23375</v>
      </c>
      <c r="C383" s="1">
        <v>45667</v>
      </c>
      <c r="D383">
        <v>14004</v>
      </c>
      <c r="E383">
        <v>35416</v>
      </c>
      <c r="F383" s="1">
        <v>41275</v>
      </c>
      <c r="G383" s="21" t="s">
        <v>19</v>
      </c>
      <c r="H383" s="21" t="s">
        <v>51</v>
      </c>
      <c r="I383" s="21" t="s">
        <v>20</v>
      </c>
      <c r="J383">
        <v>1</v>
      </c>
      <c r="K383" t="s">
        <v>69</v>
      </c>
    </row>
    <row r="384" spans="1:11" x14ac:dyDescent="0.35">
      <c r="A384" s="21" t="s">
        <v>205</v>
      </c>
      <c r="B384">
        <v>23375</v>
      </c>
      <c r="C384" s="1">
        <v>45737</v>
      </c>
      <c r="D384">
        <v>14909</v>
      </c>
      <c r="E384">
        <v>36880</v>
      </c>
      <c r="F384" s="1">
        <v>37257</v>
      </c>
      <c r="G384" s="21" t="s">
        <v>19</v>
      </c>
      <c r="H384" s="21" t="s">
        <v>13</v>
      </c>
      <c r="I384" s="21" t="s">
        <v>20</v>
      </c>
      <c r="J384">
        <v>3</v>
      </c>
      <c r="K384" t="s">
        <v>68</v>
      </c>
    </row>
    <row r="385" spans="1:11" x14ac:dyDescent="0.35">
      <c r="A385" s="21" t="s">
        <v>495</v>
      </c>
      <c r="B385">
        <v>23375</v>
      </c>
      <c r="C385" s="1">
        <v>45938</v>
      </c>
      <c r="D385">
        <v>17470</v>
      </c>
      <c r="E385">
        <v>43205</v>
      </c>
      <c r="F385" s="1">
        <v>41275</v>
      </c>
      <c r="G385" s="21" t="s">
        <v>19</v>
      </c>
      <c r="H385" s="21" t="s">
        <v>13</v>
      </c>
      <c r="I385" s="21" t="s">
        <v>20</v>
      </c>
      <c r="J385">
        <v>10</v>
      </c>
      <c r="K385" t="s">
        <v>69</v>
      </c>
    </row>
    <row r="386" spans="1:11" x14ac:dyDescent="0.35">
      <c r="A386" s="21" t="s">
        <v>304</v>
      </c>
      <c r="B386">
        <v>23375</v>
      </c>
      <c r="C386" s="1">
        <v>45754</v>
      </c>
      <c r="D386">
        <v>15170</v>
      </c>
      <c r="E386">
        <v>37672</v>
      </c>
      <c r="F386" s="1">
        <v>45658</v>
      </c>
      <c r="G386" s="21" t="s">
        <v>19</v>
      </c>
      <c r="H386" s="21" t="s">
        <v>13</v>
      </c>
      <c r="I386" s="21" t="s">
        <v>20</v>
      </c>
      <c r="J386">
        <v>4</v>
      </c>
      <c r="K386" t="s">
        <v>67</v>
      </c>
    </row>
    <row r="387" spans="1:11" x14ac:dyDescent="0.35">
      <c r="A387" s="21" t="s">
        <v>307</v>
      </c>
      <c r="B387">
        <v>23375</v>
      </c>
      <c r="C387" s="1">
        <v>45797</v>
      </c>
      <c r="D387">
        <v>15692</v>
      </c>
      <c r="E387">
        <v>39221</v>
      </c>
      <c r="F387" s="1">
        <v>44927</v>
      </c>
      <c r="G387" s="21" t="s">
        <v>19</v>
      </c>
      <c r="H387" s="21" t="s">
        <v>13</v>
      </c>
      <c r="I387" s="21" t="s">
        <v>20</v>
      </c>
      <c r="J387">
        <v>5</v>
      </c>
      <c r="K387" t="s">
        <v>67</v>
      </c>
    </row>
    <row r="388" spans="1:11" x14ac:dyDescent="0.35">
      <c r="A388" s="21" t="s">
        <v>404</v>
      </c>
      <c r="B388">
        <v>23375</v>
      </c>
      <c r="C388" s="1">
        <v>45863</v>
      </c>
      <c r="D388">
        <v>16399</v>
      </c>
      <c r="E388">
        <v>40485</v>
      </c>
      <c r="F388" s="1">
        <v>39448</v>
      </c>
      <c r="G388" s="21" t="s">
        <v>19</v>
      </c>
      <c r="H388" s="21" t="s">
        <v>13</v>
      </c>
      <c r="I388" s="21" t="s">
        <v>20</v>
      </c>
      <c r="J388">
        <v>7</v>
      </c>
      <c r="K388" t="s">
        <v>70</v>
      </c>
    </row>
    <row r="389" spans="1:11" x14ac:dyDescent="0.35">
      <c r="A389" s="21" t="s">
        <v>527</v>
      </c>
      <c r="B389">
        <v>23375</v>
      </c>
      <c r="C389" s="1">
        <v>45967</v>
      </c>
      <c r="D389">
        <v>17681</v>
      </c>
      <c r="E389">
        <v>43444</v>
      </c>
      <c r="F389" s="1">
        <v>44562</v>
      </c>
      <c r="G389" s="21" t="s">
        <v>19</v>
      </c>
      <c r="H389" s="21" t="s">
        <v>13</v>
      </c>
      <c r="I389" s="21" t="s">
        <v>20</v>
      </c>
      <c r="J389">
        <v>11</v>
      </c>
      <c r="K389" t="s">
        <v>67</v>
      </c>
    </row>
    <row r="390" spans="1:11" x14ac:dyDescent="0.35">
      <c r="A390" s="21" t="s">
        <v>357</v>
      </c>
      <c r="B390">
        <v>23375</v>
      </c>
      <c r="C390" s="1">
        <v>45831</v>
      </c>
      <c r="D390">
        <v>15984</v>
      </c>
      <c r="E390">
        <v>39670</v>
      </c>
      <c r="F390" s="1">
        <v>41275</v>
      </c>
      <c r="G390" s="21" t="s">
        <v>19</v>
      </c>
      <c r="H390" s="21" t="s">
        <v>13</v>
      </c>
      <c r="I390" s="21" t="s">
        <v>20</v>
      </c>
      <c r="J390">
        <v>6</v>
      </c>
      <c r="K390" t="s">
        <v>69</v>
      </c>
    </row>
    <row r="391" spans="1:11" x14ac:dyDescent="0.35">
      <c r="A391" s="21" t="s">
        <v>214</v>
      </c>
      <c r="B391">
        <v>23375</v>
      </c>
      <c r="C391" s="1">
        <v>45726</v>
      </c>
      <c r="D391">
        <v>14709</v>
      </c>
      <c r="E391">
        <v>36532</v>
      </c>
      <c r="F391" s="1">
        <v>41275</v>
      </c>
      <c r="G391" s="21" t="s">
        <v>19</v>
      </c>
      <c r="H391" s="21" t="s">
        <v>13</v>
      </c>
      <c r="I391" s="21" t="s">
        <v>20</v>
      </c>
      <c r="J391">
        <v>3</v>
      </c>
      <c r="K391" t="s">
        <v>69</v>
      </c>
    </row>
    <row r="392" spans="1:11" x14ac:dyDescent="0.35">
      <c r="A392" s="21" t="s">
        <v>248</v>
      </c>
      <c r="B392">
        <v>23472</v>
      </c>
      <c r="C392" s="1">
        <v>45751</v>
      </c>
      <c r="D392">
        <v>15150</v>
      </c>
      <c r="E392">
        <v>37586</v>
      </c>
      <c r="F392" s="1">
        <v>35065</v>
      </c>
      <c r="G392" s="21" t="s">
        <v>17</v>
      </c>
      <c r="H392" s="21" t="s">
        <v>150</v>
      </c>
      <c r="I392" s="21" t="s">
        <v>133</v>
      </c>
      <c r="J392">
        <v>4</v>
      </c>
      <c r="K392" t="s">
        <v>68</v>
      </c>
    </row>
    <row r="393" spans="1:11" x14ac:dyDescent="0.35">
      <c r="A393" s="21" t="s">
        <v>505</v>
      </c>
      <c r="B393">
        <v>23700</v>
      </c>
      <c r="C393" s="1">
        <v>45980</v>
      </c>
      <c r="D393">
        <v>17788</v>
      </c>
      <c r="E393">
        <v>43552</v>
      </c>
      <c r="F393" s="1">
        <v>41275</v>
      </c>
      <c r="G393" s="21" t="s">
        <v>227</v>
      </c>
      <c r="H393" s="21" t="s">
        <v>13</v>
      </c>
      <c r="I393" s="21" t="s">
        <v>20</v>
      </c>
      <c r="J393">
        <v>11</v>
      </c>
      <c r="K393" t="s">
        <v>69</v>
      </c>
    </row>
    <row r="394" spans="1:11" x14ac:dyDescent="0.35">
      <c r="A394" s="21" t="s">
        <v>507</v>
      </c>
      <c r="B394">
        <v>23700</v>
      </c>
      <c r="C394" s="1">
        <v>45975</v>
      </c>
      <c r="D394">
        <v>17740</v>
      </c>
      <c r="E394">
        <v>43503</v>
      </c>
      <c r="F394" s="1">
        <v>36526</v>
      </c>
      <c r="G394" s="21" t="s">
        <v>227</v>
      </c>
      <c r="H394" s="21" t="s">
        <v>13</v>
      </c>
      <c r="I394" s="21" t="s">
        <v>14</v>
      </c>
      <c r="J394">
        <v>11</v>
      </c>
      <c r="K394" t="s">
        <v>68</v>
      </c>
    </row>
    <row r="395" spans="1:11" x14ac:dyDescent="0.35">
      <c r="A395" s="21" t="s">
        <v>266</v>
      </c>
      <c r="B395">
        <v>23700</v>
      </c>
      <c r="C395" s="1">
        <v>45807</v>
      </c>
      <c r="D395">
        <v>15758</v>
      </c>
      <c r="E395">
        <v>39306</v>
      </c>
      <c r="F395" s="1">
        <v>43101</v>
      </c>
      <c r="G395" s="21" t="s">
        <v>227</v>
      </c>
      <c r="H395" s="21" t="s">
        <v>13</v>
      </c>
      <c r="I395" s="21" t="s">
        <v>20</v>
      </c>
      <c r="J395">
        <v>5</v>
      </c>
      <c r="K395" t="s">
        <v>71</v>
      </c>
    </row>
    <row r="396" spans="1:11" x14ac:dyDescent="0.35">
      <c r="A396" s="21" t="s">
        <v>103</v>
      </c>
      <c r="B396">
        <v>27025</v>
      </c>
      <c r="C396" s="1">
        <v>45665</v>
      </c>
      <c r="D396">
        <v>13830</v>
      </c>
      <c r="E396">
        <v>35199</v>
      </c>
      <c r="F396" s="1">
        <v>45658</v>
      </c>
      <c r="G396" s="21" t="s">
        <v>19</v>
      </c>
      <c r="H396" s="21" t="s">
        <v>13</v>
      </c>
      <c r="I396" s="21" t="s">
        <v>23</v>
      </c>
      <c r="J396">
        <v>1</v>
      </c>
      <c r="K396" t="s">
        <v>67</v>
      </c>
    </row>
    <row r="397" spans="1:11" x14ac:dyDescent="0.35">
      <c r="A397" s="21" t="s">
        <v>324</v>
      </c>
      <c r="B397">
        <v>29250</v>
      </c>
      <c r="C397" s="1">
        <v>45833</v>
      </c>
      <c r="D397">
        <v>16005</v>
      </c>
      <c r="E397">
        <v>39713</v>
      </c>
      <c r="F397" s="1">
        <v>44197</v>
      </c>
      <c r="G397" s="21" t="s">
        <v>227</v>
      </c>
      <c r="H397" s="21" t="s">
        <v>13</v>
      </c>
      <c r="I397" s="21" t="s">
        <v>14</v>
      </c>
      <c r="J397">
        <v>6</v>
      </c>
      <c r="K397" t="s">
        <v>71</v>
      </c>
    </row>
    <row r="398" spans="1:11" x14ac:dyDescent="0.35">
      <c r="A398" s="21" t="s">
        <v>31</v>
      </c>
      <c r="B398">
        <v>30290</v>
      </c>
      <c r="C398" s="1">
        <v>45681</v>
      </c>
      <c r="D398">
        <v>14261</v>
      </c>
      <c r="E398">
        <v>35771</v>
      </c>
      <c r="F398" s="1">
        <v>38718</v>
      </c>
      <c r="G398" s="21" t="s">
        <v>1</v>
      </c>
      <c r="H398" s="21" t="s">
        <v>13</v>
      </c>
      <c r="I398" s="21" t="s">
        <v>23</v>
      </c>
      <c r="J398">
        <v>1</v>
      </c>
      <c r="K398" t="s">
        <v>68</v>
      </c>
    </row>
    <row r="399" spans="1:11" x14ac:dyDescent="0.35">
      <c r="A399" s="21" t="s">
        <v>279</v>
      </c>
      <c r="B399">
        <v>30290</v>
      </c>
      <c r="C399" s="1">
        <v>45786</v>
      </c>
      <c r="D399">
        <v>15576</v>
      </c>
      <c r="E399">
        <v>39000</v>
      </c>
      <c r="F399" s="1">
        <v>37622</v>
      </c>
      <c r="G399" s="21" t="s">
        <v>1</v>
      </c>
      <c r="H399" s="21" t="s">
        <v>13</v>
      </c>
      <c r="I399" s="21" t="s">
        <v>23</v>
      </c>
      <c r="J399">
        <v>5</v>
      </c>
      <c r="K399" t="s">
        <v>68</v>
      </c>
    </row>
    <row r="400" spans="1:11" x14ac:dyDescent="0.35">
      <c r="A400" s="21" t="s">
        <v>32</v>
      </c>
      <c r="B400">
        <v>30290</v>
      </c>
      <c r="C400" s="1">
        <v>45673</v>
      </c>
      <c r="D400">
        <v>14118</v>
      </c>
      <c r="E400">
        <v>35580</v>
      </c>
      <c r="F400" s="1">
        <v>35065</v>
      </c>
      <c r="G400" s="21" t="s">
        <v>1</v>
      </c>
      <c r="H400" s="21" t="s">
        <v>13</v>
      </c>
      <c r="I400" s="21" t="s">
        <v>23</v>
      </c>
      <c r="J400">
        <v>1</v>
      </c>
      <c r="K400" t="s">
        <v>68</v>
      </c>
    </row>
    <row r="401" spans="1:11" x14ac:dyDescent="0.35">
      <c r="A401" s="21" t="s">
        <v>424</v>
      </c>
      <c r="B401">
        <v>36050</v>
      </c>
      <c r="C401" s="1">
        <v>45894</v>
      </c>
      <c r="D401">
        <v>16917</v>
      </c>
      <c r="E401">
        <v>42414</v>
      </c>
      <c r="F401" s="1">
        <v>39814</v>
      </c>
      <c r="G401" s="21" t="s">
        <v>12</v>
      </c>
      <c r="H401" s="21" t="s">
        <v>150</v>
      </c>
      <c r="I401" s="21" t="s">
        <v>23</v>
      </c>
      <c r="J401">
        <v>8</v>
      </c>
      <c r="K401" t="s">
        <v>70</v>
      </c>
    </row>
    <row r="402" spans="1:11" x14ac:dyDescent="0.35">
      <c r="A402" s="21" t="s">
        <v>475</v>
      </c>
      <c r="B402">
        <v>36050</v>
      </c>
      <c r="C402" s="1">
        <v>45940</v>
      </c>
      <c r="D402">
        <v>17491</v>
      </c>
      <c r="E402">
        <v>43226</v>
      </c>
      <c r="F402" s="1">
        <v>36892</v>
      </c>
      <c r="G402" s="21" t="s">
        <v>12</v>
      </c>
      <c r="H402" s="21" t="s">
        <v>13</v>
      </c>
      <c r="I402" s="21" t="s">
        <v>23</v>
      </c>
      <c r="J402">
        <v>10</v>
      </c>
      <c r="K402" t="s">
        <v>68</v>
      </c>
    </row>
    <row r="403" spans="1:11" x14ac:dyDescent="0.35">
      <c r="A403" s="21" t="s">
        <v>153</v>
      </c>
      <c r="B403">
        <v>36050</v>
      </c>
      <c r="C403" s="1">
        <v>45695</v>
      </c>
      <c r="D403">
        <v>14418</v>
      </c>
      <c r="E403">
        <v>36005</v>
      </c>
      <c r="F403" s="1">
        <v>40179</v>
      </c>
      <c r="G403" s="21" t="s">
        <v>12</v>
      </c>
      <c r="H403" s="21" t="s">
        <v>13</v>
      </c>
      <c r="I403" s="21" t="s">
        <v>23</v>
      </c>
      <c r="J403">
        <v>2</v>
      </c>
      <c r="K403" t="s">
        <v>70</v>
      </c>
    </row>
    <row r="404" spans="1:11" x14ac:dyDescent="0.35">
      <c r="A404" s="21" t="s">
        <v>355</v>
      </c>
      <c r="B404">
        <v>36050</v>
      </c>
      <c r="C404" s="1">
        <v>45828</v>
      </c>
      <c r="D404">
        <v>15959</v>
      </c>
      <c r="E404">
        <v>39634</v>
      </c>
      <c r="F404" s="1">
        <v>35065</v>
      </c>
      <c r="G404" s="21" t="s">
        <v>12</v>
      </c>
      <c r="H404" s="21" t="s">
        <v>13</v>
      </c>
      <c r="I404" s="21" t="s">
        <v>23</v>
      </c>
      <c r="J404">
        <v>6</v>
      </c>
      <c r="K404" t="s">
        <v>68</v>
      </c>
    </row>
    <row r="405" spans="1:11" x14ac:dyDescent="0.35">
      <c r="A405" s="21" t="s">
        <v>416</v>
      </c>
      <c r="B405">
        <v>37900</v>
      </c>
      <c r="C405" s="1">
        <v>45869</v>
      </c>
      <c r="D405">
        <v>16460</v>
      </c>
      <c r="E405">
        <v>40634</v>
      </c>
      <c r="F405" s="1">
        <v>40909</v>
      </c>
      <c r="G405" s="21" t="s">
        <v>227</v>
      </c>
      <c r="H405" s="21" t="s">
        <v>13</v>
      </c>
      <c r="I405" s="21" t="s">
        <v>23</v>
      </c>
      <c r="J405">
        <v>7</v>
      </c>
      <c r="K405" t="s">
        <v>70</v>
      </c>
    </row>
    <row r="406" spans="1:11" x14ac:dyDescent="0.35">
      <c r="A406" s="21" t="s">
        <v>121</v>
      </c>
      <c r="B406">
        <v>38100</v>
      </c>
      <c r="C406" s="1">
        <v>45702</v>
      </c>
      <c r="D406">
        <v>14481</v>
      </c>
      <c r="E406">
        <v>36086</v>
      </c>
      <c r="F406" s="1">
        <v>31778</v>
      </c>
      <c r="G406" s="21" t="s">
        <v>0</v>
      </c>
      <c r="H406" s="21" t="s">
        <v>13</v>
      </c>
      <c r="I406" s="21" t="s">
        <v>23</v>
      </c>
      <c r="J406">
        <v>2</v>
      </c>
      <c r="K406" t="s">
        <v>68</v>
      </c>
    </row>
    <row r="407" spans="1:11" x14ac:dyDescent="0.35">
      <c r="A407" s="21" t="s">
        <v>448</v>
      </c>
      <c r="B407">
        <v>38100</v>
      </c>
      <c r="C407" s="1">
        <v>45911</v>
      </c>
      <c r="D407">
        <v>17161</v>
      </c>
      <c r="E407">
        <v>42838</v>
      </c>
      <c r="F407" s="1">
        <v>43101</v>
      </c>
      <c r="G407" s="21" t="s">
        <v>19</v>
      </c>
      <c r="H407" s="21" t="s">
        <v>13</v>
      </c>
      <c r="I407" s="21" t="s">
        <v>23</v>
      </c>
      <c r="J407">
        <v>9</v>
      </c>
      <c r="K407" t="s">
        <v>71</v>
      </c>
    </row>
    <row r="408" spans="1:11" x14ac:dyDescent="0.35">
      <c r="A408" s="21" t="s">
        <v>470</v>
      </c>
      <c r="B408">
        <v>38100</v>
      </c>
      <c r="C408" s="1">
        <v>45938</v>
      </c>
      <c r="D408">
        <v>17460</v>
      </c>
      <c r="E408">
        <v>43195</v>
      </c>
      <c r="F408" s="1">
        <v>40179</v>
      </c>
      <c r="G408" s="21" t="s">
        <v>19</v>
      </c>
      <c r="H408" s="21" t="s">
        <v>13</v>
      </c>
      <c r="I408" s="21" t="s">
        <v>23</v>
      </c>
      <c r="J408">
        <v>10</v>
      </c>
      <c r="K408" t="s">
        <v>70</v>
      </c>
    </row>
    <row r="409" spans="1:11" x14ac:dyDescent="0.35">
      <c r="A409" s="21" t="s">
        <v>373</v>
      </c>
      <c r="B409">
        <v>38100</v>
      </c>
      <c r="C409" s="1">
        <v>45863</v>
      </c>
      <c r="D409">
        <v>16398</v>
      </c>
      <c r="E409">
        <v>40484</v>
      </c>
      <c r="F409" s="1">
        <v>43101</v>
      </c>
      <c r="G409" s="21" t="s">
        <v>19</v>
      </c>
      <c r="H409" s="21" t="s">
        <v>13</v>
      </c>
      <c r="I409" s="21" t="s">
        <v>23</v>
      </c>
      <c r="J409">
        <v>7</v>
      </c>
      <c r="K409" t="s">
        <v>71</v>
      </c>
    </row>
    <row r="410" spans="1:11" x14ac:dyDescent="0.35">
      <c r="A410" s="21" t="s">
        <v>268</v>
      </c>
      <c r="B410">
        <v>38100</v>
      </c>
      <c r="C410" s="1">
        <v>45785</v>
      </c>
      <c r="D410">
        <v>15607</v>
      </c>
      <c r="E410">
        <v>39103</v>
      </c>
      <c r="F410" s="1">
        <v>39814</v>
      </c>
      <c r="G410" s="21" t="s">
        <v>19</v>
      </c>
      <c r="H410" s="21" t="s">
        <v>13</v>
      </c>
      <c r="I410" s="21" t="s">
        <v>23</v>
      </c>
      <c r="J410">
        <v>5</v>
      </c>
      <c r="K410" t="s">
        <v>70</v>
      </c>
    </row>
    <row r="411" spans="1:11" x14ac:dyDescent="0.35">
      <c r="A411" s="21" t="s">
        <v>436</v>
      </c>
      <c r="B411">
        <v>38100</v>
      </c>
      <c r="C411" s="1">
        <v>45898</v>
      </c>
      <c r="D411">
        <v>16965</v>
      </c>
      <c r="E411">
        <v>42480</v>
      </c>
      <c r="F411" s="1">
        <v>35065</v>
      </c>
      <c r="G411" s="21" t="s">
        <v>19</v>
      </c>
      <c r="H411" s="21" t="s">
        <v>13</v>
      </c>
      <c r="I411" s="21" t="s">
        <v>23</v>
      </c>
      <c r="J411">
        <v>8</v>
      </c>
      <c r="K411" t="s">
        <v>68</v>
      </c>
    </row>
    <row r="412" spans="1:11" x14ac:dyDescent="0.35">
      <c r="A412" s="21" t="s">
        <v>396</v>
      </c>
      <c r="B412">
        <v>38100</v>
      </c>
      <c r="C412" s="1">
        <v>45863</v>
      </c>
      <c r="D412">
        <v>16397</v>
      </c>
      <c r="E412">
        <v>40483</v>
      </c>
      <c r="F412" s="1">
        <v>39814</v>
      </c>
      <c r="G412" s="21" t="s">
        <v>19</v>
      </c>
      <c r="H412" s="21" t="s">
        <v>13</v>
      </c>
      <c r="I412" s="21" t="s">
        <v>23</v>
      </c>
      <c r="J412">
        <v>7</v>
      </c>
      <c r="K412" t="s">
        <v>70</v>
      </c>
    </row>
    <row r="413" spans="1:11" x14ac:dyDescent="0.35">
      <c r="A413" s="21" t="s">
        <v>349</v>
      </c>
      <c r="B413">
        <v>38100</v>
      </c>
      <c r="C413" s="1">
        <v>45833</v>
      </c>
      <c r="D413">
        <v>16008</v>
      </c>
      <c r="E413">
        <v>39716</v>
      </c>
      <c r="F413" s="1">
        <v>37987</v>
      </c>
      <c r="G413" s="21" t="s">
        <v>344</v>
      </c>
      <c r="H413" s="21" t="s">
        <v>13</v>
      </c>
      <c r="I413" s="21" t="s">
        <v>23</v>
      </c>
      <c r="J413">
        <v>6</v>
      </c>
      <c r="K413" t="s">
        <v>68</v>
      </c>
    </row>
    <row r="414" spans="1:11" x14ac:dyDescent="0.35">
      <c r="A414" s="21" t="s">
        <v>351</v>
      </c>
      <c r="B414">
        <v>38100</v>
      </c>
      <c r="C414" s="1">
        <v>45817</v>
      </c>
      <c r="D414">
        <v>15838</v>
      </c>
      <c r="E414">
        <v>39415</v>
      </c>
      <c r="F414" s="1">
        <v>37622</v>
      </c>
      <c r="G414" s="21" t="s">
        <v>19</v>
      </c>
      <c r="H414" s="21" t="s">
        <v>13</v>
      </c>
      <c r="I414" s="21" t="s">
        <v>23</v>
      </c>
      <c r="J414">
        <v>6</v>
      </c>
      <c r="K414" t="s">
        <v>68</v>
      </c>
    </row>
    <row r="415" spans="1:11" x14ac:dyDescent="0.35">
      <c r="A415" s="21" t="s">
        <v>518</v>
      </c>
      <c r="B415">
        <v>38100</v>
      </c>
      <c r="C415" s="1">
        <v>45966</v>
      </c>
      <c r="D415">
        <v>17668</v>
      </c>
      <c r="E415">
        <v>43431</v>
      </c>
      <c r="F415" s="1">
        <v>42005</v>
      </c>
      <c r="G415" s="21" t="s">
        <v>19</v>
      </c>
      <c r="H415" s="21" t="s">
        <v>27</v>
      </c>
      <c r="I415" s="21" t="s">
        <v>23</v>
      </c>
      <c r="J415">
        <v>11</v>
      </c>
      <c r="K415" t="s">
        <v>69</v>
      </c>
    </row>
    <row r="416" spans="1:11" x14ac:dyDescent="0.35">
      <c r="A416" s="21" t="s">
        <v>487</v>
      </c>
      <c r="B416">
        <v>38100</v>
      </c>
      <c r="C416" s="1">
        <v>45939</v>
      </c>
      <c r="D416">
        <v>17472</v>
      </c>
      <c r="E416">
        <v>43207</v>
      </c>
      <c r="F416" s="1">
        <v>45658</v>
      </c>
      <c r="G416" s="21" t="s">
        <v>19</v>
      </c>
      <c r="H416" s="21" t="s">
        <v>13</v>
      </c>
      <c r="I416" s="21" t="s">
        <v>23</v>
      </c>
      <c r="J416">
        <v>10</v>
      </c>
      <c r="K416" t="s">
        <v>67</v>
      </c>
    </row>
    <row r="417" spans="1:11" x14ac:dyDescent="0.35">
      <c r="A417" s="21" t="s">
        <v>303</v>
      </c>
      <c r="B417">
        <v>38100</v>
      </c>
      <c r="C417" s="1">
        <v>45796</v>
      </c>
      <c r="D417">
        <v>15688</v>
      </c>
      <c r="E417">
        <v>39217</v>
      </c>
      <c r="F417" s="1">
        <v>40179</v>
      </c>
      <c r="G417" s="21" t="s">
        <v>19</v>
      </c>
      <c r="H417" s="21" t="s">
        <v>13</v>
      </c>
      <c r="I417" s="21" t="s">
        <v>23</v>
      </c>
      <c r="J417">
        <v>5</v>
      </c>
      <c r="K417" t="s">
        <v>70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4D6CF-E5B4-4180-A757-C2F8191983E5}">
  <dimension ref="A1:J435"/>
  <sheetViews>
    <sheetView topLeftCell="A2" workbookViewId="0">
      <selection activeCell="E20" sqref="E20"/>
    </sheetView>
  </sheetViews>
  <sheetFormatPr defaultRowHeight="14.5" x14ac:dyDescent="0.35"/>
  <cols>
    <col min="1" max="1" width="43.26953125" bestFit="1" customWidth="1"/>
    <col min="2" max="2" width="8.81640625" bestFit="1" customWidth="1"/>
    <col min="3" max="3" width="13.08984375" bestFit="1" customWidth="1"/>
    <col min="4" max="4" width="16.7265625" bestFit="1" customWidth="1"/>
    <col min="5" max="5" width="15.7265625" bestFit="1" customWidth="1"/>
    <col min="6" max="6" width="15" bestFit="1" customWidth="1"/>
    <col min="7" max="7" width="50.26953125" bestFit="1" customWidth="1"/>
    <col min="8" max="8" width="18" bestFit="1" customWidth="1"/>
    <col min="9" max="9" width="23.1796875" bestFit="1" customWidth="1"/>
    <col min="10" max="10" width="12.90625" bestFit="1" customWidth="1"/>
  </cols>
  <sheetData>
    <row r="1" spans="1:10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35">
      <c r="A2" t="s">
        <v>359</v>
      </c>
      <c r="B2">
        <v>9685</v>
      </c>
      <c r="C2" s="1">
        <v>45849</v>
      </c>
      <c r="D2">
        <v>16260</v>
      </c>
      <c r="E2">
        <v>40140</v>
      </c>
      <c r="F2" s="1">
        <v>45068</v>
      </c>
      <c r="G2" t="s">
        <v>19</v>
      </c>
      <c r="H2" t="s">
        <v>13</v>
      </c>
      <c r="I2" t="s">
        <v>20</v>
      </c>
      <c r="J2">
        <v>7</v>
      </c>
    </row>
    <row r="3" spans="1:10" x14ac:dyDescent="0.35">
      <c r="A3" t="s">
        <v>446</v>
      </c>
      <c r="B3">
        <v>9645</v>
      </c>
      <c r="C3" s="1">
        <v>45905</v>
      </c>
      <c r="D3">
        <v>17080</v>
      </c>
      <c r="E3">
        <v>42715</v>
      </c>
      <c r="F3" s="1">
        <v>40322</v>
      </c>
      <c r="G3" t="s">
        <v>0</v>
      </c>
      <c r="H3" t="s">
        <v>13</v>
      </c>
      <c r="I3" t="s">
        <v>20</v>
      </c>
      <c r="J3">
        <v>9</v>
      </c>
    </row>
    <row r="4" spans="1:10" x14ac:dyDescent="0.35">
      <c r="A4" t="s">
        <v>406</v>
      </c>
      <c r="B4">
        <v>1905</v>
      </c>
      <c r="C4" s="1">
        <v>45884</v>
      </c>
      <c r="D4">
        <v>16683</v>
      </c>
      <c r="E4">
        <v>41862</v>
      </c>
      <c r="F4" s="1">
        <v>45884</v>
      </c>
      <c r="G4" t="s">
        <v>19</v>
      </c>
      <c r="H4" t="s">
        <v>13</v>
      </c>
      <c r="I4" t="s">
        <v>14</v>
      </c>
      <c r="J4">
        <v>8</v>
      </c>
    </row>
    <row r="5" spans="1:10" x14ac:dyDescent="0.35">
      <c r="A5" t="s">
        <v>159</v>
      </c>
      <c r="B5">
        <v>1650</v>
      </c>
      <c r="C5" s="1">
        <v>45748</v>
      </c>
      <c r="D5">
        <v>15065</v>
      </c>
      <c r="E5">
        <v>37188</v>
      </c>
      <c r="F5" s="1">
        <v>37460</v>
      </c>
      <c r="G5" t="s">
        <v>1</v>
      </c>
      <c r="H5" t="s">
        <v>13</v>
      </c>
      <c r="I5" t="s">
        <v>20</v>
      </c>
      <c r="J5">
        <v>4</v>
      </c>
    </row>
    <row r="6" spans="1:10" x14ac:dyDescent="0.35">
      <c r="A6" t="s">
        <v>407</v>
      </c>
      <c r="B6">
        <v>775</v>
      </c>
      <c r="C6" s="1">
        <v>45891</v>
      </c>
      <c r="D6">
        <v>16865</v>
      </c>
      <c r="E6">
        <v>42315</v>
      </c>
      <c r="F6" s="1">
        <v>45891</v>
      </c>
      <c r="G6" t="s">
        <v>17</v>
      </c>
      <c r="H6" t="s">
        <v>13</v>
      </c>
      <c r="I6" t="s">
        <v>18</v>
      </c>
      <c r="J6">
        <v>8</v>
      </c>
    </row>
    <row r="7" spans="1:10" x14ac:dyDescent="0.35">
      <c r="A7" t="s">
        <v>498</v>
      </c>
      <c r="B7">
        <v>1905</v>
      </c>
      <c r="C7" s="1">
        <v>45975</v>
      </c>
      <c r="D7">
        <v>17729</v>
      </c>
      <c r="E7">
        <v>43491</v>
      </c>
      <c r="F7" s="1">
        <v>40562</v>
      </c>
      <c r="G7" t="s">
        <v>12</v>
      </c>
      <c r="H7" t="s">
        <v>13</v>
      </c>
      <c r="I7" t="s">
        <v>14</v>
      </c>
      <c r="J7">
        <v>11</v>
      </c>
    </row>
    <row r="8" spans="1:10" x14ac:dyDescent="0.35">
      <c r="A8" t="s">
        <v>121</v>
      </c>
      <c r="B8">
        <v>38100</v>
      </c>
      <c r="C8" s="1">
        <v>45702</v>
      </c>
      <c r="D8">
        <v>14481</v>
      </c>
      <c r="E8">
        <v>36086</v>
      </c>
      <c r="F8" s="1">
        <v>31778</v>
      </c>
      <c r="G8" t="s">
        <v>0</v>
      </c>
      <c r="H8" t="s">
        <v>13</v>
      </c>
      <c r="I8" t="s">
        <v>23</v>
      </c>
      <c r="J8">
        <v>2</v>
      </c>
    </row>
    <row r="9" spans="1:10" x14ac:dyDescent="0.35">
      <c r="A9" t="s">
        <v>122</v>
      </c>
      <c r="B9">
        <v>1905</v>
      </c>
      <c r="C9" s="1">
        <v>45702</v>
      </c>
      <c r="D9">
        <v>14482</v>
      </c>
      <c r="E9">
        <v>36087</v>
      </c>
      <c r="F9" s="1">
        <v>44571</v>
      </c>
      <c r="G9" t="s">
        <v>19</v>
      </c>
      <c r="H9" t="s">
        <v>13</v>
      </c>
      <c r="I9" t="s">
        <v>14</v>
      </c>
      <c r="J9">
        <v>2</v>
      </c>
    </row>
    <row r="10" spans="1:10" x14ac:dyDescent="0.35">
      <c r="A10" t="s">
        <v>447</v>
      </c>
      <c r="B10">
        <v>775</v>
      </c>
      <c r="C10" s="1">
        <v>45917</v>
      </c>
      <c r="D10">
        <v>17261</v>
      </c>
      <c r="E10">
        <v>42986</v>
      </c>
      <c r="F10" s="1">
        <v>45917</v>
      </c>
      <c r="G10" t="s">
        <v>17</v>
      </c>
      <c r="H10" t="s">
        <v>17</v>
      </c>
      <c r="I10" t="s">
        <v>18</v>
      </c>
      <c r="J10">
        <v>9</v>
      </c>
    </row>
    <row r="11" spans="1:10" x14ac:dyDescent="0.35">
      <c r="A11" t="s">
        <v>160</v>
      </c>
      <c r="B11">
        <v>5460</v>
      </c>
      <c r="C11" s="1">
        <v>45730</v>
      </c>
      <c r="D11">
        <v>14782</v>
      </c>
      <c r="E11">
        <v>36662</v>
      </c>
      <c r="F11" s="1">
        <v>41085</v>
      </c>
      <c r="G11" t="s">
        <v>12</v>
      </c>
      <c r="H11" t="s">
        <v>161</v>
      </c>
      <c r="I11" t="s">
        <v>20</v>
      </c>
      <c r="J11">
        <v>3</v>
      </c>
    </row>
    <row r="12" spans="1:10" x14ac:dyDescent="0.35">
      <c r="A12" t="s">
        <v>218</v>
      </c>
      <c r="B12">
        <v>1545</v>
      </c>
      <c r="C12" s="1">
        <v>45769</v>
      </c>
      <c r="D12">
        <v>15381</v>
      </c>
      <c r="E12">
        <v>38442</v>
      </c>
      <c r="F12" s="1">
        <v>42159</v>
      </c>
      <c r="G12" t="s">
        <v>12</v>
      </c>
      <c r="H12" t="s">
        <v>219</v>
      </c>
      <c r="I12" t="s">
        <v>20</v>
      </c>
      <c r="J12">
        <v>4</v>
      </c>
    </row>
    <row r="13" spans="1:10" x14ac:dyDescent="0.35">
      <c r="A13" t="s">
        <v>408</v>
      </c>
      <c r="B13">
        <v>2680</v>
      </c>
      <c r="C13" s="1">
        <v>45884</v>
      </c>
      <c r="D13">
        <v>16669</v>
      </c>
      <c r="E13">
        <v>41835</v>
      </c>
      <c r="F13" s="1">
        <v>40518</v>
      </c>
      <c r="G13" t="s">
        <v>12</v>
      </c>
      <c r="H13" t="s">
        <v>13</v>
      </c>
      <c r="I13" t="s">
        <v>20</v>
      </c>
      <c r="J13">
        <v>8</v>
      </c>
    </row>
    <row r="14" spans="1:10" x14ac:dyDescent="0.35">
      <c r="A14" t="s">
        <v>360</v>
      </c>
      <c r="B14">
        <v>775</v>
      </c>
      <c r="C14" s="1">
        <v>45846</v>
      </c>
      <c r="D14">
        <v>16207</v>
      </c>
      <c r="E14">
        <v>40001</v>
      </c>
      <c r="F14" s="1">
        <v>45846</v>
      </c>
      <c r="G14" t="s">
        <v>17</v>
      </c>
      <c r="H14" t="s">
        <v>17</v>
      </c>
      <c r="I14" t="s">
        <v>18</v>
      </c>
      <c r="J14">
        <v>7</v>
      </c>
    </row>
    <row r="15" spans="1:10" x14ac:dyDescent="0.35">
      <c r="A15" t="s">
        <v>409</v>
      </c>
      <c r="B15">
        <v>1545</v>
      </c>
      <c r="C15" s="1">
        <v>45890</v>
      </c>
      <c r="D15">
        <v>16801</v>
      </c>
      <c r="E15">
        <v>42165</v>
      </c>
      <c r="F15" s="1">
        <v>44124</v>
      </c>
      <c r="G15" t="s">
        <v>12</v>
      </c>
      <c r="H15" t="s">
        <v>13</v>
      </c>
      <c r="I15" t="s">
        <v>20</v>
      </c>
      <c r="J15">
        <v>8</v>
      </c>
    </row>
    <row r="16" spans="1:10" x14ac:dyDescent="0.35">
      <c r="A16" t="s">
        <v>464</v>
      </c>
      <c r="B16">
        <v>2990</v>
      </c>
      <c r="C16" s="1">
        <v>45931</v>
      </c>
      <c r="D16">
        <v>17411</v>
      </c>
      <c r="E16">
        <v>43146</v>
      </c>
      <c r="F16" s="1">
        <v>44130</v>
      </c>
      <c r="G16" t="s">
        <v>0</v>
      </c>
      <c r="H16" t="s">
        <v>13</v>
      </c>
      <c r="I16" t="s">
        <v>14</v>
      </c>
      <c r="J16">
        <v>10</v>
      </c>
    </row>
    <row r="17" spans="1:10" x14ac:dyDescent="0.35">
      <c r="A17" t="s">
        <v>361</v>
      </c>
      <c r="B17">
        <v>1905</v>
      </c>
      <c r="C17" s="1">
        <v>45866</v>
      </c>
      <c r="D17">
        <v>16411</v>
      </c>
      <c r="E17">
        <v>40502</v>
      </c>
      <c r="F17" s="1">
        <v>41891</v>
      </c>
      <c r="G17" t="s">
        <v>0</v>
      </c>
      <c r="H17" t="s">
        <v>13</v>
      </c>
      <c r="I17" t="s">
        <v>14</v>
      </c>
      <c r="J17">
        <v>7</v>
      </c>
    </row>
    <row r="18" spans="1:10" x14ac:dyDescent="0.35">
      <c r="A18" t="s">
        <v>220</v>
      </c>
      <c r="B18">
        <v>1905</v>
      </c>
      <c r="C18" s="1">
        <v>45758</v>
      </c>
      <c r="D18">
        <v>15216</v>
      </c>
      <c r="E18">
        <v>37814</v>
      </c>
      <c r="F18" s="1">
        <v>41361</v>
      </c>
      <c r="G18" t="s">
        <v>12</v>
      </c>
      <c r="H18" t="s">
        <v>13</v>
      </c>
      <c r="I18" t="s">
        <v>14</v>
      </c>
      <c r="J18">
        <v>4</v>
      </c>
    </row>
    <row r="19" spans="1:10" x14ac:dyDescent="0.35">
      <c r="A19" t="s">
        <v>221</v>
      </c>
      <c r="B19">
        <v>1545</v>
      </c>
      <c r="C19" s="1">
        <v>45750</v>
      </c>
      <c r="D19">
        <v>15100</v>
      </c>
      <c r="E19">
        <v>37324</v>
      </c>
      <c r="F19" s="1">
        <v>37772</v>
      </c>
      <c r="G19" t="s">
        <v>12</v>
      </c>
      <c r="H19" t="s">
        <v>13</v>
      </c>
      <c r="I19" t="s">
        <v>20</v>
      </c>
      <c r="J19">
        <v>4</v>
      </c>
    </row>
    <row r="20" spans="1:10" x14ac:dyDescent="0.35">
      <c r="A20" t="s">
        <v>162</v>
      </c>
      <c r="B20">
        <v>1545</v>
      </c>
      <c r="C20" s="1">
        <v>45722</v>
      </c>
      <c r="D20">
        <v>14689</v>
      </c>
      <c r="E20">
        <v>36502</v>
      </c>
      <c r="F20" s="1">
        <v>40976</v>
      </c>
      <c r="G20" t="s">
        <v>12</v>
      </c>
      <c r="H20" t="s">
        <v>13</v>
      </c>
      <c r="I20" t="s">
        <v>20</v>
      </c>
      <c r="J20">
        <v>3</v>
      </c>
    </row>
    <row r="21" spans="1:10" x14ac:dyDescent="0.35">
      <c r="A21" t="s">
        <v>222</v>
      </c>
      <c r="B21">
        <v>1905</v>
      </c>
      <c r="C21" s="1">
        <v>45800</v>
      </c>
      <c r="D21">
        <v>15717</v>
      </c>
      <c r="E21">
        <v>39246</v>
      </c>
      <c r="F21" s="1">
        <v>44294</v>
      </c>
      <c r="G21" t="s">
        <v>12</v>
      </c>
      <c r="H21" t="s">
        <v>13</v>
      </c>
      <c r="I21" t="s">
        <v>14</v>
      </c>
      <c r="J21">
        <v>5</v>
      </c>
    </row>
    <row r="22" spans="1:10" x14ac:dyDescent="0.35">
      <c r="A22" t="s">
        <v>410</v>
      </c>
      <c r="B22">
        <v>1545</v>
      </c>
      <c r="C22" s="1">
        <v>45902</v>
      </c>
      <c r="D22">
        <v>17007</v>
      </c>
      <c r="E22">
        <v>42540</v>
      </c>
      <c r="F22" s="1">
        <v>45532</v>
      </c>
      <c r="G22" t="s">
        <v>12</v>
      </c>
      <c r="H22" t="s">
        <v>13</v>
      </c>
      <c r="I22" t="s">
        <v>20</v>
      </c>
      <c r="J22">
        <v>9</v>
      </c>
    </row>
    <row r="23" spans="1:10" x14ac:dyDescent="0.35">
      <c r="A23" t="s">
        <v>163</v>
      </c>
      <c r="B23">
        <v>16500</v>
      </c>
      <c r="C23" s="1">
        <v>45744</v>
      </c>
      <c r="D23">
        <v>15034</v>
      </c>
      <c r="E23">
        <v>37127</v>
      </c>
      <c r="F23" s="1">
        <v>40162</v>
      </c>
      <c r="G23" t="s">
        <v>12</v>
      </c>
      <c r="H23" t="s">
        <v>13</v>
      </c>
      <c r="I23" t="s">
        <v>23</v>
      </c>
      <c r="J23">
        <v>3</v>
      </c>
    </row>
    <row r="24" spans="1:10" x14ac:dyDescent="0.35">
      <c r="A24" t="s">
        <v>499</v>
      </c>
      <c r="B24">
        <v>775</v>
      </c>
      <c r="C24" s="1">
        <v>45964</v>
      </c>
      <c r="D24">
        <v>17643</v>
      </c>
      <c r="E24">
        <v>43404</v>
      </c>
      <c r="F24" s="1">
        <v>45569</v>
      </c>
      <c r="G24" t="s">
        <v>17</v>
      </c>
      <c r="H24" t="s">
        <v>13</v>
      </c>
      <c r="I24" t="s">
        <v>18</v>
      </c>
      <c r="J24">
        <v>11</v>
      </c>
    </row>
    <row r="25" spans="1:10" x14ac:dyDescent="0.35">
      <c r="A25" t="s">
        <v>362</v>
      </c>
      <c r="B25">
        <v>775</v>
      </c>
      <c r="C25" s="1">
        <v>45866</v>
      </c>
      <c r="D25">
        <v>16405</v>
      </c>
      <c r="E25">
        <v>40493</v>
      </c>
      <c r="F25" s="1">
        <v>44579</v>
      </c>
      <c r="G25" t="s">
        <v>17</v>
      </c>
      <c r="H25" t="s">
        <v>17</v>
      </c>
      <c r="I25" t="s">
        <v>18</v>
      </c>
      <c r="J25">
        <v>7</v>
      </c>
    </row>
    <row r="26" spans="1:10" x14ac:dyDescent="0.35">
      <c r="A26" t="s">
        <v>363</v>
      </c>
      <c r="B26">
        <v>775</v>
      </c>
      <c r="C26" s="1">
        <v>45854</v>
      </c>
      <c r="D26">
        <v>16278</v>
      </c>
      <c r="E26">
        <v>40175</v>
      </c>
      <c r="F26" s="1">
        <v>45386</v>
      </c>
      <c r="G26" t="s">
        <v>17</v>
      </c>
      <c r="H26" t="s">
        <v>13</v>
      </c>
      <c r="I26" t="s">
        <v>18</v>
      </c>
      <c r="J26">
        <v>7</v>
      </c>
    </row>
    <row r="27" spans="1:10" x14ac:dyDescent="0.35">
      <c r="A27" t="s">
        <v>164</v>
      </c>
      <c r="B27">
        <v>775</v>
      </c>
      <c r="C27" s="1">
        <v>45745</v>
      </c>
      <c r="D27">
        <v>15019</v>
      </c>
      <c r="E27">
        <v>37086</v>
      </c>
      <c r="F27" s="1">
        <v>44984</v>
      </c>
      <c r="G27" t="s">
        <v>17</v>
      </c>
      <c r="H27" t="s">
        <v>17</v>
      </c>
      <c r="I27" t="s">
        <v>18</v>
      </c>
      <c r="J27">
        <v>3</v>
      </c>
    </row>
    <row r="28" spans="1:10" x14ac:dyDescent="0.35">
      <c r="A28" t="s">
        <v>411</v>
      </c>
      <c r="B28">
        <v>775</v>
      </c>
      <c r="C28" s="1">
        <v>45875</v>
      </c>
      <c r="D28">
        <v>16525</v>
      </c>
      <c r="E28">
        <v>41013</v>
      </c>
      <c r="F28" s="1">
        <v>45531</v>
      </c>
      <c r="G28" t="s">
        <v>17</v>
      </c>
      <c r="H28" t="s">
        <v>13</v>
      </c>
      <c r="I28" t="s">
        <v>18</v>
      </c>
      <c r="J28">
        <v>8</v>
      </c>
    </row>
    <row r="29" spans="1:10" x14ac:dyDescent="0.35">
      <c r="A29" t="s">
        <v>165</v>
      </c>
      <c r="B29">
        <v>2370</v>
      </c>
      <c r="C29" s="1">
        <v>45728</v>
      </c>
      <c r="D29">
        <v>14744</v>
      </c>
      <c r="E29">
        <v>36595</v>
      </c>
      <c r="F29" s="1">
        <v>37839</v>
      </c>
      <c r="G29" t="s">
        <v>19</v>
      </c>
      <c r="H29" t="s">
        <v>13</v>
      </c>
      <c r="I29" t="s">
        <v>20</v>
      </c>
      <c r="J29">
        <v>3</v>
      </c>
    </row>
    <row r="30" spans="1:10" x14ac:dyDescent="0.35">
      <c r="A30" t="s">
        <v>448</v>
      </c>
      <c r="B30">
        <v>38100</v>
      </c>
      <c r="C30" s="1">
        <v>45911</v>
      </c>
      <c r="D30">
        <v>17161</v>
      </c>
      <c r="E30">
        <v>42838</v>
      </c>
      <c r="F30" s="1">
        <v>43318</v>
      </c>
      <c r="G30" t="s">
        <v>19</v>
      </c>
      <c r="H30" t="s">
        <v>13</v>
      </c>
      <c r="I30" t="s">
        <v>23</v>
      </c>
      <c r="J30">
        <v>9</v>
      </c>
    </row>
    <row r="31" spans="1:10" x14ac:dyDescent="0.35">
      <c r="A31" t="s">
        <v>465</v>
      </c>
      <c r="B31">
        <v>1545</v>
      </c>
      <c r="C31" s="1">
        <v>45938</v>
      </c>
      <c r="D31">
        <v>17461</v>
      </c>
      <c r="E31">
        <v>43196</v>
      </c>
      <c r="F31" s="1">
        <v>40798</v>
      </c>
      <c r="G31" t="s">
        <v>19</v>
      </c>
      <c r="H31" t="s">
        <v>13</v>
      </c>
      <c r="I31" t="s">
        <v>20</v>
      </c>
      <c r="J31">
        <v>10</v>
      </c>
    </row>
    <row r="32" spans="1:10" x14ac:dyDescent="0.35">
      <c r="A32" t="s">
        <v>316</v>
      </c>
      <c r="B32">
        <v>2370</v>
      </c>
      <c r="C32" s="1">
        <v>45811</v>
      </c>
      <c r="D32">
        <v>15791</v>
      </c>
      <c r="E32">
        <v>39358</v>
      </c>
      <c r="F32" s="1">
        <v>43643</v>
      </c>
      <c r="G32" t="s">
        <v>19</v>
      </c>
      <c r="H32" t="s">
        <v>13</v>
      </c>
      <c r="I32" t="s">
        <v>20</v>
      </c>
      <c r="J32">
        <v>6</v>
      </c>
    </row>
    <row r="33" spans="1:10" x14ac:dyDescent="0.35">
      <c r="A33" t="s">
        <v>466</v>
      </c>
      <c r="B33">
        <v>1545</v>
      </c>
      <c r="C33" s="1">
        <v>45940</v>
      </c>
      <c r="D33">
        <v>17481</v>
      </c>
      <c r="E33">
        <v>43216</v>
      </c>
      <c r="F33" s="1">
        <v>45632</v>
      </c>
      <c r="G33" t="s">
        <v>0</v>
      </c>
      <c r="H33" t="s">
        <v>13</v>
      </c>
      <c r="I33" t="s">
        <v>20</v>
      </c>
      <c r="J33">
        <v>10</v>
      </c>
    </row>
    <row r="34" spans="1:10" x14ac:dyDescent="0.35">
      <c r="A34" t="s">
        <v>449</v>
      </c>
      <c r="B34">
        <v>4225</v>
      </c>
      <c r="C34" s="1">
        <v>45911</v>
      </c>
      <c r="D34">
        <v>17190</v>
      </c>
      <c r="E34">
        <v>42888</v>
      </c>
      <c r="F34" s="1">
        <v>45526</v>
      </c>
      <c r="G34" t="s">
        <v>1</v>
      </c>
      <c r="H34" t="s">
        <v>13</v>
      </c>
      <c r="I34" t="s">
        <v>20</v>
      </c>
      <c r="J34">
        <v>9</v>
      </c>
    </row>
    <row r="35" spans="1:10" x14ac:dyDescent="0.35">
      <c r="A35" t="s">
        <v>412</v>
      </c>
      <c r="B35">
        <v>1905</v>
      </c>
      <c r="C35" s="1">
        <v>45889</v>
      </c>
      <c r="D35">
        <v>16779</v>
      </c>
      <c r="E35">
        <v>42106</v>
      </c>
      <c r="F35" s="1">
        <v>42577</v>
      </c>
      <c r="G35" t="s">
        <v>19</v>
      </c>
      <c r="H35" t="s">
        <v>13</v>
      </c>
      <c r="I35" t="s">
        <v>14</v>
      </c>
      <c r="J35">
        <v>8</v>
      </c>
    </row>
    <row r="36" spans="1:10" x14ac:dyDescent="0.35">
      <c r="A36" t="s">
        <v>47</v>
      </c>
      <c r="B36">
        <v>775</v>
      </c>
      <c r="C36" s="1">
        <v>45684</v>
      </c>
      <c r="D36">
        <v>14257</v>
      </c>
      <c r="E36">
        <v>35767</v>
      </c>
      <c r="F36" s="1">
        <v>45385</v>
      </c>
      <c r="G36" t="s">
        <v>17</v>
      </c>
      <c r="H36" t="s">
        <v>17</v>
      </c>
      <c r="I36" t="s">
        <v>18</v>
      </c>
      <c r="J36">
        <v>1</v>
      </c>
    </row>
    <row r="37" spans="1:10" x14ac:dyDescent="0.35">
      <c r="A37" t="s">
        <v>89</v>
      </c>
      <c r="B37">
        <v>775</v>
      </c>
      <c r="C37" s="1">
        <v>45664</v>
      </c>
      <c r="D37">
        <v>13806</v>
      </c>
      <c r="E37">
        <v>35165</v>
      </c>
      <c r="F37" s="1">
        <v>44433</v>
      </c>
      <c r="G37" t="s">
        <v>17</v>
      </c>
      <c r="H37" t="s">
        <v>13</v>
      </c>
      <c r="I37" t="s">
        <v>18</v>
      </c>
      <c r="J37">
        <v>1</v>
      </c>
    </row>
    <row r="38" spans="1:10" x14ac:dyDescent="0.35">
      <c r="A38" t="s">
        <v>450</v>
      </c>
      <c r="B38">
        <v>1545</v>
      </c>
      <c r="C38" s="1">
        <v>45910</v>
      </c>
      <c r="D38">
        <v>17150</v>
      </c>
      <c r="E38">
        <v>42825</v>
      </c>
      <c r="F38" s="1">
        <v>45910</v>
      </c>
      <c r="G38" t="s">
        <v>0</v>
      </c>
      <c r="H38" t="s">
        <v>13</v>
      </c>
      <c r="I38" t="s">
        <v>20</v>
      </c>
      <c r="J38">
        <v>9</v>
      </c>
    </row>
    <row r="39" spans="1:10" x14ac:dyDescent="0.35">
      <c r="A39" t="s">
        <v>166</v>
      </c>
      <c r="B39">
        <v>2680</v>
      </c>
      <c r="C39" s="1">
        <v>45734</v>
      </c>
      <c r="D39">
        <v>14837</v>
      </c>
      <c r="E39">
        <v>36750</v>
      </c>
      <c r="F39" s="1">
        <v>43559</v>
      </c>
      <c r="G39" t="s">
        <v>1</v>
      </c>
      <c r="H39" t="s">
        <v>13</v>
      </c>
      <c r="I39" t="s">
        <v>20</v>
      </c>
      <c r="J39">
        <v>3</v>
      </c>
    </row>
    <row r="40" spans="1:10" x14ac:dyDescent="0.35">
      <c r="A40" t="s">
        <v>223</v>
      </c>
      <c r="B40">
        <v>1650</v>
      </c>
      <c r="C40" s="1">
        <v>45768</v>
      </c>
      <c r="D40">
        <v>15371</v>
      </c>
      <c r="E40">
        <v>38426</v>
      </c>
      <c r="F40" s="1">
        <v>44697</v>
      </c>
      <c r="G40" t="s">
        <v>1</v>
      </c>
      <c r="H40" t="s">
        <v>13</v>
      </c>
      <c r="I40" t="s">
        <v>20</v>
      </c>
      <c r="J40">
        <v>4</v>
      </c>
    </row>
    <row r="41" spans="1:10" x14ac:dyDescent="0.35">
      <c r="A41" t="s">
        <v>364</v>
      </c>
      <c r="B41">
        <v>775</v>
      </c>
      <c r="C41" s="1">
        <v>45869</v>
      </c>
      <c r="D41">
        <v>16459</v>
      </c>
      <c r="E41">
        <v>40633</v>
      </c>
      <c r="F41" s="1">
        <v>44433</v>
      </c>
      <c r="G41" t="s">
        <v>17</v>
      </c>
      <c r="H41" t="s">
        <v>17</v>
      </c>
      <c r="I41" t="s">
        <v>18</v>
      </c>
      <c r="J41">
        <v>7</v>
      </c>
    </row>
    <row r="42" spans="1:10" x14ac:dyDescent="0.35">
      <c r="A42" t="s">
        <v>123</v>
      </c>
      <c r="B42">
        <v>1545</v>
      </c>
      <c r="C42" s="1">
        <v>45890</v>
      </c>
      <c r="D42">
        <v>16846</v>
      </c>
      <c r="E42">
        <v>42288</v>
      </c>
      <c r="F42" s="1">
        <v>42675</v>
      </c>
      <c r="G42" t="s">
        <v>19</v>
      </c>
      <c r="H42" t="s">
        <v>58</v>
      </c>
      <c r="I42" t="s">
        <v>20</v>
      </c>
      <c r="J42">
        <v>8</v>
      </c>
    </row>
    <row r="43" spans="1:10" x14ac:dyDescent="0.35">
      <c r="A43" t="s">
        <v>123</v>
      </c>
      <c r="B43">
        <v>1545</v>
      </c>
      <c r="C43" s="1">
        <v>45666</v>
      </c>
      <c r="D43">
        <v>13918</v>
      </c>
      <c r="E43">
        <v>35299</v>
      </c>
      <c r="F43" s="1">
        <v>42675</v>
      </c>
      <c r="G43" t="s">
        <v>19</v>
      </c>
      <c r="H43" t="s">
        <v>58</v>
      </c>
      <c r="I43" t="s">
        <v>20</v>
      </c>
      <c r="J43">
        <v>1</v>
      </c>
    </row>
    <row r="44" spans="1:10" x14ac:dyDescent="0.35">
      <c r="A44" t="s">
        <v>167</v>
      </c>
      <c r="B44">
        <v>2680</v>
      </c>
      <c r="C44" s="1">
        <v>45740</v>
      </c>
      <c r="D44">
        <v>14939</v>
      </c>
      <c r="E44">
        <v>36931</v>
      </c>
      <c r="F44" s="1">
        <v>39965</v>
      </c>
      <c r="G44" t="s">
        <v>1</v>
      </c>
      <c r="H44" t="s">
        <v>13</v>
      </c>
      <c r="I44" t="s">
        <v>20</v>
      </c>
      <c r="J44">
        <v>3</v>
      </c>
    </row>
    <row r="45" spans="1:10" x14ac:dyDescent="0.35">
      <c r="A45" t="s">
        <v>224</v>
      </c>
      <c r="B45">
        <v>1905</v>
      </c>
      <c r="C45" s="1">
        <v>45784</v>
      </c>
      <c r="D45">
        <v>15561</v>
      </c>
      <c r="E45">
        <v>38970</v>
      </c>
      <c r="F45" s="1">
        <v>36360</v>
      </c>
      <c r="G45" t="s">
        <v>12</v>
      </c>
      <c r="H45" t="s">
        <v>13</v>
      </c>
      <c r="I45" t="s">
        <v>14</v>
      </c>
      <c r="J45">
        <v>5</v>
      </c>
    </row>
    <row r="46" spans="1:10" x14ac:dyDescent="0.35">
      <c r="A46" t="s">
        <v>413</v>
      </c>
      <c r="B46">
        <v>5770</v>
      </c>
      <c r="C46" s="1">
        <v>45890</v>
      </c>
      <c r="D46">
        <v>16845</v>
      </c>
      <c r="E46">
        <v>42310</v>
      </c>
      <c r="F46" s="1">
        <v>39907</v>
      </c>
      <c r="G46" t="s">
        <v>227</v>
      </c>
      <c r="H46" t="s">
        <v>13</v>
      </c>
      <c r="I46" t="s">
        <v>20</v>
      </c>
      <c r="J46">
        <v>8</v>
      </c>
    </row>
    <row r="47" spans="1:10" x14ac:dyDescent="0.35">
      <c r="A47" t="s">
        <v>467</v>
      </c>
      <c r="B47">
        <v>9690</v>
      </c>
      <c r="C47" s="1">
        <v>45954</v>
      </c>
      <c r="D47">
        <v>17604</v>
      </c>
      <c r="E47">
        <v>43350</v>
      </c>
      <c r="F47" s="1">
        <v>44867</v>
      </c>
      <c r="G47" t="s">
        <v>227</v>
      </c>
      <c r="H47" t="s">
        <v>13</v>
      </c>
      <c r="I47" t="s">
        <v>20</v>
      </c>
      <c r="J47">
        <v>10</v>
      </c>
    </row>
    <row r="48" spans="1:10" x14ac:dyDescent="0.35">
      <c r="A48" t="s">
        <v>468</v>
      </c>
      <c r="B48">
        <v>12050</v>
      </c>
      <c r="C48" s="1">
        <v>45947</v>
      </c>
      <c r="D48">
        <v>17556</v>
      </c>
      <c r="E48">
        <v>43296</v>
      </c>
      <c r="F48" s="1">
        <v>40079</v>
      </c>
      <c r="G48" t="s">
        <v>227</v>
      </c>
      <c r="H48" t="s">
        <v>13</v>
      </c>
      <c r="I48" t="s">
        <v>14</v>
      </c>
      <c r="J48">
        <v>10</v>
      </c>
    </row>
    <row r="49" spans="1:10" x14ac:dyDescent="0.35">
      <c r="A49" t="s">
        <v>414</v>
      </c>
      <c r="B49">
        <v>2680</v>
      </c>
      <c r="C49" s="1">
        <v>45884</v>
      </c>
      <c r="D49">
        <v>16668</v>
      </c>
      <c r="E49">
        <v>41834</v>
      </c>
      <c r="F49" s="1">
        <v>41905</v>
      </c>
      <c r="G49" t="s">
        <v>1</v>
      </c>
      <c r="H49" t="s">
        <v>13</v>
      </c>
      <c r="I49" t="s">
        <v>20</v>
      </c>
      <c r="J49">
        <v>8</v>
      </c>
    </row>
    <row r="50" spans="1:10" x14ac:dyDescent="0.35">
      <c r="A50" t="s">
        <v>415</v>
      </c>
      <c r="B50">
        <v>775</v>
      </c>
      <c r="C50" s="1">
        <v>45878</v>
      </c>
      <c r="D50">
        <v>16563</v>
      </c>
      <c r="E50">
        <v>41195</v>
      </c>
      <c r="F50" s="1">
        <v>45878</v>
      </c>
      <c r="G50" t="s">
        <v>17</v>
      </c>
      <c r="H50" t="s">
        <v>17</v>
      </c>
      <c r="I50" t="s">
        <v>18</v>
      </c>
      <c r="J50">
        <v>8</v>
      </c>
    </row>
    <row r="51" spans="1:10" x14ac:dyDescent="0.35">
      <c r="A51" t="s">
        <v>317</v>
      </c>
      <c r="B51">
        <v>775</v>
      </c>
      <c r="C51" s="1">
        <v>45827</v>
      </c>
      <c r="D51">
        <v>15952</v>
      </c>
      <c r="E51">
        <v>39627</v>
      </c>
      <c r="F51" s="1">
        <v>44725</v>
      </c>
      <c r="G51" t="s">
        <v>17</v>
      </c>
      <c r="H51" t="s">
        <v>13</v>
      </c>
      <c r="I51" t="s">
        <v>18</v>
      </c>
      <c r="J51">
        <v>6</v>
      </c>
    </row>
    <row r="52" spans="1:10" x14ac:dyDescent="0.35">
      <c r="A52" t="s">
        <v>90</v>
      </c>
      <c r="B52">
        <v>100</v>
      </c>
      <c r="C52" s="1">
        <v>45674</v>
      </c>
      <c r="D52">
        <v>14126</v>
      </c>
      <c r="E52">
        <v>35593</v>
      </c>
      <c r="F52" s="1">
        <v>45674</v>
      </c>
      <c r="G52" t="s">
        <v>17</v>
      </c>
      <c r="H52" t="s">
        <v>13</v>
      </c>
      <c r="I52" t="s">
        <v>30</v>
      </c>
      <c r="J52">
        <v>1</v>
      </c>
    </row>
    <row r="53" spans="1:10" x14ac:dyDescent="0.35">
      <c r="A53" t="s">
        <v>41</v>
      </c>
      <c r="B53">
        <v>5770</v>
      </c>
      <c r="C53" s="1">
        <v>45681</v>
      </c>
      <c r="D53">
        <v>14208</v>
      </c>
      <c r="E53">
        <v>35690</v>
      </c>
      <c r="F53" s="1">
        <v>43105</v>
      </c>
      <c r="G53" t="s">
        <v>19</v>
      </c>
      <c r="H53" t="s">
        <v>13</v>
      </c>
      <c r="I53" t="s">
        <v>20</v>
      </c>
      <c r="J53">
        <v>1</v>
      </c>
    </row>
    <row r="54" spans="1:10" x14ac:dyDescent="0.35">
      <c r="A54" t="s">
        <v>318</v>
      </c>
      <c r="B54">
        <v>2680</v>
      </c>
      <c r="C54" s="1">
        <v>45828</v>
      </c>
      <c r="D54">
        <v>15958</v>
      </c>
      <c r="E54">
        <v>39633</v>
      </c>
      <c r="F54" s="1">
        <v>40627</v>
      </c>
      <c r="G54" t="s">
        <v>12</v>
      </c>
      <c r="H54" t="s">
        <v>13</v>
      </c>
      <c r="I54" t="s">
        <v>20</v>
      </c>
      <c r="J54">
        <v>6</v>
      </c>
    </row>
    <row r="55" spans="1:10" x14ac:dyDescent="0.35">
      <c r="A55" t="s">
        <v>124</v>
      </c>
      <c r="B55">
        <v>1905</v>
      </c>
      <c r="C55" s="1">
        <v>45707</v>
      </c>
      <c r="D55">
        <v>14507</v>
      </c>
      <c r="E55">
        <v>36134</v>
      </c>
      <c r="F55" s="1">
        <v>37725</v>
      </c>
      <c r="G55" t="s">
        <v>19</v>
      </c>
      <c r="H55" t="s">
        <v>13</v>
      </c>
      <c r="I55" t="s">
        <v>14</v>
      </c>
      <c r="J55">
        <v>2</v>
      </c>
    </row>
    <row r="56" spans="1:10" x14ac:dyDescent="0.35">
      <c r="A56" t="s">
        <v>500</v>
      </c>
      <c r="B56">
        <v>1545</v>
      </c>
      <c r="C56" s="1">
        <v>45978</v>
      </c>
      <c r="D56">
        <v>17735</v>
      </c>
      <c r="E56">
        <v>43497</v>
      </c>
      <c r="F56" s="1">
        <v>40180</v>
      </c>
      <c r="G56" t="s">
        <v>12</v>
      </c>
      <c r="H56" t="s">
        <v>13</v>
      </c>
      <c r="I56" t="s">
        <v>20</v>
      </c>
      <c r="J56">
        <v>11</v>
      </c>
    </row>
    <row r="57" spans="1:10" x14ac:dyDescent="0.35">
      <c r="A57" t="s">
        <v>365</v>
      </c>
      <c r="B57">
        <v>2680</v>
      </c>
      <c r="C57" s="1">
        <v>45863</v>
      </c>
      <c r="D57">
        <v>16375</v>
      </c>
      <c r="E57">
        <v>40446</v>
      </c>
      <c r="F57" s="1">
        <v>43570</v>
      </c>
      <c r="G57" t="s">
        <v>12</v>
      </c>
      <c r="H57" t="s">
        <v>13</v>
      </c>
      <c r="I57" t="s">
        <v>20</v>
      </c>
      <c r="J57">
        <v>7</v>
      </c>
    </row>
    <row r="58" spans="1:10" x14ac:dyDescent="0.35">
      <c r="A58" t="s">
        <v>54</v>
      </c>
      <c r="B58">
        <v>1905</v>
      </c>
      <c r="C58" s="1">
        <v>45666</v>
      </c>
      <c r="D58">
        <v>13881</v>
      </c>
      <c r="E58">
        <v>35253</v>
      </c>
      <c r="F58" s="1">
        <v>44291</v>
      </c>
      <c r="G58" t="s">
        <v>12</v>
      </c>
      <c r="H58" t="s">
        <v>13</v>
      </c>
      <c r="I58" t="s">
        <v>14</v>
      </c>
      <c r="J58">
        <v>1</v>
      </c>
    </row>
    <row r="59" spans="1:10" x14ac:dyDescent="0.35">
      <c r="A59" t="s">
        <v>416</v>
      </c>
      <c r="B59">
        <v>37900</v>
      </c>
      <c r="C59" s="1">
        <v>45869</v>
      </c>
      <c r="D59">
        <v>16460</v>
      </c>
      <c r="E59">
        <v>40634</v>
      </c>
      <c r="F59" s="1">
        <v>40998</v>
      </c>
      <c r="G59" t="s">
        <v>227</v>
      </c>
      <c r="H59" t="s">
        <v>13</v>
      </c>
      <c r="I59" t="s">
        <v>23</v>
      </c>
      <c r="J59">
        <v>7</v>
      </c>
    </row>
    <row r="60" spans="1:10" x14ac:dyDescent="0.35">
      <c r="A60" t="s">
        <v>225</v>
      </c>
      <c r="B60">
        <v>1545</v>
      </c>
      <c r="C60" s="1">
        <v>45769</v>
      </c>
      <c r="D60">
        <v>15378</v>
      </c>
      <c r="E60">
        <v>38439</v>
      </c>
      <c r="F60" s="1">
        <v>45398</v>
      </c>
      <c r="G60" t="s">
        <v>19</v>
      </c>
      <c r="H60" t="s">
        <v>13</v>
      </c>
      <c r="I60" t="s">
        <v>20</v>
      </c>
      <c r="J60">
        <v>4</v>
      </c>
    </row>
    <row r="61" spans="1:10" x14ac:dyDescent="0.35">
      <c r="A61" t="s">
        <v>226</v>
      </c>
      <c r="B61">
        <v>16180</v>
      </c>
      <c r="C61" s="1">
        <v>45799</v>
      </c>
      <c r="D61">
        <v>15720</v>
      </c>
      <c r="E61">
        <v>39249</v>
      </c>
      <c r="F61" s="1">
        <v>41611</v>
      </c>
      <c r="G61" t="s">
        <v>227</v>
      </c>
      <c r="H61" t="s">
        <v>13</v>
      </c>
      <c r="I61" t="s">
        <v>20</v>
      </c>
      <c r="J61">
        <v>5</v>
      </c>
    </row>
    <row r="62" spans="1:10" x14ac:dyDescent="0.35">
      <c r="A62" t="s">
        <v>469</v>
      </c>
      <c r="B62">
        <v>1905</v>
      </c>
      <c r="C62" s="1">
        <v>45946</v>
      </c>
      <c r="D62">
        <v>17536</v>
      </c>
      <c r="E62">
        <v>43273</v>
      </c>
      <c r="F62" s="1">
        <v>45656</v>
      </c>
      <c r="G62" t="s">
        <v>12</v>
      </c>
      <c r="H62" t="s">
        <v>13</v>
      </c>
      <c r="I62" t="s">
        <v>14</v>
      </c>
      <c r="J62">
        <v>10</v>
      </c>
    </row>
    <row r="63" spans="1:10" x14ac:dyDescent="0.35">
      <c r="A63" t="s">
        <v>61</v>
      </c>
      <c r="B63">
        <v>1545</v>
      </c>
      <c r="C63" s="1">
        <v>45961</v>
      </c>
      <c r="D63">
        <v>17630</v>
      </c>
      <c r="E63">
        <v>43390</v>
      </c>
      <c r="F63" s="1">
        <v>40187</v>
      </c>
      <c r="G63" t="s">
        <v>19</v>
      </c>
      <c r="H63" t="s">
        <v>27</v>
      </c>
      <c r="I63" t="s">
        <v>20</v>
      </c>
      <c r="J63">
        <v>10</v>
      </c>
    </row>
    <row r="64" spans="1:10" x14ac:dyDescent="0.35">
      <c r="A64" t="s">
        <v>61</v>
      </c>
      <c r="B64">
        <v>1545</v>
      </c>
      <c r="C64" s="1">
        <v>45663</v>
      </c>
      <c r="D64">
        <v>13765</v>
      </c>
      <c r="E64">
        <v>35119</v>
      </c>
      <c r="F64" s="1">
        <v>40187</v>
      </c>
      <c r="G64" t="s">
        <v>19</v>
      </c>
      <c r="H64" t="s">
        <v>27</v>
      </c>
      <c r="I64" t="s">
        <v>20</v>
      </c>
      <c r="J64">
        <v>1</v>
      </c>
    </row>
    <row r="65" spans="1:10" x14ac:dyDescent="0.35">
      <c r="A65" t="s">
        <v>228</v>
      </c>
      <c r="B65">
        <v>1905</v>
      </c>
      <c r="C65" s="1">
        <v>45804</v>
      </c>
      <c r="D65">
        <v>15734</v>
      </c>
      <c r="E65">
        <v>39263</v>
      </c>
      <c r="F65" s="1">
        <v>43304</v>
      </c>
      <c r="G65" t="s">
        <v>0</v>
      </c>
      <c r="H65" t="s">
        <v>13</v>
      </c>
      <c r="I65" t="s">
        <v>14</v>
      </c>
      <c r="J65">
        <v>5</v>
      </c>
    </row>
    <row r="66" spans="1:10" x14ac:dyDescent="0.35">
      <c r="A66" t="s">
        <v>417</v>
      </c>
      <c r="B66">
        <v>775</v>
      </c>
      <c r="C66" s="1">
        <v>45901</v>
      </c>
      <c r="D66">
        <v>16990</v>
      </c>
      <c r="E66">
        <v>42518</v>
      </c>
      <c r="F66" s="1">
        <v>44825</v>
      </c>
      <c r="G66" t="s">
        <v>17</v>
      </c>
      <c r="H66" t="s">
        <v>17</v>
      </c>
      <c r="I66" t="s">
        <v>18</v>
      </c>
      <c r="J66">
        <v>9</v>
      </c>
    </row>
    <row r="67" spans="1:10" x14ac:dyDescent="0.35">
      <c r="A67" t="s">
        <v>229</v>
      </c>
      <c r="B67">
        <v>23375</v>
      </c>
      <c r="C67" s="1">
        <v>45782</v>
      </c>
      <c r="D67">
        <v>15533</v>
      </c>
      <c r="E67">
        <v>38901</v>
      </c>
      <c r="F67" s="1">
        <v>45782</v>
      </c>
      <c r="G67" t="s">
        <v>19</v>
      </c>
      <c r="H67" t="s">
        <v>13</v>
      </c>
      <c r="I67" t="s">
        <v>20</v>
      </c>
      <c r="J67">
        <v>5</v>
      </c>
    </row>
    <row r="68" spans="1:10" x14ac:dyDescent="0.35">
      <c r="A68" t="s">
        <v>366</v>
      </c>
      <c r="B68">
        <v>2680</v>
      </c>
      <c r="C68" s="1">
        <v>45869</v>
      </c>
      <c r="D68">
        <v>16451</v>
      </c>
      <c r="E68">
        <v>40596</v>
      </c>
      <c r="F68" s="1">
        <v>33832</v>
      </c>
      <c r="G68" t="s">
        <v>1</v>
      </c>
      <c r="H68" t="s">
        <v>13</v>
      </c>
      <c r="I68" t="s">
        <v>20</v>
      </c>
      <c r="J68">
        <v>7</v>
      </c>
    </row>
    <row r="69" spans="1:10" x14ac:dyDescent="0.35">
      <c r="A69" t="s">
        <v>367</v>
      </c>
      <c r="B69">
        <v>5460</v>
      </c>
      <c r="C69" s="1">
        <v>45845</v>
      </c>
      <c r="D69">
        <v>16171</v>
      </c>
      <c r="E69">
        <v>39935</v>
      </c>
      <c r="F69" s="1">
        <v>40219</v>
      </c>
      <c r="G69" t="s">
        <v>12</v>
      </c>
      <c r="H69" t="s">
        <v>13</v>
      </c>
      <c r="I69" t="s">
        <v>20</v>
      </c>
      <c r="J69">
        <v>7</v>
      </c>
    </row>
    <row r="70" spans="1:10" x14ac:dyDescent="0.35">
      <c r="A70" t="s">
        <v>368</v>
      </c>
      <c r="B70">
        <v>5460</v>
      </c>
      <c r="C70" s="1">
        <v>45867</v>
      </c>
      <c r="D70">
        <v>16439</v>
      </c>
      <c r="E70">
        <v>40560</v>
      </c>
      <c r="F70" s="1">
        <v>41495</v>
      </c>
      <c r="G70" t="s">
        <v>12</v>
      </c>
      <c r="H70" t="s">
        <v>332</v>
      </c>
      <c r="I70" t="s">
        <v>20</v>
      </c>
      <c r="J70">
        <v>7</v>
      </c>
    </row>
    <row r="71" spans="1:10" x14ac:dyDescent="0.35">
      <c r="A71" t="s">
        <v>418</v>
      </c>
      <c r="B71">
        <v>775</v>
      </c>
      <c r="C71" s="1">
        <v>45900</v>
      </c>
      <c r="D71">
        <v>16981</v>
      </c>
      <c r="E71">
        <v>42502</v>
      </c>
      <c r="F71" s="1">
        <v>45900</v>
      </c>
      <c r="G71" t="s">
        <v>17</v>
      </c>
      <c r="H71" t="s">
        <v>13</v>
      </c>
      <c r="I71" t="s">
        <v>18</v>
      </c>
      <c r="J71">
        <v>8</v>
      </c>
    </row>
    <row r="72" spans="1:10" x14ac:dyDescent="0.35">
      <c r="A72" t="s">
        <v>91</v>
      </c>
      <c r="B72">
        <v>9990</v>
      </c>
      <c r="C72" s="1">
        <v>45666</v>
      </c>
      <c r="D72">
        <v>13902</v>
      </c>
      <c r="E72">
        <v>35282</v>
      </c>
      <c r="F72" s="1">
        <v>39983</v>
      </c>
      <c r="G72" t="s">
        <v>1</v>
      </c>
      <c r="H72" t="s">
        <v>13</v>
      </c>
      <c r="I72" t="s">
        <v>20</v>
      </c>
      <c r="J72">
        <v>1</v>
      </c>
    </row>
    <row r="73" spans="1:10" x14ac:dyDescent="0.35">
      <c r="A73" t="s">
        <v>319</v>
      </c>
      <c r="B73">
        <v>775</v>
      </c>
      <c r="C73" s="1">
        <v>45813</v>
      </c>
      <c r="D73">
        <v>15813</v>
      </c>
      <c r="E73">
        <v>39387</v>
      </c>
      <c r="F73" s="1">
        <v>40786</v>
      </c>
      <c r="G73" t="s">
        <v>1</v>
      </c>
      <c r="H73" t="s">
        <v>13</v>
      </c>
      <c r="I73" t="s">
        <v>18</v>
      </c>
      <c r="J73">
        <v>6</v>
      </c>
    </row>
    <row r="74" spans="1:10" x14ac:dyDescent="0.35">
      <c r="A74" t="s">
        <v>419</v>
      </c>
      <c r="B74">
        <v>775</v>
      </c>
      <c r="C74" s="1">
        <v>45891</v>
      </c>
      <c r="D74">
        <v>16857</v>
      </c>
      <c r="E74">
        <v>42301</v>
      </c>
      <c r="F74" s="1">
        <v>45891</v>
      </c>
      <c r="G74" t="s">
        <v>17</v>
      </c>
      <c r="H74" t="s">
        <v>17</v>
      </c>
      <c r="I74" t="s">
        <v>18</v>
      </c>
      <c r="J74">
        <v>8</v>
      </c>
    </row>
    <row r="75" spans="1:10" x14ac:dyDescent="0.35">
      <c r="A75" t="s">
        <v>320</v>
      </c>
      <c r="B75">
        <v>2370</v>
      </c>
      <c r="C75" s="1">
        <v>45816</v>
      </c>
      <c r="D75">
        <v>15832</v>
      </c>
      <c r="E75">
        <v>39409</v>
      </c>
      <c r="F75" s="1">
        <v>40863</v>
      </c>
      <c r="G75" t="s">
        <v>19</v>
      </c>
      <c r="H75" t="s">
        <v>13</v>
      </c>
      <c r="I75" t="s">
        <v>20</v>
      </c>
      <c r="J75">
        <v>6</v>
      </c>
    </row>
    <row r="76" spans="1:10" x14ac:dyDescent="0.35">
      <c r="A76" t="s">
        <v>49</v>
      </c>
      <c r="B76">
        <v>16175</v>
      </c>
      <c r="C76" s="1">
        <v>45671</v>
      </c>
      <c r="D76">
        <v>14075</v>
      </c>
      <c r="E76">
        <v>35519</v>
      </c>
      <c r="F76" s="1">
        <v>40179</v>
      </c>
      <c r="G76" t="s">
        <v>19</v>
      </c>
      <c r="H76" t="s">
        <v>13</v>
      </c>
      <c r="I76" t="s">
        <v>20</v>
      </c>
      <c r="J76">
        <v>1</v>
      </c>
    </row>
    <row r="77" spans="1:10" x14ac:dyDescent="0.35">
      <c r="A77" t="s">
        <v>230</v>
      </c>
      <c r="B77">
        <v>9685</v>
      </c>
      <c r="C77" s="1">
        <v>45799</v>
      </c>
      <c r="D77">
        <v>15719</v>
      </c>
      <c r="E77">
        <v>39248</v>
      </c>
      <c r="F77" s="1">
        <v>40665</v>
      </c>
      <c r="G77" t="s">
        <v>19</v>
      </c>
      <c r="H77" t="s">
        <v>13</v>
      </c>
      <c r="I77" t="s">
        <v>20</v>
      </c>
      <c r="J77">
        <v>5</v>
      </c>
    </row>
    <row r="78" spans="1:10" x14ac:dyDescent="0.35">
      <c r="A78" t="s">
        <v>92</v>
      </c>
      <c r="B78">
        <v>1545</v>
      </c>
      <c r="C78" s="1">
        <v>45684</v>
      </c>
      <c r="D78">
        <v>14244</v>
      </c>
      <c r="E78">
        <v>35754</v>
      </c>
      <c r="F78" s="1">
        <v>45684</v>
      </c>
      <c r="G78" t="s">
        <v>19</v>
      </c>
      <c r="H78" t="s">
        <v>13</v>
      </c>
      <c r="I78" t="s">
        <v>20</v>
      </c>
      <c r="J78">
        <v>1</v>
      </c>
    </row>
    <row r="79" spans="1:10" x14ac:dyDescent="0.35">
      <c r="A79" t="s">
        <v>420</v>
      </c>
      <c r="B79">
        <v>23375</v>
      </c>
      <c r="C79" s="1">
        <v>45897</v>
      </c>
      <c r="D79">
        <v>16964</v>
      </c>
      <c r="E79">
        <v>42479</v>
      </c>
      <c r="F79" s="1">
        <v>44235</v>
      </c>
      <c r="G79" t="s">
        <v>19</v>
      </c>
      <c r="H79" t="s">
        <v>13</v>
      </c>
      <c r="I79" t="s">
        <v>20</v>
      </c>
      <c r="J79">
        <v>8</v>
      </c>
    </row>
    <row r="80" spans="1:10" x14ac:dyDescent="0.35">
      <c r="A80" t="s">
        <v>125</v>
      </c>
      <c r="B80">
        <v>1905</v>
      </c>
      <c r="C80" s="1">
        <v>45715</v>
      </c>
      <c r="D80">
        <v>14617</v>
      </c>
      <c r="E80">
        <v>36333</v>
      </c>
      <c r="F80" s="1">
        <v>44054</v>
      </c>
      <c r="G80" t="s">
        <v>0</v>
      </c>
      <c r="H80" t="s">
        <v>13</v>
      </c>
      <c r="I80" t="s">
        <v>14</v>
      </c>
      <c r="J80">
        <v>2</v>
      </c>
    </row>
    <row r="81" spans="1:10" x14ac:dyDescent="0.35">
      <c r="A81" t="s">
        <v>369</v>
      </c>
      <c r="B81">
        <v>2990</v>
      </c>
      <c r="C81" s="1">
        <v>45855</v>
      </c>
      <c r="D81">
        <v>16286</v>
      </c>
      <c r="E81">
        <v>40200</v>
      </c>
      <c r="F81" s="1">
        <v>34751</v>
      </c>
      <c r="G81" t="s">
        <v>19</v>
      </c>
      <c r="H81" t="s">
        <v>13</v>
      </c>
      <c r="I81" t="s">
        <v>14</v>
      </c>
      <c r="J81">
        <v>7</v>
      </c>
    </row>
    <row r="82" spans="1:10" x14ac:dyDescent="0.35">
      <c r="A82" t="s">
        <v>501</v>
      </c>
      <c r="B82">
        <v>7210</v>
      </c>
      <c r="C82" s="1">
        <v>45985</v>
      </c>
      <c r="D82">
        <v>17824</v>
      </c>
      <c r="E82">
        <v>43589</v>
      </c>
      <c r="F82" s="1">
        <v>40779</v>
      </c>
      <c r="G82" t="s">
        <v>1</v>
      </c>
      <c r="H82" t="s">
        <v>13</v>
      </c>
      <c r="I82" t="s">
        <v>20</v>
      </c>
      <c r="J82">
        <v>11</v>
      </c>
    </row>
    <row r="83" spans="1:10" x14ac:dyDescent="0.35">
      <c r="A83" t="s">
        <v>93</v>
      </c>
      <c r="B83">
        <v>3400</v>
      </c>
      <c r="C83" s="1">
        <v>45671</v>
      </c>
      <c r="D83">
        <v>14073</v>
      </c>
      <c r="E83">
        <v>35517</v>
      </c>
      <c r="F83" s="1">
        <v>40960</v>
      </c>
      <c r="G83" t="s">
        <v>12</v>
      </c>
      <c r="H83" t="s">
        <v>13</v>
      </c>
      <c r="I83" t="s">
        <v>14</v>
      </c>
      <c r="J83">
        <v>1</v>
      </c>
    </row>
    <row r="84" spans="1:10" x14ac:dyDescent="0.35">
      <c r="A84" t="s">
        <v>93</v>
      </c>
      <c r="B84">
        <v>3400</v>
      </c>
      <c r="C84" s="1">
        <v>45975</v>
      </c>
      <c r="D84">
        <v>17728</v>
      </c>
      <c r="E84">
        <v>43490</v>
      </c>
      <c r="F84" s="1">
        <v>40960</v>
      </c>
      <c r="G84" t="s">
        <v>12</v>
      </c>
      <c r="H84" t="s">
        <v>13</v>
      </c>
      <c r="I84" t="s">
        <v>14</v>
      </c>
      <c r="J84">
        <v>11</v>
      </c>
    </row>
    <row r="85" spans="1:10" x14ac:dyDescent="0.35">
      <c r="A85" t="s">
        <v>321</v>
      </c>
      <c r="B85">
        <v>2680</v>
      </c>
      <c r="C85" s="1">
        <v>45821</v>
      </c>
      <c r="D85">
        <v>15903</v>
      </c>
      <c r="E85">
        <v>39530</v>
      </c>
      <c r="F85" s="1">
        <v>39878</v>
      </c>
      <c r="G85" t="s">
        <v>12</v>
      </c>
      <c r="H85" t="s">
        <v>13</v>
      </c>
      <c r="I85" t="s">
        <v>20</v>
      </c>
      <c r="J85">
        <v>6</v>
      </c>
    </row>
    <row r="86" spans="1:10" x14ac:dyDescent="0.35">
      <c r="A86" t="s">
        <v>470</v>
      </c>
      <c r="B86">
        <v>38100</v>
      </c>
      <c r="C86" s="1">
        <v>45938</v>
      </c>
      <c r="D86">
        <v>17460</v>
      </c>
      <c r="E86">
        <v>43195</v>
      </c>
      <c r="F86" s="1">
        <v>40260</v>
      </c>
      <c r="G86" t="s">
        <v>19</v>
      </c>
      <c r="H86" t="s">
        <v>13</v>
      </c>
      <c r="I86" t="s">
        <v>23</v>
      </c>
      <c r="J86">
        <v>10</v>
      </c>
    </row>
    <row r="87" spans="1:10" x14ac:dyDescent="0.35">
      <c r="A87" t="s">
        <v>502</v>
      </c>
      <c r="B87">
        <v>1905</v>
      </c>
      <c r="C87" s="1">
        <v>45978</v>
      </c>
      <c r="D87">
        <v>17739</v>
      </c>
      <c r="E87">
        <v>43502</v>
      </c>
      <c r="F87" s="1">
        <v>40947</v>
      </c>
      <c r="G87" t="s">
        <v>12</v>
      </c>
      <c r="H87" t="s">
        <v>13</v>
      </c>
      <c r="I87" t="s">
        <v>14</v>
      </c>
      <c r="J87">
        <v>11</v>
      </c>
    </row>
    <row r="88" spans="1:10" x14ac:dyDescent="0.35">
      <c r="A88" t="s">
        <v>94</v>
      </c>
      <c r="B88">
        <v>7210</v>
      </c>
      <c r="C88" s="1">
        <v>45670</v>
      </c>
      <c r="D88">
        <v>14070</v>
      </c>
      <c r="E88">
        <v>35509</v>
      </c>
      <c r="F88" s="1">
        <v>45168</v>
      </c>
      <c r="G88" t="s">
        <v>1</v>
      </c>
      <c r="H88" t="s">
        <v>13</v>
      </c>
      <c r="I88" t="s">
        <v>20</v>
      </c>
      <c r="J88">
        <v>1</v>
      </c>
    </row>
    <row r="89" spans="1:10" x14ac:dyDescent="0.35">
      <c r="A89" t="s">
        <v>451</v>
      </c>
      <c r="B89">
        <v>75</v>
      </c>
      <c r="C89" s="1">
        <v>45912</v>
      </c>
      <c r="D89">
        <v>17201</v>
      </c>
      <c r="E89">
        <v>42899</v>
      </c>
      <c r="F89" s="1">
        <v>45912</v>
      </c>
      <c r="G89" t="s">
        <v>17</v>
      </c>
      <c r="H89" t="s">
        <v>258</v>
      </c>
      <c r="I89" t="s">
        <v>181</v>
      </c>
      <c r="J89">
        <v>9</v>
      </c>
    </row>
    <row r="90" spans="1:10" x14ac:dyDescent="0.35">
      <c r="A90" t="s">
        <v>126</v>
      </c>
      <c r="B90">
        <v>100</v>
      </c>
      <c r="C90" s="1">
        <v>45704</v>
      </c>
      <c r="D90">
        <v>14470</v>
      </c>
      <c r="E90">
        <v>36075</v>
      </c>
      <c r="F90" s="1">
        <v>44959</v>
      </c>
      <c r="G90" t="s">
        <v>17</v>
      </c>
      <c r="H90" t="s">
        <v>13</v>
      </c>
      <c r="I90" t="s">
        <v>30</v>
      </c>
      <c r="J90">
        <v>2</v>
      </c>
    </row>
    <row r="91" spans="1:10" x14ac:dyDescent="0.35">
      <c r="A91" t="s">
        <v>95</v>
      </c>
      <c r="B91">
        <v>775</v>
      </c>
      <c r="C91" s="1">
        <v>45671</v>
      </c>
      <c r="D91">
        <v>14048</v>
      </c>
      <c r="E91">
        <v>35481</v>
      </c>
      <c r="F91" s="1">
        <v>45670</v>
      </c>
      <c r="G91" t="s">
        <v>17</v>
      </c>
      <c r="H91" t="s">
        <v>17</v>
      </c>
      <c r="I91" t="s">
        <v>18</v>
      </c>
      <c r="J91">
        <v>1</v>
      </c>
    </row>
    <row r="92" spans="1:10" x14ac:dyDescent="0.35">
      <c r="A92" t="s">
        <v>127</v>
      </c>
      <c r="B92">
        <v>1545</v>
      </c>
      <c r="C92" s="1">
        <v>45706</v>
      </c>
      <c r="D92">
        <v>14505</v>
      </c>
      <c r="E92">
        <v>36131</v>
      </c>
      <c r="F92" s="1">
        <v>41137</v>
      </c>
      <c r="G92" t="s">
        <v>19</v>
      </c>
      <c r="H92" t="s">
        <v>128</v>
      </c>
      <c r="I92" t="s">
        <v>20</v>
      </c>
      <c r="J92">
        <v>2</v>
      </c>
    </row>
    <row r="93" spans="1:10" x14ac:dyDescent="0.35">
      <c r="A93" t="s">
        <v>35</v>
      </c>
      <c r="B93">
        <v>775</v>
      </c>
      <c r="C93" s="1">
        <v>45686</v>
      </c>
      <c r="D93">
        <v>14285</v>
      </c>
      <c r="E93">
        <v>35820</v>
      </c>
      <c r="F93" s="1">
        <v>45337</v>
      </c>
      <c r="G93" t="s">
        <v>17</v>
      </c>
      <c r="H93" t="s">
        <v>22</v>
      </c>
      <c r="I93" t="s">
        <v>18</v>
      </c>
      <c r="J93">
        <v>1</v>
      </c>
    </row>
    <row r="94" spans="1:10" x14ac:dyDescent="0.35">
      <c r="A94" t="s">
        <v>129</v>
      </c>
      <c r="B94">
        <v>775</v>
      </c>
      <c r="C94" s="1">
        <v>45713</v>
      </c>
      <c r="D94">
        <v>14577</v>
      </c>
      <c r="E94">
        <v>36245</v>
      </c>
      <c r="F94" s="1">
        <v>45518</v>
      </c>
      <c r="G94" t="s">
        <v>17</v>
      </c>
      <c r="H94" t="s">
        <v>17</v>
      </c>
      <c r="I94" t="s">
        <v>18</v>
      </c>
      <c r="J94">
        <v>2</v>
      </c>
    </row>
    <row r="95" spans="1:10" x14ac:dyDescent="0.35">
      <c r="A95" t="s">
        <v>503</v>
      </c>
      <c r="B95">
        <v>1545</v>
      </c>
      <c r="C95" s="1">
        <v>45987</v>
      </c>
      <c r="D95">
        <v>17842</v>
      </c>
      <c r="E95">
        <v>43607</v>
      </c>
      <c r="F95" s="1">
        <v>41143</v>
      </c>
      <c r="G95" t="s">
        <v>19</v>
      </c>
      <c r="H95" t="s">
        <v>13</v>
      </c>
      <c r="I95" t="s">
        <v>20</v>
      </c>
      <c r="J95">
        <v>11</v>
      </c>
    </row>
    <row r="96" spans="1:10" x14ac:dyDescent="0.35">
      <c r="A96" t="s">
        <v>168</v>
      </c>
      <c r="B96">
        <v>775</v>
      </c>
      <c r="C96" s="1">
        <v>45742</v>
      </c>
      <c r="D96">
        <v>14963</v>
      </c>
      <c r="E96">
        <v>36964</v>
      </c>
      <c r="F96" s="1">
        <v>44980</v>
      </c>
      <c r="G96" t="s">
        <v>0</v>
      </c>
      <c r="H96" t="s">
        <v>13</v>
      </c>
      <c r="I96" t="s">
        <v>18</v>
      </c>
      <c r="J96">
        <v>3</v>
      </c>
    </row>
    <row r="97" spans="1:10" x14ac:dyDescent="0.35">
      <c r="A97" t="s">
        <v>452</v>
      </c>
      <c r="B97">
        <v>1545</v>
      </c>
      <c r="C97" s="1">
        <v>45929</v>
      </c>
      <c r="D97">
        <v>17383</v>
      </c>
      <c r="E97">
        <v>43114</v>
      </c>
      <c r="F97" s="1">
        <v>45184</v>
      </c>
      <c r="G97" t="s">
        <v>19</v>
      </c>
      <c r="H97" t="s">
        <v>13</v>
      </c>
      <c r="I97" t="s">
        <v>20</v>
      </c>
      <c r="J97">
        <v>9</v>
      </c>
    </row>
    <row r="98" spans="1:10" x14ac:dyDescent="0.35">
      <c r="A98" t="s">
        <v>471</v>
      </c>
      <c r="B98">
        <v>1545</v>
      </c>
      <c r="C98" s="1">
        <v>45937</v>
      </c>
      <c r="D98">
        <v>17450</v>
      </c>
      <c r="E98">
        <v>43185</v>
      </c>
      <c r="F98" s="1">
        <v>43039</v>
      </c>
      <c r="G98" t="s">
        <v>12</v>
      </c>
      <c r="H98" t="s">
        <v>13</v>
      </c>
      <c r="I98" t="s">
        <v>20</v>
      </c>
      <c r="J98">
        <v>10</v>
      </c>
    </row>
    <row r="99" spans="1:10" x14ac:dyDescent="0.35">
      <c r="A99" t="s">
        <v>96</v>
      </c>
      <c r="B99">
        <v>775</v>
      </c>
      <c r="C99" s="1">
        <v>45688</v>
      </c>
      <c r="D99">
        <v>14307</v>
      </c>
      <c r="E99">
        <v>35843</v>
      </c>
      <c r="F99" s="1">
        <v>45688</v>
      </c>
      <c r="G99" t="s">
        <v>17</v>
      </c>
      <c r="H99" t="s">
        <v>97</v>
      </c>
      <c r="I99" t="s">
        <v>18</v>
      </c>
      <c r="J99">
        <v>1</v>
      </c>
    </row>
    <row r="100" spans="1:10" x14ac:dyDescent="0.35">
      <c r="A100" t="s">
        <v>504</v>
      </c>
      <c r="B100">
        <v>1905</v>
      </c>
      <c r="C100" s="1">
        <v>45982</v>
      </c>
      <c r="D100">
        <v>17819</v>
      </c>
      <c r="E100">
        <v>43584</v>
      </c>
      <c r="F100" s="1">
        <v>44911</v>
      </c>
      <c r="G100" t="s">
        <v>0</v>
      </c>
      <c r="H100" t="s">
        <v>27</v>
      </c>
      <c r="I100" t="s">
        <v>14</v>
      </c>
      <c r="J100">
        <v>11</v>
      </c>
    </row>
    <row r="101" spans="1:10" x14ac:dyDescent="0.35">
      <c r="A101" t="s">
        <v>322</v>
      </c>
      <c r="B101">
        <v>775</v>
      </c>
      <c r="C101" s="1">
        <v>45816</v>
      </c>
      <c r="D101">
        <v>15835</v>
      </c>
      <c r="E101">
        <v>39412</v>
      </c>
      <c r="F101" s="1">
        <v>45092</v>
      </c>
      <c r="G101" t="s">
        <v>17</v>
      </c>
      <c r="H101" t="s">
        <v>17</v>
      </c>
      <c r="I101" t="s">
        <v>18</v>
      </c>
      <c r="J101">
        <v>6</v>
      </c>
    </row>
    <row r="102" spans="1:10" x14ac:dyDescent="0.35">
      <c r="A102" t="s">
        <v>472</v>
      </c>
      <c r="B102">
        <v>2990</v>
      </c>
      <c r="C102" s="1">
        <v>45946</v>
      </c>
      <c r="D102">
        <v>17535</v>
      </c>
      <c r="E102">
        <v>43272</v>
      </c>
      <c r="F102" s="1">
        <v>44133</v>
      </c>
      <c r="G102" t="s">
        <v>0</v>
      </c>
      <c r="H102" t="s">
        <v>13</v>
      </c>
      <c r="I102" t="s">
        <v>14</v>
      </c>
      <c r="J102">
        <v>10</v>
      </c>
    </row>
    <row r="103" spans="1:10" x14ac:dyDescent="0.35">
      <c r="A103" t="s">
        <v>421</v>
      </c>
      <c r="B103">
        <v>1545</v>
      </c>
      <c r="C103" s="1">
        <v>45891</v>
      </c>
      <c r="D103">
        <v>16850</v>
      </c>
      <c r="E103">
        <v>42293</v>
      </c>
      <c r="F103" s="1">
        <v>41114</v>
      </c>
      <c r="G103" t="s">
        <v>19</v>
      </c>
      <c r="H103" t="s">
        <v>13</v>
      </c>
      <c r="I103" t="s">
        <v>20</v>
      </c>
      <c r="J103">
        <v>8</v>
      </c>
    </row>
    <row r="104" spans="1:10" x14ac:dyDescent="0.35">
      <c r="A104" t="s">
        <v>422</v>
      </c>
      <c r="B104">
        <v>1905</v>
      </c>
      <c r="C104" s="1">
        <v>45902</v>
      </c>
      <c r="D104">
        <v>17002</v>
      </c>
      <c r="E104">
        <v>42531</v>
      </c>
      <c r="F104" s="1">
        <v>43711</v>
      </c>
      <c r="G104" t="s">
        <v>0</v>
      </c>
      <c r="H104" t="s">
        <v>13</v>
      </c>
      <c r="I104" t="s">
        <v>14</v>
      </c>
      <c r="J104">
        <v>9</v>
      </c>
    </row>
    <row r="105" spans="1:10" x14ac:dyDescent="0.35">
      <c r="A105" t="s">
        <v>323</v>
      </c>
      <c r="B105">
        <v>1545</v>
      </c>
      <c r="C105" s="1">
        <v>45817</v>
      </c>
      <c r="D105">
        <v>15847</v>
      </c>
      <c r="E105">
        <v>39444</v>
      </c>
      <c r="F105" s="1">
        <v>43195</v>
      </c>
      <c r="G105" t="s">
        <v>19</v>
      </c>
      <c r="H105" t="s">
        <v>13</v>
      </c>
      <c r="I105" t="s">
        <v>20</v>
      </c>
      <c r="J105">
        <v>6</v>
      </c>
    </row>
    <row r="106" spans="1:10" x14ac:dyDescent="0.35">
      <c r="A106" t="s">
        <v>423</v>
      </c>
      <c r="B106">
        <v>775</v>
      </c>
      <c r="C106" s="1">
        <v>45903</v>
      </c>
      <c r="D106">
        <v>17023</v>
      </c>
      <c r="E106">
        <v>42566</v>
      </c>
      <c r="F106" s="1">
        <v>44078</v>
      </c>
      <c r="G106" t="s">
        <v>17</v>
      </c>
      <c r="H106" t="s">
        <v>17</v>
      </c>
      <c r="I106" t="s">
        <v>18</v>
      </c>
      <c r="J106">
        <v>9</v>
      </c>
    </row>
    <row r="107" spans="1:10" x14ac:dyDescent="0.35">
      <c r="A107" t="s">
        <v>98</v>
      </c>
      <c r="B107">
        <v>775</v>
      </c>
      <c r="C107" s="1">
        <v>45677</v>
      </c>
      <c r="D107">
        <v>14135</v>
      </c>
      <c r="E107">
        <v>35601</v>
      </c>
      <c r="F107" s="1">
        <v>45676</v>
      </c>
      <c r="G107" t="s">
        <v>17</v>
      </c>
      <c r="H107" t="s">
        <v>13</v>
      </c>
      <c r="I107" t="s">
        <v>18</v>
      </c>
      <c r="J107">
        <v>1</v>
      </c>
    </row>
    <row r="108" spans="1:10" x14ac:dyDescent="0.35">
      <c r="A108" t="s">
        <v>473</v>
      </c>
      <c r="B108">
        <v>775</v>
      </c>
      <c r="C108" s="1">
        <v>45933</v>
      </c>
      <c r="D108">
        <v>17421</v>
      </c>
      <c r="E108">
        <v>43156</v>
      </c>
      <c r="F108" s="1">
        <v>45933</v>
      </c>
      <c r="G108" t="s">
        <v>17</v>
      </c>
      <c r="H108" t="s">
        <v>13</v>
      </c>
      <c r="I108" t="s">
        <v>18</v>
      </c>
      <c r="J108">
        <v>10</v>
      </c>
    </row>
    <row r="109" spans="1:10" x14ac:dyDescent="0.35">
      <c r="A109" t="s">
        <v>505</v>
      </c>
      <c r="B109">
        <v>23700</v>
      </c>
      <c r="C109" s="1">
        <v>45980</v>
      </c>
      <c r="D109">
        <v>17788</v>
      </c>
      <c r="E109">
        <v>43552</v>
      </c>
      <c r="F109" s="1">
        <v>41299</v>
      </c>
      <c r="G109" t="s">
        <v>227</v>
      </c>
      <c r="H109" t="s">
        <v>13</v>
      </c>
      <c r="I109" t="s">
        <v>20</v>
      </c>
      <c r="J109">
        <v>11</v>
      </c>
    </row>
    <row r="110" spans="1:10" x14ac:dyDescent="0.35">
      <c r="A110" t="s">
        <v>231</v>
      </c>
      <c r="B110">
        <v>2370</v>
      </c>
      <c r="C110" s="1">
        <v>45807</v>
      </c>
      <c r="D110">
        <v>15759</v>
      </c>
      <c r="E110">
        <v>39307</v>
      </c>
      <c r="F110" s="1">
        <v>42869</v>
      </c>
      <c r="G110" t="s">
        <v>0</v>
      </c>
      <c r="H110" t="s">
        <v>13</v>
      </c>
      <c r="I110" t="s">
        <v>20</v>
      </c>
      <c r="J110">
        <v>5</v>
      </c>
    </row>
    <row r="111" spans="1:10" x14ac:dyDescent="0.35">
      <c r="A111" t="s">
        <v>370</v>
      </c>
      <c r="B111">
        <v>775</v>
      </c>
      <c r="C111" s="1">
        <v>45869</v>
      </c>
      <c r="D111">
        <v>16458</v>
      </c>
      <c r="E111">
        <v>40632</v>
      </c>
      <c r="F111" s="1">
        <v>41452</v>
      </c>
      <c r="G111" t="s">
        <v>0</v>
      </c>
      <c r="H111" t="s">
        <v>13</v>
      </c>
      <c r="I111" t="s">
        <v>18</v>
      </c>
      <c r="J111">
        <v>7</v>
      </c>
    </row>
    <row r="112" spans="1:10" x14ac:dyDescent="0.35">
      <c r="A112" t="s">
        <v>371</v>
      </c>
      <c r="B112">
        <v>5770</v>
      </c>
      <c r="C112" s="1">
        <v>45861</v>
      </c>
      <c r="D112">
        <v>16349</v>
      </c>
      <c r="E112">
        <v>40353</v>
      </c>
      <c r="F112" s="1">
        <v>44126</v>
      </c>
      <c r="G112" t="s">
        <v>19</v>
      </c>
      <c r="H112" t="s">
        <v>13</v>
      </c>
      <c r="I112" t="s">
        <v>20</v>
      </c>
      <c r="J112">
        <v>7</v>
      </c>
    </row>
    <row r="113" spans="1:10" x14ac:dyDescent="0.35">
      <c r="A113" t="s">
        <v>424</v>
      </c>
      <c r="B113">
        <v>36050</v>
      </c>
      <c r="C113" s="1">
        <v>45894</v>
      </c>
      <c r="D113">
        <v>16917</v>
      </c>
      <c r="E113">
        <v>42414</v>
      </c>
      <c r="F113" s="1">
        <v>40043</v>
      </c>
      <c r="G113" t="s">
        <v>12</v>
      </c>
      <c r="H113" t="s">
        <v>150</v>
      </c>
      <c r="I113" t="s">
        <v>23</v>
      </c>
      <c r="J113">
        <v>8</v>
      </c>
    </row>
    <row r="114" spans="1:10" x14ac:dyDescent="0.35">
      <c r="A114" t="s">
        <v>99</v>
      </c>
      <c r="B114">
        <v>775</v>
      </c>
      <c r="C114" s="1">
        <v>45669</v>
      </c>
      <c r="D114">
        <v>13977</v>
      </c>
      <c r="E114">
        <v>35369</v>
      </c>
      <c r="F114" s="1">
        <v>45669</v>
      </c>
      <c r="G114" t="s">
        <v>17</v>
      </c>
      <c r="H114" t="s">
        <v>17</v>
      </c>
      <c r="I114" t="s">
        <v>18</v>
      </c>
      <c r="J114">
        <v>1</v>
      </c>
    </row>
    <row r="115" spans="1:10" x14ac:dyDescent="0.35">
      <c r="A115" t="s">
        <v>324</v>
      </c>
      <c r="B115">
        <v>29250</v>
      </c>
      <c r="C115" s="1">
        <v>45833</v>
      </c>
      <c r="D115">
        <v>16005</v>
      </c>
      <c r="E115">
        <v>39713</v>
      </c>
      <c r="F115" s="1">
        <v>44265</v>
      </c>
      <c r="G115" t="s">
        <v>227</v>
      </c>
      <c r="H115" t="s">
        <v>13</v>
      </c>
      <c r="I115" t="s">
        <v>14</v>
      </c>
      <c r="J115">
        <v>6</v>
      </c>
    </row>
    <row r="116" spans="1:10" x14ac:dyDescent="0.35">
      <c r="A116" t="s">
        <v>232</v>
      </c>
      <c r="B116">
        <v>775</v>
      </c>
      <c r="C116" s="1">
        <v>45761</v>
      </c>
      <c r="D116">
        <v>15259</v>
      </c>
      <c r="E116">
        <v>37948</v>
      </c>
      <c r="F116" s="1">
        <v>45761</v>
      </c>
      <c r="G116" t="s">
        <v>17</v>
      </c>
      <c r="H116" t="s">
        <v>13</v>
      </c>
      <c r="I116" t="s">
        <v>18</v>
      </c>
      <c r="J116">
        <v>4</v>
      </c>
    </row>
    <row r="117" spans="1:10" x14ac:dyDescent="0.35">
      <c r="A117" t="s">
        <v>36</v>
      </c>
      <c r="B117">
        <v>1905</v>
      </c>
      <c r="C117" s="1">
        <v>45678</v>
      </c>
      <c r="D117">
        <v>14154</v>
      </c>
      <c r="E117">
        <v>35633</v>
      </c>
      <c r="F117" s="1">
        <v>45341</v>
      </c>
      <c r="G117" t="s">
        <v>19</v>
      </c>
      <c r="H117" t="s">
        <v>13</v>
      </c>
      <c r="I117" t="s">
        <v>14</v>
      </c>
      <c r="J117">
        <v>1</v>
      </c>
    </row>
    <row r="118" spans="1:10" x14ac:dyDescent="0.35">
      <c r="A118" t="s">
        <v>39</v>
      </c>
      <c r="B118">
        <v>9685</v>
      </c>
      <c r="C118" s="1">
        <v>45687</v>
      </c>
      <c r="D118">
        <v>14313</v>
      </c>
      <c r="E118">
        <v>35849</v>
      </c>
      <c r="F118" s="1">
        <v>42144</v>
      </c>
      <c r="G118" t="s">
        <v>19</v>
      </c>
      <c r="H118" t="s">
        <v>13</v>
      </c>
      <c r="I118" t="s">
        <v>20</v>
      </c>
      <c r="J118">
        <v>1</v>
      </c>
    </row>
    <row r="119" spans="1:10" x14ac:dyDescent="0.35">
      <c r="A119" t="s">
        <v>474</v>
      </c>
      <c r="B119">
        <v>2680</v>
      </c>
      <c r="C119" s="1">
        <v>45954</v>
      </c>
      <c r="D119">
        <v>17591</v>
      </c>
      <c r="E119">
        <v>43338</v>
      </c>
      <c r="F119" s="1">
        <v>41172</v>
      </c>
      <c r="G119" t="s">
        <v>12</v>
      </c>
      <c r="H119" t="s">
        <v>13</v>
      </c>
      <c r="I119" t="s">
        <v>20</v>
      </c>
      <c r="J119">
        <v>10</v>
      </c>
    </row>
    <row r="120" spans="1:10" x14ac:dyDescent="0.35">
      <c r="A120" t="s">
        <v>425</v>
      </c>
      <c r="B120">
        <v>775</v>
      </c>
      <c r="C120" s="1">
        <v>45870</v>
      </c>
      <c r="D120">
        <v>16471</v>
      </c>
      <c r="E120">
        <v>40655</v>
      </c>
      <c r="F120" s="1">
        <v>43711</v>
      </c>
      <c r="G120" t="s">
        <v>17</v>
      </c>
      <c r="H120" t="s">
        <v>17</v>
      </c>
      <c r="I120" t="s">
        <v>18</v>
      </c>
      <c r="J120">
        <v>8</v>
      </c>
    </row>
    <row r="121" spans="1:10" x14ac:dyDescent="0.35">
      <c r="A121" t="s">
        <v>475</v>
      </c>
      <c r="B121">
        <v>36050</v>
      </c>
      <c r="C121" s="1">
        <v>45940</v>
      </c>
      <c r="D121">
        <v>17491</v>
      </c>
      <c r="E121">
        <v>43226</v>
      </c>
      <c r="F121" s="1">
        <v>36985</v>
      </c>
      <c r="G121" t="s">
        <v>12</v>
      </c>
      <c r="H121" t="s">
        <v>13</v>
      </c>
      <c r="I121" t="s">
        <v>23</v>
      </c>
      <c r="J121">
        <v>10</v>
      </c>
    </row>
    <row r="122" spans="1:10" x14ac:dyDescent="0.35">
      <c r="A122" t="s">
        <v>476</v>
      </c>
      <c r="B122">
        <v>775</v>
      </c>
      <c r="C122" s="1">
        <v>45946</v>
      </c>
      <c r="D122">
        <v>17515</v>
      </c>
      <c r="E122">
        <v>43252</v>
      </c>
      <c r="F122" s="1">
        <v>44816</v>
      </c>
      <c r="G122" t="s">
        <v>17</v>
      </c>
      <c r="H122" t="s">
        <v>17</v>
      </c>
      <c r="I122" t="s">
        <v>18</v>
      </c>
      <c r="J122">
        <v>10</v>
      </c>
    </row>
    <row r="123" spans="1:10" x14ac:dyDescent="0.35">
      <c r="A123" t="s">
        <v>453</v>
      </c>
      <c r="B123">
        <v>1545</v>
      </c>
      <c r="C123" s="1">
        <v>45921</v>
      </c>
      <c r="D123">
        <v>17279</v>
      </c>
      <c r="E123">
        <v>43006</v>
      </c>
      <c r="F123" s="1">
        <v>45921</v>
      </c>
      <c r="G123" t="s">
        <v>19</v>
      </c>
      <c r="H123" t="s">
        <v>13</v>
      </c>
      <c r="I123" t="s">
        <v>20</v>
      </c>
      <c r="J123">
        <v>9</v>
      </c>
    </row>
    <row r="124" spans="1:10" x14ac:dyDescent="0.35">
      <c r="A124" t="s">
        <v>372</v>
      </c>
      <c r="B124">
        <v>23375</v>
      </c>
      <c r="C124" s="1">
        <v>45841</v>
      </c>
      <c r="D124">
        <v>16190</v>
      </c>
      <c r="E124">
        <v>39970</v>
      </c>
      <c r="F124" s="1">
        <v>37396</v>
      </c>
      <c r="G124" t="s">
        <v>19</v>
      </c>
      <c r="H124" t="s">
        <v>13</v>
      </c>
      <c r="I124" t="s">
        <v>20</v>
      </c>
      <c r="J124">
        <v>7</v>
      </c>
    </row>
    <row r="125" spans="1:10" x14ac:dyDescent="0.35">
      <c r="A125" t="s">
        <v>426</v>
      </c>
      <c r="B125">
        <v>1545</v>
      </c>
      <c r="C125" s="1">
        <v>45881</v>
      </c>
      <c r="D125">
        <v>16596</v>
      </c>
      <c r="E125">
        <v>41393</v>
      </c>
      <c r="F125" s="1">
        <v>42591</v>
      </c>
      <c r="G125" t="s">
        <v>12</v>
      </c>
      <c r="H125" t="s">
        <v>13</v>
      </c>
      <c r="I125" t="s">
        <v>20</v>
      </c>
      <c r="J125">
        <v>8</v>
      </c>
    </row>
    <row r="126" spans="1:10" x14ac:dyDescent="0.35">
      <c r="A126" t="s">
        <v>233</v>
      </c>
      <c r="B126">
        <v>775</v>
      </c>
      <c r="C126" s="1">
        <v>45803</v>
      </c>
      <c r="D126">
        <v>15729</v>
      </c>
      <c r="E126">
        <v>39258</v>
      </c>
      <c r="F126" s="1">
        <v>45803</v>
      </c>
      <c r="G126" t="s">
        <v>17</v>
      </c>
      <c r="H126" t="s">
        <v>17</v>
      </c>
      <c r="I126" t="s">
        <v>18</v>
      </c>
      <c r="J126">
        <v>5</v>
      </c>
    </row>
    <row r="127" spans="1:10" x14ac:dyDescent="0.35">
      <c r="A127" t="s">
        <v>169</v>
      </c>
      <c r="B127">
        <v>775</v>
      </c>
      <c r="C127" s="1">
        <v>45736</v>
      </c>
      <c r="D127">
        <v>14898</v>
      </c>
      <c r="E127">
        <v>36861</v>
      </c>
      <c r="F127" s="1">
        <v>45035</v>
      </c>
      <c r="G127" t="s">
        <v>17</v>
      </c>
      <c r="H127" t="s">
        <v>17</v>
      </c>
      <c r="I127" t="s">
        <v>18</v>
      </c>
      <c r="J127">
        <v>3</v>
      </c>
    </row>
    <row r="128" spans="1:10" x14ac:dyDescent="0.35">
      <c r="A128" t="s">
        <v>506</v>
      </c>
      <c r="B128">
        <v>100</v>
      </c>
      <c r="C128" s="1">
        <v>45982</v>
      </c>
      <c r="D128">
        <v>17801</v>
      </c>
      <c r="E128">
        <v>43565</v>
      </c>
      <c r="F128" s="1">
        <v>44582</v>
      </c>
      <c r="G128" t="s">
        <v>17</v>
      </c>
      <c r="H128" t="s">
        <v>13</v>
      </c>
      <c r="I128" t="s">
        <v>30</v>
      </c>
      <c r="J128">
        <v>11</v>
      </c>
    </row>
    <row r="129" spans="1:10" x14ac:dyDescent="0.35">
      <c r="A129" t="s">
        <v>454</v>
      </c>
      <c r="B129">
        <v>775</v>
      </c>
      <c r="C129" s="1">
        <v>45903</v>
      </c>
      <c r="D129">
        <v>17024</v>
      </c>
      <c r="E129">
        <v>42567</v>
      </c>
      <c r="F129" s="1">
        <v>45537</v>
      </c>
      <c r="G129" t="s">
        <v>17</v>
      </c>
      <c r="H129" t="s">
        <v>376</v>
      </c>
      <c r="I129" t="s">
        <v>18</v>
      </c>
      <c r="J129">
        <v>9</v>
      </c>
    </row>
    <row r="130" spans="1:10" x14ac:dyDescent="0.35">
      <c r="A130" t="s">
        <v>130</v>
      </c>
      <c r="B130">
        <v>1545</v>
      </c>
      <c r="C130" s="1">
        <v>45692</v>
      </c>
      <c r="D130">
        <v>14362</v>
      </c>
      <c r="E130">
        <v>35913</v>
      </c>
      <c r="F130" s="1">
        <v>44207</v>
      </c>
      <c r="G130" t="s">
        <v>0</v>
      </c>
      <c r="H130" t="s">
        <v>13</v>
      </c>
      <c r="I130" t="s">
        <v>20</v>
      </c>
      <c r="J130">
        <v>2</v>
      </c>
    </row>
    <row r="131" spans="1:10" x14ac:dyDescent="0.35">
      <c r="A131" t="s">
        <v>100</v>
      </c>
      <c r="B131">
        <v>775</v>
      </c>
      <c r="C131" s="1">
        <v>45665</v>
      </c>
      <c r="D131">
        <v>13825</v>
      </c>
      <c r="E131">
        <v>35194</v>
      </c>
      <c r="F131" s="1">
        <v>45665</v>
      </c>
      <c r="G131" t="s">
        <v>17</v>
      </c>
      <c r="H131" t="s">
        <v>17</v>
      </c>
      <c r="I131" t="s">
        <v>18</v>
      </c>
      <c r="J131">
        <v>1</v>
      </c>
    </row>
    <row r="132" spans="1:10" x14ac:dyDescent="0.35">
      <c r="A132" t="s">
        <v>101</v>
      </c>
      <c r="B132">
        <v>775</v>
      </c>
      <c r="C132" s="1">
        <v>45947</v>
      </c>
      <c r="D132">
        <v>17541</v>
      </c>
      <c r="E132">
        <v>43278</v>
      </c>
      <c r="F132" s="1">
        <v>45671</v>
      </c>
      <c r="G132" t="s">
        <v>17</v>
      </c>
      <c r="H132" t="s">
        <v>13</v>
      </c>
      <c r="I132" t="s">
        <v>18</v>
      </c>
      <c r="J132">
        <v>10</v>
      </c>
    </row>
    <row r="133" spans="1:10" x14ac:dyDescent="0.35">
      <c r="A133" t="s">
        <v>101</v>
      </c>
      <c r="B133">
        <v>775</v>
      </c>
      <c r="C133" s="1">
        <v>45671</v>
      </c>
      <c r="D133">
        <v>14069</v>
      </c>
      <c r="E133">
        <v>35508</v>
      </c>
      <c r="F133" s="1">
        <v>45671</v>
      </c>
      <c r="G133" t="s">
        <v>17</v>
      </c>
      <c r="H133" t="s">
        <v>13</v>
      </c>
      <c r="I133" t="s">
        <v>18</v>
      </c>
      <c r="J133">
        <v>1</v>
      </c>
    </row>
    <row r="134" spans="1:10" x14ac:dyDescent="0.35">
      <c r="A134" t="s">
        <v>373</v>
      </c>
      <c r="B134">
        <v>38100</v>
      </c>
      <c r="C134" s="1">
        <v>45863</v>
      </c>
      <c r="D134">
        <v>16398</v>
      </c>
      <c r="E134">
        <v>40484</v>
      </c>
      <c r="F134" s="1">
        <v>43402</v>
      </c>
      <c r="G134" t="s">
        <v>19</v>
      </c>
      <c r="H134" t="s">
        <v>13</v>
      </c>
      <c r="I134" t="s">
        <v>23</v>
      </c>
      <c r="J134">
        <v>7</v>
      </c>
    </row>
    <row r="135" spans="1:10" x14ac:dyDescent="0.35">
      <c r="A135" t="s">
        <v>455</v>
      </c>
      <c r="B135">
        <v>775</v>
      </c>
      <c r="C135" s="1">
        <v>45917</v>
      </c>
      <c r="D135">
        <v>17257</v>
      </c>
      <c r="E135">
        <v>42981</v>
      </c>
      <c r="F135" s="1">
        <v>45917</v>
      </c>
      <c r="G135" t="s">
        <v>17</v>
      </c>
      <c r="H135" t="s">
        <v>13</v>
      </c>
      <c r="I135" t="s">
        <v>18</v>
      </c>
      <c r="J135">
        <v>9</v>
      </c>
    </row>
    <row r="136" spans="1:10" x14ac:dyDescent="0.35">
      <c r="A136" t="s">
        <v>234</v>
      </c>
      <c r="B136">
        <v>16175</v>
      </c>
      <c r="C136" s="1">
        <v>45784</v>
      </c>
      <c r="D136">
        <v>15554</v>
      </c>
      <c r="E136">
        <v>38950</v>
      </c>
      <c r="F136" s="1">
        <v>41946</v>
      </c>
      <c r="G136" t="s">
        <v>19</v>
      </c>
      <c r="H136" t="s">
        <v>13</v>
      </c>
      <c r="I136" t="s">
        <v>20</v>
      </c>
      <c r="J136">
        <v>5</v>
      </c>
    </row>
    <row r="137" spans="1:10" x14ac:dyDescent="0.35">
      <c r="A137" t="s">
        <v>235</v>
      </c>
      <c r="B137">
        <v>21640</v>
      </c>
      <c r="C137" s="1">
        <v>45797</v>
      </c>
      <c r="D137">
        <v>15700</v>
      </c>
      <c r="E137">
        <v>39229</v>
      </c>
      <c r="F137" s="1">
        <v>45503</v>
      </c>
      <c r="G137" t="s">
        <v>227</v>
      </c>
      <c r="H137" t="s">
        <v>13</v>
      </c>
      <c r="I137" t="s">
        <v>23</v>
      </c>
      <c r="J137">
        <v>5</v>
      </c>
    </row>
    <row r="138" spans="1:10" x14ac:dyDescent="0.35">
      <c r="A138" t="s">
        <v>102</v>
      </c>
      <c r="B138">
        <v>1905</v>
      </c>
      <c r="C138" s="1">
        <v>45681</v>
      </c>
      <c r="D138">
        <v>14260</v>
      </c>
      <c r="E138">
        <v>35770</v>
      </c>
      <c r="F138" s="1">
        <v>40067</v>
      </c>
      <c r="G138" t="s">
        <v>12</v>
      </c>
      <c r="H138" t="s">
        <v>13</v>
      </c>
      <c r="I138" t="s">
        <v>14</v>
      </c>
      <c r="J138">
        <v>1</v>
      </c>
    </row>
    <row r="139" spans="1:10" x14ac:dyDescent="0.35">
      <c r="A139" t="s">
        <v>236</v>
      </c>
      <c r="B139">
        <v>1033</v>
      </c>
      <c r="C139" s="1">
        <v>45743</v>
      </c>
      <c r="D139">
        <v>15190</v>
      </c>
      <c r="E139">
        <v>37731</v>
      </c>
      <c r="F139" s="1">
        <v>36892</v>
      </c>
      <c r="G139" t="s">
        <v>17</v>
      </c>
      <c r="H139" t="s">
        <v>237</v>
      </c>
      <c r="I139" t="s">
        <v>133</v>
      </c>
      <c r="J139">
        <v>3</v>
      </c>
    </row>
    <row r="140" spans="1:10" x14ac:dyDescent="0.35">
      <c r="A140" t="s">
        <v>374</v>
      </c>
      <c r="B140">
        <v>22127.15</v>
      </c>
      <c r="C140" s="1">
        <v>45932</v>
      </c>
      <c r="D140">
        <v>17428</v>
      </c>
      <c r="E140">
        <v>43163</v>
      </c>
      <c r="F140" s="1">
        <v>35499</v>
      </c>
      <c r="G140" t="s">
        <v>17</v>
      </c>
      <c r="H140" t="s">
        <v>22</v>
      </c>
      <c r="I140" t="s">
        <v>133</v>
      </c>
      <c r="J140">
        <v>10</v>
      </c>
    </row>
    <row r="141" spans="1:10" x14ac:dyDescent="0.35">
      <c r="A141" t="s">
        <v>238</v>
      </c>
      <c r="B141">
        <v>10172.5</v>
      </c>
      <c r="C141" s="1">
        <v>45755</v>
      </c>
      <c r="D141">
        <v>15189</v>
      </c>
      <c r="E141">
        <v>37730</v>
      </c>
      <c r="F141" s="1">
        <v>39289</v>
      </c>
      <c r="G141" t="s">
        <v>17</v>
      </c>
      <c r="H141" t="s">
        <v>239</v>
      </c>
      <c r="I141" t="s">
        <v>133</v>
      </c>
      <c r="J141">
        <v>4</v>
      </c>
    </row>
    <row r="142" spans="1:10" x14ac:dyDescent="0.35">
      <c r="A142" t="s">
        <v>59</v>
      </c>
      <c r="B142">
        <v>1000</v>
      </c>
      <c r="C142" s="1">
        <v>45737</v>
      </c>
      <c r="D142">
        <v>14940</v>
      </c>
      <c r="E142">
        <v>36932</v>
      </c>
      <c r="F142" s="1">
        <v>43934</v>
      </c>
      <c r="G142" t="s">
        <v>17</v>
      </c>
      <c r="H142" t="s">
        <v>170</v>
      </c>
      <c r="I142" t="s">
        <v>133</v>
      </c>
      <c r="J142">
        <v>3</v>
      </c>
    </row>
    <row r="143" spans="1:10" x14ac:dyDescent="0.35">
      <c r="A143" t="s">
        <v>325</v>
      </c>
      <c r="B143">
        <v>1000</v>
      </c>
      <c r="C143" s="1">
        <v>45819</v>
      </c>
      <c r="D143">
        <v>15877</v>
      </c>
      <c r="E143">
        <v>39499</v>
      </c>
      <c r="F143" s="1">
        <v>37295</v>
      </c>
      <c r="G143" t="s">
        <v>17</v>
      </c>
      <c r="H143" t="s">
        <v>326</v>
      </c>
      <c r="I143" t="s">
        <v>133</v>
      </c>
      <c r="J143">
        <v>6</v>
      </c>
    </row>
    <row r="144" spans="1:10" x14ac:dyDescent="0.35">
      <c r="A144" t="s">
        <v>171</v>
      </c>
      <c r="B144">
        <v>2033</v>
      </c>
      <c r="C144" s="1">
        <v>45741</v>
      </c>
      <c r="D144">
        <v>14966</v>
      </c>
      <c r="E144">
        <v>36976</v>
      </c>
      <c r="F144" s="1">
        <v>35125</v>
      </c>
      <c r="G144" t="s">
        <v>17</v>
      </c>
      <c r="H144" t="s">
        <v>27</v>
      </c>
      <c r="I144" t="s">
        <v>133</v>
      </c>
      <c r="J144">
        <v>3</v>
      </c>
    </row>
    <row r="145" spans="1:10" x14ac:dyDescent="0.35">
      <c r="A145" t="s">
        <v>28</v>
      </c>
      <c r="B145">
        <v>1000</v>
      </c>
      <c r="C145" s="1">
        <v>45748</v>
      </c>
      <c r="D145">
        <v>15066</v>
      </c>
      <c r="E145">
        <v>37189</v>
      </c>
      <c r="F145" s="1">
        <v>43739</v>
      </c>
      <c r="G145" t="s">
        <v>17</v>
      </c>
      <c r="H145" t="s">
        <v>172</v>
      </c>
      <c r="I145" t="s">
        <v>133</v>
      </c>
      <c r="J145">
        <v>4</v>
      </c>
    </row>
    <row r="146" spans="1:10" x14ac:dyDescent="0.35">
      <c r="A146" t="s">
        <v>50</v>
      </c>
      <c r="B146">
        <v>1000</v>
      </c>
      <c r="C146" s="1">
        <v>45736</v>
      </c>
      <c r="D146">
        <v>14895</v>
      </c>
      <c r="E146">
        <v>36858</v>
      </c>
      <c r="F146" s="1">
        <v>36676</v>
      </c>
      <c r="G146" t="s">
        <v>17</v>
      </c>
      <c r="H146" t="s">
        <v>173</v>
      </c>
      <c r="I146" t="s">
        <v>133</v>
      </c>
      <c r="J146">
        <v>3</v>
      </c>
    </row>
    <row r="147" spans="1:10" x14ac:dyDescent="0.35">
      <c r="A147" t="s">
        <v>240</v>
      </c>
      <c r="B147">
        <v>1308</v>
      </c>
      <c r="C147" s="1">
        <v>45762</v>
      </c>
      <c r="D147">
        <v>15327</v>
      </c>
      <c r="E147">
        <v>38280</v>
      </c>
      <c r="F147" s="1">
        <v>44713</v>
      </c>
      <c r="G147" t="s">
        <v>17</v>
      </c>
      <c r="H147" t="s">
        <v>241</v>
      </c>
      <c r="I147" t="s">
        <v>133</v>
      </c>
      <c r="J147">
        <v>4</v>
      </c>
    </row>
    <row r="148" spans="1:10" x14ac:dyDescent="0.35">
      <c r="A148" t="s">
        <v>45</v>
      </c>
      <c r="B148">
        <v>1000</v>
      </c>
      <c r="C148" s="1">
        <v>45747</v>
      </c>
      <c r="D148">
        <v>15063</v>
      </c>
      <c r="E148">
        <v>37186</v>
      </c>
      <c r="F148" s="1">
        <v>37511</v>
      </c>
      <c r="G148" t="s">
        <v>17</v>
      </c>
      <c r="H148" t="s">
        <v>174</v>
      </c>
      <c r="I148" t="s">
        <v>133</v>
      </c>
      <c r="J148">
        <v>3</v>
      </c>
    </row>
    <row r="149" spans="1:10" x14ac:dyDescent="0.35">
      <c r="A149" t="s">
        <v>131</v>
      </c>
      <c r="B149">
        <v>1643.74</v>
      </c>
      <c r="C149" s="1">
        <v>45712</v>
      </c>
      <c r="D149">
        <v>14586</v>
      </c>
      <c r="E149">
        <v>36254</v>
      </c>
      <c r="F149" s="1">
        <v>37165</v>
      </c>
      <c r="G149" t="s">
        <v>17</v>
      </c>
      <c r="H149" t="s">
        <v>132</v>
      </c>
      <c r="I149" t="s">
        <v>133</v>
      </c>
      <c r="J149">
        <v>2</v>
      </c>
    </row>
    <row r="150" spans="1:10" x14ac:dyDescent="0.35">
      <c r="A150" t="s">
        <v>55</v>
      </c>
      <c r="B150">
        <v>6673</v>
      </c>
      <c r="C150" s="1">
        <v>45734</v>
      </c>
      <c r="D150">
        <v>14864</v>
      </c>
      <c r="E150">
        <v>36792</v>
      </c>
      <c r="F150" s="1">
        <v>42081</v>
      </c>
      <c r="G150" t="s">
        <v>17</v>
      </c>
      <c r="H150" t="s">
        <v>175</v>
      </c>
      <c r="I150" t="s">
        <v>133</v>
      </c>
      <c r="J150">
        <v>3</v>
      </c>
    </row>
    <row r="151" spans="1:10" x14ac:dyDescent="0.35">
      <c r="A151" t="s">
        <v>242</v>
      </c>
      <c r="B151">
        <v>2946.69</v>
      </c>
      <c r="C151" s="1">
        <v>45805</v>
      </c>
      <c r="D151">
        <v>15745</v>
      </c>
      <c r="E151">
        <v>39274</v>
      </c>
      <c r="F151" s="1">
        <v>36039</v>
      </c>
      <c r="G151" t="s">
        <v>17</v>
      </c>
      <c r="H151" t="s">
        <v>58</v>
      </c>
      <c r="I151" t="s">
        <v>133</v>
      </c>
      <c r="J151">
        <v>5</v>
      </c>
    </row>
    <row r="152" spans="1:10" x14ac:dyDescent="0.35">
      <c r="A152" t="s">
        <v>243</v>
      </c>
      <c r="B152">
        <v>12342.16</v>
      </c>
      <c r="C152" s="1">
        <v>45776</v>
      </c>
      <c r="D152">
        <v>15473</v>
      </c>
      <c r="E152">
        <v>38699</v>
      </c>
      <c r="F152" s="1">
        <v>38232</v>
      </c>
      <c r="G152" t="s">
        <v>17</v>
      </c>
      <c r="H152" t="s">
        <v>161</v>
      </c>
      <c r="I152" t="s">
        <v>133</v>
      </c>
      <c r="J152">
        <v>4</v>
      </c>
    </row>
    <row r="153" spans="1:10" x14ac:dyDescent="0.35">
      <c r="A153" t="s">
        <v>44</v>
      </c>
      <c r="B153">
        <v>10412.799999999999</v>
      </c>
      <c r="C153" s="1">
        <v>45748</v>
      </c>
      <c r="D153">
        <v>15081</v>
      </c>
      <c r="E153">
        <v>37264</v>
      </c>
      <c r="F153" s="1">
        <v>34890</v>
      </c>
      <c r="G153" t="s">
        <v>17</v>
      </c>
      <c r="H153" t="s">
        <v>176</v>
      </c>
      <c r="I153" t="s">
        <v>133</v>
      </c>
      <c r="J153">
        <v>4</v>
      </c>
    </row>
    <row r="154" spans="1:10" x14ac:dyDescent="0.35">
      <c r="A154" t="s">
        <v>44</v>
      </c>
      <c r="B154">
        <v>5712.93</v>
      </c>
      <c r="C154" s="1">
        <v>45750</v>
      </c>
      <c r="D154">
        <v>15108</v>
      </c>
      <c r="E154">
        <v>37342</v>
      </c>
      <c r="F154" s="1">
        <v>34890</v>
      </c>
      <c r="G154" t="s">
        <v>17</v>
      </c>
      <c r="H154" t="s">
        <v>176</v>
      </c>
      <c r="I154" t="s">
        <v>133</v>
      </c>
      <c r="J154">
        <v>4</v>
      </c>
    </row>
    <row r="155" spans="1:10" x14ac:dyDescent="0.35">
      <c r="A155" t="s">
        <v>44</v>
      </c>
      <c r="B155">
        <v>9979</v>
      </c>
      <c r="C155" s="1">
        <v>45743</v>
      </c>
      <c r="D155">
        <v>15003</v>
      </c>
      <c r="E155">
        <v>37062</v>
      </c>
      <c r="F155" s="1">
        <v>34890</v>
      </c>
      <c r="G155" t="s">
        <v>17</v>
      </c>
      <c r="H155" t="s">
        <v>176</v>
      </c>
      <c r="I155" t="s">
        <v>133</v>
      </c>
      <c r="J155">
        <v>3</v>
      </c>
    </row>
    <row r="156" spans="1:10" x14ac:dyDescent="0.35">
      <c r="A156" t="s">
        <v>244</v>
      </c>
      <c r="B156">
        <v>1242</v>
      </c>
      <c r="C156" s="1">
        <v>45748</v>
      </c>
      <c r="D156">
        <v>15079</v>
      </c>
      <c r="E156">
        <v>37262</v>
      </c>
      <c r="F156" s="1">
        <v>37787</v>
      </c>
      <c r="G156" t="s">
        <v>17</v>
      </c>
      <c r="H156" t="s">
        <v>245</v>
      </c>
      <c r="I156" t="s">
        <v>133</v>
      </c>
      <c r="J156">
        <v>4</v>
      </c>
    </row>
    <row r="157" spans="1:10" x14ac:dyDescent="0.35">
      <c r="A157" t="s">
        <v>40</v>
      </c>
      <c r="B157">
        <v>8056</v>
      </c>
      <c r="C157" s="1">
        <v>45740</v>
      </c>
      <c r="D157">
        <v>14951</v>
      </c>
      <c r="E157">
        <v>36942</v>
      </c>
      <c r="F157" s="1">
        <v>40092</v>
      </c>
      <c r="G157" t="s">
        <v>17</v>
      </c>
      <c r="H157" t="s">
        <v>173</v>
      </c>
      <c r="I157" t="s">
        <v>133</v>
      </c>
      <c r="J157">
        <v>3</v>
      </c>
    </row>
    <row r="158" spans="1:10" x14ac:dyDescent="0.35">
      <c r="A158" t="s">
        <v>375</v>
      </c>
      <c r="B158">
        <v>1000</v>
      </c>
      <c r="C158" s="1">
        <v>45946</v>
      </c>
      <c r="D158">
        <v>17543</v>
      </c>
      <c r="E158">
        <v>43280</v>
      </c>
      <c r="F158" s="1">
        <v>36526</v>
      </c>
      <c r="G158" t="s">
        <v>17</v>
      </c>
      <c r="H158" t="s">
        <v>376</v>
      </c>
      <c r="I158" t="s">
        <v>133</v>
      </c>
      <c r="J158">
        <v>10</v>
      </c>
    </row>
    <row r="159" spans="1:10" x14ac:dyDescent="0.35">
      <c r="A159" t="s">
        <v>375</v>
      </c>
      <c r="B159">
        <v>1000</v>
      </c>
      <c r="C159" s="1">
        <v>45846</v>
      </c>
      <c r="D159">
        <v>16212</v>
      </c>
      <c r="E159">
        <v>40012</v>
      </c>
      <c r="F159" s="1">
        <v>36526</v>
      </c>
      <c r="G159" t="s">
        <v>17</v>
      </c>
      <c r="H159" t="s">
        <v>376</v>
      </c>
      <c r="I159" t="s">
        <v>133</v>
      </c>
      <c r="J159">
        <v>7</v>
      </c>
    </row>
    <row r="160" spans="1:10" x14ac:dyDescent="0.35">
      <c r="A160" t="s">
        <v>246</v>
      </c>
      <c r="B160">
        <v>12767.33</v>
      </c>
      <c r="C160" s="1">
        <v>45742</v>
      </c>
      <c r="D160">
        <v>15191</v>
      </c>
      <c r="E160">
        <v>37732</v>
      </c>
      <c r="F160" s="1">
        <v>37890</v>
      </c>
      <c r="G160" t="s">
        <v>17</v>
      </c>
      <c r="H160" t="s">
        <v>247</v>
      </c>
      <c r="I160" t="s">
        <v>133</v>
      </c>
      <c r="J160">
        <v>3</v>
      </c>
    </row>
    <row r="161" spans="1:10" x14ac:dyDescent="0.35">
      <c r="A161" t="s">
        <v>327</v>
      </c>
      <c r="B161">
        <v>10383.120000000001</v>
      </c>
      <c r="C161" s="1">
        <v>45821</v>
      </c>
      <c r="D161">
        <v>15904</v>
      </c>
      <c r="E161">
        <v>39531</v>
      </c>
      <c r="F161" s="1">
        <v>35916</v>
      </c>
      <c r="G161" t="s">
        <v>17</v>
      </c>
      <c r="H161" t="s">
        <v>328</v>
      </c>
      <c r="I161" t="s">
        <v>133</v>
      </c>
      <c r="J161">
        <v>6</v>
      </c>
    </row>
    <row r="162" spans="1:10" x14ac:dyDescent="0.35">
      <c r="A162" t="s">
        <v>46</v>
      </c>
      <c r="B162">
        <v>1359</v>
      </c>
      <c r="C162" s="1">
        <v>45743</v>
      </c>
      <c r="D162">
        <v>15001</v>
      </c>
      <c r="E162">
        <v>37060</v>
      </c>
      <c r="F162" s="1">
        <v>36647</v>
      </c>
      <c r="G162" t="s">
        <v>17</v>
      </c>
      <c r="H162" t="s">
        <v>177</v>
      </c>
      <c r="I162" t="s">
        <v>133</v>
      </c>
      <c r="J162">
        <v>3</v>
      </c>
    </row>
    <row r="163" spans="1:10" x14ac:dyDescent="0.35">
      <c r="A163" t="s">
        <v>56</v>
      </c>
      <c r="B163">
        <v>1000</v>
      </c>
      <c r="C163" s="1">
        <v>45747</v>
      </c>
      <c r="D163">
        <v>15064</v>
      </c>
      <c r="E163">
        <v>37187</v>
      </c>
      <c r="F163" s="1">
        <v>44427</v>
      </c>
      <c r="G163" t="s">
        <v>17</v>
      </c>
      <c r="H163" t="s">
        <v>178</v>
      </c>
      <c r="I163" t="s">
        <v>133</v>
      </c>
      <c r="J163">
        <v>3</v>
      </c>
    </row>
    <row r="164" spans="1:10" x14ac:dyDescent="0.35">
      <c r="A164" t="s">
        <v>248</v>
      </c>
      <c r="B164">
        <v>23472</v>
      </c>
      <c r="C164" s="1">
        <v>45751</v>
      </c>
      <c r="D164">
        <v>15150</v>
      </c>
      <c r="E164">
        <v>37586</v>
      </c>
      <c r="F164" s="1">
        <v>35278</v>
      </c>
      <c r="G164" t="s">
        <v>17</v>
      </c>
      <c r="H164" t="s">
        <v>150</v>
      </c>
      <c r="I164" t="s">
        <v>133</v>
      </c>
      <c r="J164">
        <v>4</v>
      </c>
    </row>
    <row r="165" spans="1:10" x14ac:dyDescent="0.35">
      <c r="A165" t="s">
        <v>329</v>
      </c>
      <c r="B165">
        <v>2765.38</v>
      </c>
      <c r="C165" s="1">
        <v>45831</v>
      </c>
      <c r="D165">
        <v>15985</v>
      </c>
      <c r="E165">
        <v>39671</v>
      </c>
      <c r="F165" s="1">
        <v>35139</v>
      </c>
      <c r="G165" t="s">
        <v>17</v>
      </c>
      <c r="H165" t="s">
        <v>330</v>
      </c>
      <c r="I165" t="s">
        <v>133</v>
      </c>
      <c r="J165">
        <v>6</v>
      </c>
    </row>
    <row r="166" spans="1:10" x14ac:dyDescent="0.35">
      <c r="A166" t="s">
        <v>249</v>
      </c>
      <c r="B166">
        <v>9553.6</v>
      </c>
      <c r="C166" s="1">
        <v>45800</v>
      </c>
      <c r="D166">
        <v>15736</v>
      </c>
      <c r="E166">
        <v>39265</v>
      </c>
      <c r="F166" s="1">
        <v>40283</v>
      </c>
      <c r="G166" t="s">
        <v>17</v>
      </c>
      <c r="H166" t="s">
        <v>250</v>
      </c>
      <c r="I166" t="s">
        <v>133</v>
      </c>
      <c r="J166">
        <v>5</v>
      </c>
    </row>
    <row r="167" spans="1:10" x14ac:dyDescent="0.35">
      <c r="A167" t="s">
        <v>251</v>
      </c>
      <c r="B167">
        <v>1000</v>
      </c>
      <c r="C167" s="1">
        <v>45782</v>
      </c>
      <c r="D167">
        <v>15520</v>
      </c>
      <c r="E167">
        <v>38860</v>
      </c>
      <c r="F167" s="1">
        <v>41640</v>
      </c>
      <c r="G167" t="s">
        <v>17</v>
      </c>
      <c r="H167" t="s">
        <v>252</v>
      </c>
      <c r="I167" t="s">
        <v>133</v>
      </c>
      <c r="J167">
        <v>5</v>
      </c>
    </row>
    <row r="168" spans="1:10" x14ac:dyDescent="0.35">
      <c r="A168" t="s">
        <v>331</v>
      </c>
      <c r="B168">
        <v>3600</v>
      </c>
      <c r="C168" s="1">
        <v>45807</v>
      </c>
      <c r="D168">
        <v>15773</v>
      </c>
      <c r="E168">
        <v>39332</v>
      </c>
      <c r="F168" s="1">
        <v>42761</v>
      </c>
      <c r="G168" t="s">
        <v>17</v>
      </c>
      <c r="H168" t="s">
        <v>332</v>
      </c>
      <c r="I168" t="s">
        <v>133</v>
      </c>
      <c r="J168">
        <v>5</v>
      </c>
    </row>
    <row r="169" spans="1:10" x14ac:dyDescent="0.35">
      <c r="A169" t="s">
        <v>333</v>
      </c>
      <c r="B169">
        <v>2536</v>
      </c>
      <c r="C169" s="1">
        <v>45807</v>
      </c>
      <c r="D169">
        <v>15772</v>
      </c>
      <c r="E169">
        <v>39331</v>
      </c>
      <c r="F169" s="1">
        <v>43214</v>
      </c>
      <c r="G169" t="s">
        <v>17</v>
      </c>
      <c r="H169" t="s">
        <v>334</v>
      </c>
      <c r="I169" t="s">
        <v>133</v>
      </c>
      <c r="J169">
        <v>5</v>
      </c>
    </row>
    <row r="170" spans="1:10" x14ac:dyDescent="0.35">
      <c r="A170" t="s">
        <v>377</v>
      </c>
      <c r="B170">
        <v>1000</v>
      </c>
      <c r="C170" s="1">
        <v>45873</v>
      </c>
      <c r="D170">
        <v>16504</v>
      </c>
      <c r="E170">
        <v>40854</v>
      </c>
      <c r="F170" s="1">
        <v>39268</v>
      </c>
      <c r="G170" t="s">
        <v>17</v>
      </c>
      <c r="H170" t="s">
        <v>378</v>
      </c>
      <c r="I170" t="s">
        <v>133</v>
      </c>
      <c r="J170">
        <v>8</v>
      </c>
    </row>
    <row r="171" spans="1:10" x14ac:dyDescent="0.35">
      <c r="A171" t="s">
        <v>253</v>
      </c>
      <c r="B171">
        <v>1000</v>
      </c>
      <c r="C171" s="1">
        <v>45762</v>
      </c>
      <c r="D171">
        <v>15306</v>
      </c>
      <c r="E171">
        <v>38191</v>
      </c>
      <c r="F171" s="1">
        <v>40019</v>
      </c>
      <c r="G171" t="s">
        <v>17</v>
      </c>
      <c r="H171" t="s">
        <v>254</v>
      </c>
      <c r="I171" t="s">
        <v>133</v>
      </c>
      <c r="J171">
        <v>4</v>
      </c>
    </row>
    <row r="172" spans="1:10" x14ac:dyDescent="0.35">
      <c r="A172" t="s">
        <v>379</v>
      </c>
      <c r="B172">
        <v>1000</v>
      </c>
      <c r="C172" s="1">
        <v>45861</v>
      </c>
      <c r="D172">
        <v>16348</v>
      </c>
      <c r="E172">
        <v>40352</v>
      </c>
      <c r="F172" s="1">
        <v>43535</v>
      </c>
      <c r="G172" t="s">
        <v>17</v>
      </c>
      <c r="H172" t="s">
        <v>380</v>
      </c>
      <c r="I172" t="s">
        <v>133</v>
      </c>
      <c r="J172">
        <v>7</v>
      </c>
    </row>
    <row r="173" spans="1:10" x14ac:dyDescent="0.35">
      <c r="A173" t="s">
        <v>255</v>
      </c>
      <c r="B173">
        <v>1000</v>
      </c>
      <c r="C173" s="1">
        <v>45749</v>
      </c>
      <c r="D173">
        <v>15093</v>
      </c>
      <c r="E173">
        <v>37297</v>
      </c>
      <c r="F173" s="1">
        <v>45251</v>
      </c>
      <c r="G173" t="s">
        <v>17</v>
      </c>
      <c r="H173" t="s">
        <v>256</v>
      </c>
      <c r="I173" t="s">
        <v>133</v>
      </c>
      <c r="J173">
        <v>4</v>
      </c>
    </row>
    <row r="174" spans="1:10" x14ac:dyDescent="0.35">
      <c r="A174" t="s">
        <v>60</v>
      </c>
      <c r="B174">
        <v>1000</v>
      </c>
      <c r="C174" s="1">
        <v>45937</v>
      </c>
      <c r="D174">
        <v>17458</v>
      </c>
      <c r="E174">
        <v>43193</v>
      </c>
      <c r="F174" s="1">
        <v>41921</v>
      </c>
      <c r="G174" t="s">
        <v>17</v>
      </c>
      <c r="H174" t="s">
        <v>134</v>
      </c>
      <c r="I174" t="s">
        <v>133</v>
      </c>
      <c r="J174">
        <v>10</v>
      </c>
    </row>
    <row r="175" spans="1:10" x14ac:dyDescent="0.35">
      <c r="A175" t="s">
        <v>60</v>
      </c>
      <c r="B175">
        <v>1000</v>
      </c>
      <c r="C175" s="1">
        <v>45695</v>
      </c>
      <c r="D175">
        <v>14422</v>
      </c>
      <c r="E175">
        <v>36009</v>
      </c>
      <c r="F175" s="1">
        <v>41921</v>
      </c>
      <c r="G175" t="s">
        <v>17</v>
      </c>
      <c r="H175" t="s">
        <v>134</v>
      </c>
      <c r="I175" t="s">
        <v>133</v>
      </c>
      <c r="J175">
        <v>2</v>
      </c>
    </row>
    <row r="176" spans="1:10" x14ac:dyDescent="0.35">
      <c r="A176" t="s">
        <v>381</v>
      </c>
      <c r="B176">
        <v>1590.58</v>
      </c>
      <c r="C176" s="1">
        <v>45840</v>
      </c>
      <c r="D176">
        <v>16075</v>
      </c>
      <c r="E176">
        <v>39823</v>
      </c>
      <c r="F176" s="1">
        <v>37834</v>
      </c>
      <c r="G176" t="s">
        <v>17</v>
      </c>
      <c r="H176" t="s">
        <v>382</v>
      </c>
      <c r="I176" t="s">
        <v>133</v>
      </c>
      <c r="J176">
        <v>7</v>
      </c>
    </row>
    <row r="177" spans="1:10" x14ac:dyDescent="0.35">
      <c r="A177" t="s">
        <v>52</v>
      </c>
      <c r="B177">
        <v>2160</v>
      </c>
      <c r="C177" s="1">
        <v>45707</v>
      </c>
      <c r="D177">
        <v>14530</v>
      </c>
      <c r="E177">
        <v>36155</v>
      </c>
      <c r="F177" s="1">
        <v>38730</v>
      </c>
      <c r="G177" t="s">
        <v>17</v>
      </c>
      <c r="H177" t="s">
        <v>135</v>
      </c>
      <c r="I177" t="s">
        <v>133</v>
      </c>
      <c r="J177">
        <v>2</v>
      </c>
    </row>
    <row r="178" spans="1:10" x14ac:dyDescent="0.35">
      <c r="A178" t="s">
        <v>53</v>
      </c>
      <c r="B178">
        <v>13570.6</v>
      </c>
      <c r="C178" s="1">
        <v>45736</v>
      </c>
      <c r="D178">
        <v>14906</v>
      </c>
      <c r="E178">
        <v>36869</v>
      </c>
      <c r="F178" s="1">
        <v>36789</v>
      </c>
      <c r="G178" t="s">
        <v>17</v>
      </c>
      <c r="H178" t="s">
        <v>51</v>
      </c>
      <c r="I178" t="s">
        <v>133</v>
      </c>
      <c r="J178">
        <v>3</v>
      </c>
    </row>
    <row r="179" spans="1:10" x14ac:dyDescent="0.35">
      <c r="A179" t="s">
        <v>43</v>
      </c>
      <c r="B179">
        <v>1053.5</v>
      </c>
      <c r="C179" s="1">
        <v>45736</v>
      </c>
      <c r="D179">
        <v>14904</v>
      </c>
      <c r="E179">
        <v>36867</v>
      </c>
      <c r="F179" s="1">
        <v>36669</v>
      </c>
      <c r="G179" t="s">
        <v>17</v>
      </c>
      <c r="H179" t="s">
        <v>179</v>
      </c>
      <c r="I179" t="s">
        <v>133</v>
      </c>
      <c r="J179">
        <v>3</v>
      </c>
    </row>
    <row r="180" spans="1:10" x14ac:dyDescent="0.35">
      <c r="A180" t="s">
        <v>257</v>
      </c>
      <c r="B180">
        <v>1000</v>
      </c>
      <c r="C180" s="1">
        <v>45804</v>
      </c>
      <c r="D180">
        <v>15738</v>
      </c>
      <c r="E180">
        <v>39267</v>
      </c>
      <c r="F180" s="1">
        <v>42873</v>
      </c>
      <c r="G180" t="s">
        <v>17</v>
      </c>
      <c r="H180" t="s">
        <v>258</v>
      </c>
      <c r="I180" t="s">
        <v>133</v>
      </c>
      <c r="J180">
        <v>5</v>
      </c>
    </row>
    <row r="181" spans="1:10" x14ac:dyDescent="0.35">
      <c r="A181" t="s">
        <v>48</v>
      </c>
      <c r="B181">
        <v>9469.4599999999991</v>
      </c>
      <c r="C181" s="1">
        <v>45712</v>
      </c>
      <c r="D181">
        <v>14585</v>
      </c>
      <c r="E181">
        <v>36253</v>
      </c>
      <c r="F181" s="1">
        <v>36165</v>
      </c>
      <c r="G181" t="s">
        <v>17</v>
      </c>
      <c r="H181" t="s">
        <v>136</v>
      </c>
      <c r="I181" t="s">
        <v>133</v>
      </c>
      <c r="J181">
        <v>2</v>
      </c>
    </row>
    <row r="182" spans="1:10" x14ac:dyDescent="0.35">
      <c r="A182" t="s">
        <v>259</v>
      </c>
      <c r="B182">
        <v>1000</v>
      </c>
      <c r="C182" s="1">
        <v>45793</v>
      </c>
      <c r="D182">
        <v>15670</v>
      </c>
      <c r="E182">
        <v>39200</v>
      </c>
      <c r="F182" s="1">
        <v>43187</v>
      </c>
      <c r="G182" t="s">
        <v>17</v>
      </c>
      <c r="H182" t="s">
        <v>260</v>
      </c>
      <c r="I182" t="s">
        <v>133</v>
      </c>
      <c r="J182">
        <v>5</v>
      </c>
    </row>
    <row r="183" spans="1:10" x14ac:dyDescent="0.35">
      <c r="A183" t="s">
        <v>180</v>
      </c>
      <c r="B183">
        <v>75</v>
      </c>
      <c r="C183" s="1">
        <v>45743</v>
      </c>
      <c r="D183">
        <v>14986</v>
      </c>
      <c r="E183">
        <v>37036</v>
      </c>
      <c r="F183" s="1">
        <v>45742</v>
      </c>
      <c r="G183" t="s">
        <v>17</v>
      </c>
      <c r="H183" t="s">
        <v>13</v>
      </c>
      <c r="I183" t="s">
        <v>181</v>
      </c>
      <c r="J183">
        <v>3</v>
      </c>
    </row>
    <row r="184" spans="1:10" x14ac:dyDescent="0.35">
      <c r="A184" t="s">
        <v>335</v>
      </c>
      <c r="B184">
        <v>775</v>
      </c>
      <c r="C184" s="1">
        <v>45817</v>
      </c>
      <c r="D184">
        <v>15844</v>
      </c>
      <c r="E184">
        <v>39429</v>
      </c>
      <c r="F184" s="1">
        <v>45087</v>
      </c>
      <c r="G184" t="s">
        <v>17</v>
      </c>
      <c r="H184" t="s">
        <v>13</v>
      </c>
      <c r="I184" t="s">
        <v>18</v>
      </c>
      <c r="J184">
        <v>6</v>
      </c>
    </row>
    <row r="185" spans="1:10" x14ac:dyDescent="0.35">
      <c r="A185" t="s">
        <v>507</v>
      </c>
      <c r="B185">
        <v>23700</v>
      </c>
      <c r="C185" s="1">
        <v>45975</v>
      </c>
      <c r="D185">
        <v>17740</v>
      </c>
      <c r="E185">
        <v>43503</v>
      </c>
      <c r="F185" s="1">
        <v>36650</v>
      </c>
      <c r="G185" t="s">
        <v>227</v>
      </c>
      <c r="H185" t="s">
        <v>13</v>
      </c>
      <c r="I185" t="s">
        <v>14</v>
      </c>
      <c r="J185">
        <v>11</v>
      </c>
    </row>
    <row r="186" spans="1:10" x14ac:dyDescent="0.35">
      <c r="A186" t="s">
        <v>477</v>
      </c>
      <c r="B186">
        <v>2990</v>
      </c>
      <c r="C186" s="1">
        <v>45959</v>
      </c>
      <c r="D186">
        <v>17614</v>
      </c>
      <c r="E186">
        <v>43361</v>
      </c>
      <c r="F186" s="1">
        <v>45643</v>
      </c>
      <c r="G186" t="s">
        <v>19</v>
      </c>
      <c r="H186" t="s">
        <v>13</v>
      </c>
      <c r="I186" t="s">
        <v>14</v>
      </c>
      <c r="J186">
        <v>10</v>
      </c>
    </row>
    <row r="187" spans="1:10" x14ac:dyDescent="0.35">
      <c r="A187" t="s">
        <v>478</v>
      </c>
      <c r="B187">
        <v>9685</v>
      </c>
      <c r="C187" s="1">
        <v>45961</v>
      </c>
      <c r="D187">
        <v>17628</v>
      </c>
      <c r="E187">
        <v>43388</v>
      </c>
      <c r="F187" s="1">
        <v>44949</v>
      </c>
      <c r="G187" t="s">
        <v>19</v>
      </c>
      <c r="H187" t="s">
        <v>13</v>
      </c>
      <c r="I187" t="s">
        <v>20</v>
      </c>
      <c r="J187">
        <v>10</v>
      </c>
    </row>
    <row r="188" spans="1:10" x14ac:dyDescent="0.35">
      <c r="A188" t="s">
        <v>261</v>
      </c>
      <c r="B188">
        <v>5460</v>
      </c>
      <c r="C188" s="1">
        <v>45748</v>
      </c>
      <c r="D188">
        <v>15080</v>
      </c>
      <c r="E188">
        <v>37263</v>
      </c>
      <c r="F188" s="1">
        <v>42830</v>
      </c>
      <c r="G188" t="s">
        <v>12</v>
      </c>
      <c r="H188" t="s">
        <v>262</v>
      </c>
      <c r="I188" t="s">
        <v>20</v>
      </c>
      <c r="J188">
        <v>4</v>
      </c>
    </row>
    <row r="189" spans="1:10" x14ac:dyDescent="0.35">
      <c r="A189" t="s">
        <v>182</v>
      </c>
      <c r="B189">
        <v>1545</v>
      </c>
      <c r="C189" s="1">
        <v>45747</v>
      </c>
      <c r="D189">
        <v>15039</v>
      </c>
      <c r="E189">
        <v>37132</v>
      </c>
      <c r="F189" s="1">
        <v>41872</v>
      </c>
      <c r="G189" t="s">
        <v>19</v>
      </c>
      <c r="H189" t="s">
        <v>13</v>
      </c>
      <c r="I189" t="s">
        <v>20</v>
      </c>
      <c r="J189">
        <v>3</v>
      </c>
    </row>
    <row r="190" spans="1:10" x14ac:dyDescent="0.35">
      <c r="A190" t="s">
        <v>263</v>
      </c>
      <c r="B190">
        <v>9685</v>
      </c>
      <c r="C190" s="1">
        <v>45804</v>
      </c>
      <c r="D190">
        <v>15739</v>
      </c>
      <c r="E190">
        <v>39268</v>
      </c>
      <c r="F190" s="1">
        <v>39965</v>
      </c>
      <c r="G190" t="s">
        <v>19</v>
      </c>
      <c r="H190" t="s">
        <v>13</v>
      </c>
      <c r="I190" t="s">
        <v>20</v>
      </c>
      <c r="J190">
        <v>5</v>
      </c>
    </row>
    <row r="191" spans="1:10" x14ac:dyDescent="0.35">
      <c r="A191" t="s">
        <v>264</v>
      </c>
      <c r="B191">
        <v>2370</v>
      </c>
      <c r="C191" s="1">
        <v>45789</v>
      </c>
      <c r="D191">
        <v>15601</v>
      </c>
      <c r="E191">
        <v>39088</v>
      </c>
      <c r="F191" s="1">
        <v>45786</v>
      </c>
      <c r="G191" t="s">
        <v>19</v>
      </c>
      <c r="H191" t="s">
        <v>265</v>
      </c>
      <c r="I191" t="s">
        <v>20</v>
      </c>
      <c r="J191">
        <v>5</v>
      </c>
    </row>
    <row r="192" spans="1:10" x14ac:dyDescent="0.35">
      <c r="A192" t="s">
        <v>103</v>
      </c>
      <c r="B192">
        <v>27025</v>
      </c>
      <c r="C192" s="1">
        <v>45665</v>
      </c>
      <c r="D192">
        <v>13830</v>
      </c>
      <c r="E192">
        <v>35199</v>
      </c>
      <c r="F192" s="1">
        <v>45665</v>
      </c>
      <c r="G192" t="s">
        <v>19</v>
      </c>
      <c r="H192" t="s">
        <v>13</v>
      </c>
      <c r="I192" t="s">
        <v>23</v>
      </c>
      <c r="J192">
        <v>1</v>
      </c>
    </row>
    <row r="193" spans="1:10" x14ac:dyDescent="0.35">
      <c r="A193" t="s">
        <v>137</v>
      </c>
      <c r="B193">
        <v>775</v>
      </c>
      <c r="C193" s="1">
        <v>45714</v>
      </c>
      <c r="D193">
        <v>14601</v>
      </c>
      <c r="E193">
        <v>36283</v>
      </c>
      <c r="F193" s="1">
        <v>45156</v>
      </c>
      <c r="G193" t="s">
        <v>17</v>
      </c>
      <c r="H193" t="s">
        <v>13</v>
      </c>
      <c r="I193" t="s">
        <v>18</v>
      </c>
      <c r="J193">
        <v>2</v>
      </c>
    </row>
    <row r="194" spans="1:10" x14ac:dyDescent="0.35">
      <c r="A194" t="s">
        <v>266</v>
      </c>
      <c r="B194">
        <v>23700</v>
      </c>
      <c r="C194" s="1">
        <v>45807</v>
      </c>
      <c r="D194">
        <v>15758</v>
      </c>
      <c r="E194">
        <v>39306</v>
      </c>
      <c r="F194" s="1">
        <v>43336</v>
      </c>
      <c r="G194" t="s">
        <v>227</v>
      </c>
      <c r="H194" t="s">
        <v>13</v>
      </c>
      <c r="I194" t="s">
        <v>20</v>
      </c>
      <c r="J194">
        <v>5</v>
      </c>
    </row>
    <row r="195" spans="1:10" x14ac:dyDescent="0.35">
      <c r="A195" t="s">
        <v>508</v>
      </c>
      <c r="B195">
        <v>775</v>
      </c>
      <c r="C195" s="1">
        <v>45972</v>
      </c>
      <c r="D195">
        <v>17698</v>
      </c>
      <c r="E195">
        <v>43459</v>
      </c>
      <c r="F195" s="1">
        <v>45201</v>
      </c>
      <c r="G195" t="s">
        <v>0</v>
      </c>
      <c r="H195" t="s">
        <v>13</v>
      </c>
      <c r="I195" t="s">
        <v>18</v>
      </c>
      <c r="J195">
        <v>11</v>
      </c>
    </row>
    <row r="196" spans="1:10" x14ac:dyDescent="0.35">
      <c r="A196" t="s">
        <v>336</v>
      </c>
      <c r="B196">
        <v>1545</v>
      </c>
      <c r="C196" s="1">
        <v>45820</v>
      </c>
      <c r="D196">
        <v>15874</v>
      </c>
      <c r="E196">
        <v>39487</v>
      </c>
      <c r="F196" s="1">
        <v>41101</v>
      </c>
      <c r="G196" t="s">
        <v>12</v>
      </c>
      <c r="H196" t="s">
        <v>51</v>
      </c>
      <c r="I196" t="s">
        <v>20</v>
      </c>
      <c r="J196">
        <v>6</v>
      </c>
    </row>
    <row r="197" spans="1:10" x14ac:dyDescent="0.35">
      <c r="A197" t="s">
        <v>337</v>
      </c>
      <c r="B197">
        <v>1905</v>
      </c>
      <c r="C197" s="1">
        <v>45834</v>
      </c>
      <c r="D197">
        <v>16015</v>
      </c>
      <c r="E197">
        <v>39726</v>
      </c>
      <c r="F197" s="1">
        <v>44371</v>
      </c>
      <c r="G197" t="s">
        <v>12</v>
      </c>
      <c r="H197" t="s">
        <v>13</v>
      </c>
      <c r="I197" t="s">
        <v>14</v>
      </c>
      <c r="J197">
        <v>6</v>
      </c>
    </row>
    <row r="198" spans="1:10" x14ac:dyDescent="0.35">
      <c r="A198" t="s">
        <v>456</v>
      </c>
      <c r="B198">
        <v>775</v>
      </c>
      <c r="C198" s="1">
        <v>45918</v>
      </c>
      <c r="D198">
        <v>17274</v>
      </c>
      <c r="E198">
        <v>43002</v>
      </c>
      <c r="F198" s="1">
        <v>45918</v>
      </c>
      <c r="G198" t="s">
        <v>17</v>
      </c>
      <c r="H198" t="s">
        <v>13</v>
      </c>
      <c r="I198" t="s">
        <v>18</v>
      </c>
      <c r="J198">
        <v>9</v>
      </c>
    </row>
    <row r="199" spans="1:10" x14ac:dyDescent="0.35">
      <c r="A199" t="s">
        <v>267</v>
      </c>
      <c r="B199">
        <v>1545</v>
      </c>
      <c r="C199" s="1">
        <v>45777</v>
      </c>
      <c r="D199">
        <v>15467</v>
      </c>
      <c r="E199">
        <v>38682</v>
      </c>
      <c r="F199" s="1">
        <v>44337</v>
      </c>
      <c r="G199" t="s">
        <v>12</v>
      </c>
      <c r="H199" t="s">
        <v>13</v>
      </c>
      <c r="I199" t="s">
        <v>20</v>
      </c>
      <c r="J199">
        <v>4</v>
      </c>
    </row>
    <row r="200" spans="1:10" x14ac:dyDescent="0.35">
      <c r="A200" t="s">
        <v>42</v>
      </c>
      <c r="B200">
        <v>5460</v>
      </c>
      <c r="C200" s="1">
        <v>45688</v>
      </c>
      <c r="D200">
        <v>14314</v>
      </c>
      <c r="E200">
        <v>35850</v>
      </c>
      <c r="F200" s="1">
        <v>39989</v>
      </c>
      <c r="G200" t="s">
        <v>12</v>
      </c>
      <c r="H200" t="s">
        <v>13</v>
      </c>
      <c r="I200" t="s">
        <v>20</v>
      </c>
      <c r="J200">
        <v>1</v>
      </c>
    </row>
    <row r="201" spans="1:10" x14ac:dyDescent="0.35">
      <c r="A201" t="s">
        <v>25</v>
      </c>
      <c r="B201">
        <v>2370</v>
      </c>
      <c r="C201" s="1">
        <v>45874</v>
      </c>
      <c r="D201">
        <v>16523</v>
      </c>
      <c r="E201">
        <v>40994</v>
      </c>
      <c r="F201" s="1">
        <v>44935</v>
      </c>
      <c r="G201" t="s">
        <v>0</v>
      </c>
      <c r="H201" t="s">
        <v>13</v>
      </c>
      <c r="I201" t="s">
        <v>20</v>
      </c>
      <c r="J201">
        <v>8</v>
      </c>
    </row>
    <row r="202" spans="1:10" x14ac:dyDescent="0.35">
      <c r="A202" t="s">
        <v>25</v>
      </c>
      <c r="B202">
        <v>2370</v>
      </c>
      <c r="C202" s="1">
        <v>45681</v>
      </c>
      <c r="D202">
        <v>14204</v>
      </c>
      <c r="E202">
        <v>35686</v>
      </c>
      <c r="F202" s="1">
        <v>44935</v>
      </c>
      <c r="G202" t="s">
        <v>0</v>
      </c>
      <c r="H202" t="s">
        <v>13</v>
      </c>
      <c r="I202" t="s">
        <v>20</v>
      </c>
      <c r="J202">
        <v>1</v>
      </c>
    </row>
    <row r="203" spans="1:10" x14ac:dyDescent="0.35">
      <c r="A203" t="s">
        <v>183</v>
      </c>
      <c r="B203">
        <v>9685</v>
      </c>
      <c r="C203" s="1">
        <v>45723</v>
      </c>
      <c r="D203">
        <v>14704</v>
      </c>
      <c r="E203">
        <v>36527</v>
      </c>
      <c r="F203" s="1">
        <v>40455</v>
      </c>
      <c r="G203" t="s">
        <v>19</v>
      </c>
      <c r="H203" t="s">
        <v>13</v>
      </c>
      <c r="I203" t="s">
        <v>20</v>
      </c>
      <c r="J203">
        <v>3</v>
      </c>
    </row>
    <row r="204" spans="1:10" x14ac:dyDescent="0.35">
      <c r="A204" t="s">
        <v>138</v>
      </c>
      <c r="B204">
        <v>7200</v>
      </c>
      <c r="C204" s="1">
        <v>45720</v>
      </c>
      <c r="D204">
        <v>14662</v>
      </c>
      <c r="E204">
        <v>36435</v>
      </c>
      <c r="F204" s="1">
        <v>40973</v>
      </c>
      <c r="G204" t="s">
        <v>19</v>
      </c>
      <c r="H204" t="s">
        <v>13</v>
      </c>
      <c r="I204" t="s">
        <v>14</v>
      </c>
      <c r="J204">
        <v>3</v>
      </c>
    </row>
    <row r="205" spans="1:10" x14ac:dyDescent="0.35">
      <c r="A205" t="s">
        <v>268</v>
      </c>
      <c r="B205">
        <v>38100</v>
      </c>
      <c r="C205" s="1">
        <v>45785</v>
      </c>
      <c r="D205">
        <v>15607</v>
      </c>
      <c r="E205">
        <v>39103</v>
      </c>
      <c r="F205" s="1">
        <v>40001</v>
      </c>
      <c r="G205" t="s">
        <v>19</v>
      </c>
      <c r="H205" t="s">
        <v>13</v>
      </c>
      <c r="I205" t="s">
        <v>23</v>
      </c>
      <c r="J205">
        <v>5</v>
      </c>
    </row>
    <row r="206" spans="1:10" x14ac:dyDescent="0.35">
      <c r="A206" t="s">
        <v>479</v>
      </c>
      <c r="B206">
        <v>2370</v>
      </c>
      <c r="C206" s="1">
        <v>45961</v>
      </c>
      <c r="D206">
        <v>17627</v>
      </c>
      <c r="E206">
        <v>43387</v>
      </c>
      <c r="F206" s="1">
        <v>40780</v>
      </c>
      <c r="G206" t="s">
        <v>19</v>
      </c>
      <c r="H206" t="s">
        <v>13</v>
      </c>
      <c r="I206" t="s">
        <v>20</v>
      </c>
      <c r="J206">
        <v>10</v>
      </c>
    </row>
    <row r="207" spans="1:10" x14ac:dyDescent="0.35">
      <c r="A207" t="s">
        <v>269</v>
      </c>
      <c r="B207">
        <v>7200</v>
      </c>
      <c r="C207" s="1">
        <v>45765</v>
      </c>
      <c r="D207">
        <v>15333</v>
      </c>
      <c r="E207">
        <v>38296</v>
      </c>
      <c r="F207" s="1">
        <v>45765</v>
      </c>
      <c r="G207" t="s">
        <v>0</v>
      </c>
      <c r="H207" t="s">
        <v>13</v>
      </c>
      <c r="I207" t="s">
        <v>14</v>
      </c>
      <c r="J207">
        <v>4</v>
      </c>
    </row>
    <row r="208" spans="1:10" x14ac:dyDescent="0.35">
      <c r="A208" t="s">
        <v>480</v>
      </c>
      <c r="B208">
        <v>2680</v>
      </c>
      <c r="C208" s="1">
        <v>45950</v>
      </c>
      <c r="D208">
        <v>17560</v>
      </c>
      <c r="E208">
        <v>43300</v>
      </c>
      <c r="F208" s="1">
        <v>40486</v>
      </c>
      <c r="G208" t="s">
        <v>12</v>
      </c>
      <c r="H208" t="s">
        <v>13</v>
      </c>
      <c r="I208" t="s">
        <v>20</v>
      </c>
      <c r="J208">
        <v>10</v>
      </c>
    </row>
    <row r="209" spans="1:10" x14ac:dyDescent="0.35">
      <c r="A209" t="s">
        <v>104</v>
      </c>
      <c r="B209">
        <v>775</v>
      </c>
      <c r="C209" s="1">
        <v>45671</v>
      </c>
      <c r="D209">
        <v>14050</v>
      </c>
      <c r="E209">
        <v>35483</v>
      </c>
      <c r="F209" s="1">
        <v>44716</v>
      </c>
      <c r="G209" t="s">
        <v>17</v>
      </c>
      <c r="H209" t="s">
        <v>17</v>
      </c>
      <c r="I209" t="s">
        <v>18</v>
      </c>
      <c r="J209">
        <v>1</v>
      </c>
    </row>
    <row r="210" spans="1:10" x14ac:dyDescent="0.35">
      <c r="A210" t="s">
        <v>338</v>
      </c>
      <c r="B210">
        <v>775</v>
      </c>
      <c r="C210" s="1">
        <v>45830</v>
      </c>
      <c r="D210">
        <v>15962</v>
      </c>
      <c r="E210">
        <v>39638</v>
      </c>
      <c r="F210" s="1">
        <v>45830</v>
      </c>
      <c r="G210" t="s">
        <v>17</v>
      </c>
      <c r="H210" t="s">
        <v>13</v>
      </c>
      <c r="I210" t="s">
        <v>18</v>
      </c>
      <c r="J210">
        <v>6</v>
      </c>
    </row>
    <row r="211" spans="1:10" x14ac:dyDescent="0.35">
      <c r="A211" t="s">
        <v>184</v>
      </c>
      <c r="B211">
        <v>1545</v>
      </c>
      <c r="C211" s="1">
        <v>45735</v>
      </c>
      <c r="D211">
        <v>14883</v>
      </c>
      <c r="E211">
        <v>36839</v>
      </c>
      <c r="F211" s="1">
        <v>45735</v>
      </c>
      <c r="G211" t="s">
        <v>19</v>
      </c>
      <c r="H211" t="s">
        <v>13</v>
      </c>
      <c r="I211" t="s">
        <v>20</v>
      </c>
      <c r="J211">
        <v>3</v>
      </c>
    </row>
    <row r="212" spans="1:10" x14ac:dyDescent="0.35">
      <c r="A212" t="s">
        <v>105</v>
      </c>
      <c r="B212">
        <v>775</v>
      </c>
      <c r="C212" s="1">
        <v>45667</v>
      </c>
      <c r="D212">
        <v>13943</v>
      </c>
      <c r="E212">
        <v>35324</v>
      </c>
      <c r="F212" s="1">
        <v>44581</v>
      </c>
      <c r="G212" t="s">
        <v>17</v>
      </c>
      <c r="H212" t="s">
        <v>17</v>
      </c>
      <c r="I212" t="s">
        <v>18</v>
      </c>
      <c r="J212">
        <v>1</v>
      </c>
    </row>
    <row r="213" spans="1:10" x14ac:dyDescent="0.35">
      <c r="A213" t="s">
        <v>339</v>
      </c>
      <c r="B213">
        <v>1545</v>
      </c>
      <c r="C213" s="1">
        <v>45821</v>
      </c>
      <c r="D213">
        <v>15892</v>
      </c>
      <c r="E213">
        <v>39518</v>
      </c>
      <c r="F213" s="1">
        <v>43262</v>
      </c>
      <c r="G213" t="s">
        <v>0</v>
      </c>
      <c r="H213" t="s">
        <v>13</v>
      </c>
      <c r="I213" t="s">
        <v>20</v>
      </c>
      <c r="J213">
        <v>6</v>
      </c>
    </row>
    <row r="214" spans="1:10" x14ac:dyDescent="0.35">
      <c r="A214" t="s">
        <v>383</v>
      </c>
      <c r="B214">
        <v>775</v>
      </c>
      <c r="C214" s="1">
        <v>45845</v>
      </c>
      <c r="D214">
        <v>16187</v>
      </c>
      <c r="E214">
        <v>39964</v>
      </c>
      <c r="F214" s="1">
        <v>45845</v>
      </c>
      <c r="G214" t="s">
        <v>17</v>
      </c>
      <c r="H214" t="s">
        <v>17</v>
      </c>
      <c r="I214" t="s">
        <v>18</v>
      </c>
      <c r="J214">
        <v>7</v>
      </c>
    </row>
    <row r="215" spans="1:10" x14ac:dyDescent="0.35">
      <c r="A215" t="s">
        <v>185</v>
      </c>
      <c r="B215">
        <v>775</v>
      </c>
      <c r="C215" s="1">
        <v>45744</v>
      </c>
      <c r="D215">
        <v>14995</v>
      </c>
      <c r="E215">
        <v>37045</v>
      </c>
      <c r="F215" s="1">
        <v>45743</v>
      </c>
      <c r="G215" t="s">
        <v>17</v>
      </c>
      <c r="H215" t="s">
        <v>17</v>
      </c>
      <c r="I215" t="s">
        <v>18</v>
      </c>
      <c r="J215">
        <v>3</v>
      </c>
    </row>
    <row r="216" spans="1:10" x14ac:dyDescent="0.35">
      <c r="A216" t="s">
        <v>106</v>
      </c>
      <c r="B216">
        <v>775</v>
      </c>
      <c r="C216" s="1">
        <v>45713</v>
      </c>
      <c r="D216">
        <v>14584</v>
      </c>
      <c r="E216">
        <v>36252</v>
      </c>
      <c r="F216" s="1">
        <v>45665</v>
      </c>
      <c r="G216" t="s">
        <v>17</v>
      </c>
      <c r="H216" t="s">
        <v>13</v>
      </c>
      <c r="I216" t="s">
        <v>18</v>
      </c>
      <c r="J216">
        <v>2</v>
      </c>
    </row>
    <row r="217" spans="1:10" x14ac:dyDescent="0.35">
      <c r="A217" t="s">
        <v>106</v>
      </c>
      <c r="B217">
        <v>775</v>
      </c>
      <c r="C217" s="1">
        <v>45665</v>
      </c>
      <c r="D217">
        <v>13824</v>
      </c>
      <c r="E217">
        <v>35193</v>
      </c>
      <c r="F217" s="1">
        <v>45665</v>
      </c>
      <c r="G217" t="s">
        <v>17</v>
      </c>
      <c r="H217" t="s">
        <v>13</v>
      </c>
      <c r="I217" t="s">
        <v>18</v>
      </c>
      <c r="J217">
        <v>1</v>
      </c>
    </row>
    <row r="218" spans="1:10" x14ac:dyDescent="0.35">
      <c r="A218" t="s">
        <v>384</v>
      </c>
      <c r="B218">
        <v>775</v>
      </c>
      <c r="C218" s="1">
        <v>45868</v>
      </c>
      <c r="D218">
        <v>16442</v>
      </c>
      <c r="E218">
        <v>40563</v>
      </c>
      <c r="F218" s="1">
        <v>45868</v>
      </c>
      <c r="G218" t="s">
        <v>17</v>
      </c>
      <c r="H218" t="s">
        <v>13</v>
      </c>
      <c r="I218" t="s">
        <v>18</v>
      </c>
      <c r="J218">
        <v>7</v>
      </c>
    </row>
    <row r="219" spans="1:10" x14ac:dyDescent="0.35">
      <c r="A219" t="s">
        <v>270</v>
      </c>
      <c r="B219">
        <v>775</v>
      </c>
      <c r="C219" s="1">
        <v>45799</v>
      </c>
      <c r="D219">
        <v>15712</v>
      </c>
      <c r="E219">
        <v>39241</v>
      </c>
      <c r="F219" s="1">
        <v>45799</v>
      </c>
      <c r="G219" t="s">
        <v>17</v>
      </c>
      <c r="H219" t="s">
        <v>13</v>
      </c>
      <c r="I219" t="s">
        <v>18</v>
      </c>
      <c r="J219">
        <v>5</v>
      </c>
    </row>
    <row r="220" spans="1:10" x14ac:dyDescent="0.35">
      <c r="A220" t="s">
        <v>62</v>
      </c>
      <c r="B220">
        <v>775</v>
      </c>
      <c r="C220" s="1">
        <v>45664</v>
      </c>
      <c r="D220">
        <v>13794</v>
      </c>
      <c r="E220">
        <v>35152</v>
      </c>
      <c r="F220" s="1">
        <v>45664</v>
      </c>
      <c r="G220" t="s">
        <v>17</v>
      </c>
      <c r="H220" t="s">
        <v>13</v>
      </c>
      <c r="I220" t="s">
        <v>18</v>
      </c>
      <c r="J220">
        <v>1</v>
      </c>
    </row>
    <row r="221" spans="1:10" x14ac:dyDescent="0.35">
      <c r="A221" t="s">
        <v>427</v>
      </c>
      <c r="B221">
        <v>775</v>
      </c>
      <c r="C221" s="1">
        <v>45898</v>
      </c>
      <c r="D221">
        <v>16970</v>
      </c>
      <c r="E221">
        <v>42487</v>
      </c>
      <c r="F221" s="1">
        <v>45898</v>
      </c>
      <c r="G221" t="s">
        <v>17</v>
      </c>
      <c r="H221" t="s">
        <v>13</v>
      </c>
      <c r="I221" t="s">
        <v>18</v>
      </c>
      <c r="J221">
        <v>8</v>
      </c>
    </row>
    <row r="222" spans="1:10" x14ac:dyDescent="0.35">
      <c r="A222" t="s">
        <v>139</v>
      </c>
      <c r="B222">
        <v>775</v>
      </c>
      <c r="C222" s="1">
        <v>45694</v>
      </c>
      <c r="D222">
        <v>14393</v>
      </c>
      <c r="E222">
        <v>35956</v>
      </c>
      <c r="F222" s="1">
        <v>45694</v>
      </c>
      <c r="G222" t="s">
        <v>17</v>
      </c>
      <c r="H222" t="s">
        <v>13</v>
      </c>
      <c r="I222" t="s">
        <v>18</v>
      </c>
      <c r="J222">
        <v>2</v>
      </c>
    </row>
    <row r="223" spans="1:10" x14ac:dyDescent="0.35">
      <c r="A223" t="s">
        <v>186</v>
      </c>
      <c r="B223">
        <v>775</v>
      </c>
      <c r="C223" s="1">
        <v>45728</v>
      </c>
      <c r="D223">
        <v>14737</v>
      </c>
      <c r="E223">
        <v>36577</v>
      </c>
      <c r="F223" s="1">
        <v>44441</v>
      </c>
      <c r="G223" t="s">
        <v>17</v>
      </c>
      <c r="H223" t="s">
        <v>17</v>
      </c>
      <c r="I223" t="s">
        <v>18</v>
      </c>
      <c r="J223">
        <v>3</v>
      </c>
    </row>
    <row r="224" spans="1:10" x14ac:dyDescent="0.35">
      <c r="A224" t="s">
        <v>271</v>
      </c>
      <c r="B224">
        <v>775</v>
      </c>
      <c r="C224" s="1">
        <v>45782</v>
      </c>
      <c r="D224">
        <v>15515</v>
      </c>
      <c r="E224">
        <v>38843</v>
      </c>
      <c r="F224" s="1">
        <v>42501</v>
      </c>
      <c r="G224" t="s">
        <v>17</v>
      </c>
      <c r="H224" t="s">
        <v>13</v>
      </c>
      <c r="I224" t="s">
        <v>18</v>
      </c>
      <c r="J224">
        <v>5</v>
      </c>
    </row>
    <row r="225" spans="1:10" x14ac:dyDescent="0.35">
      <c r="A225" t="s">
        <v>272</v>
      </c>
      <c r="B225">
        <v>775</v>
      </c>
      <c r="C225" s="1">
        <v>45762</v>
      </c>
      <c r="D225">
        <v>15266</v>
      </c>
      <c r="E225">
        <v>37972</v>
      </c>
      <c r="F225" s="1">
        <v>45762</v>
      </c>
      <c r="G225" t="s">
        <v>17</v>
      </c>
      <c r="H225" t="s">
        <v>13</v>
      </c>
      <c r="I225" t="s">
        <v>18</v>
      </c>
      <c r="J225">
        <v>4</v>
      </c>
    </row>
    <row r="226" spans="1:10" x14ac:dyDescent="0.35">
      <c r="A226" t="s">
        <v>509</v>
      </c>
      <c r="B226">
        <v>100</v>
      </c>
      <c r="C226" s="1">
        <v>45968</v>
      </c>
      <c r="D226">
        <v>17680</v>
      </c>
      <c r="E226">
        <v>43443</v>
      </c>
      <c r="F226" s="1">
        <v>44568</v>
      </c>
      <c r="G226" t="s">
        <v>17</v>
      </c>
      <c r="H226" t="s">
        <v>13</v>
      </c>
      <c r="I226" t="s">
        <v>30</v>
      </c>
      <c r="J226">
        <v>11</v>
      </c>
    </row>
    <row r="227" spans="1:10" x14ac:dyDescent="0.35">
      <c r="A227" t="s">
        <v>273</v>
      </c>
      <c r="B227">
        <v>14420</v>
      </c>
      <c r="C227" s="1">
        <v>45750</v>
      </c>
      <c r="D227">
        <v>15106</v>
      </c>
      <c r="E227">
        <v>37340</v>
      </c>
      <c r="F227" s="1">
        <v>37963</v>
      </c>
      <c r="G227" t="s">
        <v>1</v>
      </c>
      <c r="H227" t="s">
        <v>13</v>
      </c>
      <c r="I227" t="s">
        <v>20</v>
      </c>
      <c r="J227">
        <v>4</v>
      </c>
    </row>
    <row r="228" spans="1:10" x14ac:dyDescent="0.35">
      <c r="A228" t="s">
        <v>140</v>
      </c>
      <c r="B228">
        <v>775</v>
      </c>
      <c r="C228" s="1">
        <v>45712</v>
      </c>
      <c r="D228">
        <v>14556</v>
      </c>
      <c r="E228">
        <v>36197</v>
      </c>
      <c r="F228" s="1">
        <v>43523</v>
      </c>
      <c r="G228" t="s">
        <v>17</v>
      </c>
      <c r="H228" t="s">
        <v>13</v>
      </c>
      <c r="I228" t="s">
        <v>18</v>
      </c>
      <c r="J228">
        <v>2</v>
      </c>
    </row>
    <row r="229" spans="1:10" x14ac:dyDescent="0.35">
      <c r="A229" t="s">
        <v>187</v>
      </c>
      <c r="B229">
        <v>775</v>
      </c>
      <c r="C229" s="1">
        <v>45737</v>
      </c>
      <c r="D229">
        <v>14917</v>
      </c>
      <c r="E229">
        <v>36890</v>
      </c>
      <c r="F229" s="1">
        <v>45253</v>
      </c>
      <c r="G229" t="s">
        <v>17</v>
      </c>
      <c r="H229" t="s">
        <v>17</v>
      </c>
      <c r="I229" t="s">
        <v>18</v>
      </c>
      <c r="J229">
        <v>3</v>
      </c>
    </row>
    <row r="230" spans="1:10" x14ac:dyDescent="0.35">
      <c r="A230" t="s">
        <v>31</v>
      </c>
      <c r="B230">
        <v>30290</v>
      </c>
      <c r="C230" s="1">
        <v>45681</v>
      </c>
      <c r="D230">
        <v>14261</v>
      </c>
      <c r="E230">
        <v>35771</v>
      </c>
      <c r="F230" s="1">
        <v>38806</v>
      </c>
      <c r="G230" t="s">
        <v>1</v>
      </c>
      <c r="H230" t="s">
        <v>13</v>
      </c>
      <c r="I230" t="s">
        <v>23</v>
      </c>
      <c r="J230">
        <v>1</v>
      </c>
    </row>
    <row r="231" spans="1:10" x14ac:dyDescent="0.35">
      <c r="A231" t="s">
        <v>428</v>
      </c>
      <c r="B231">
        <v>775</v>
      </c>
      <c r="C231" s="1">
        <v>45875</v>
      </c>
      <c r="D231">
        <v>16526</v>
      </c>
      <c r="E231">
        <v>41014</v>
      </c>
      <c r="F231" s="1">
        <v>45527</v>
      </c>
      <c r="G231" t="s">
        <v>17</v>
      </c>
      <c r="H231" t="s">
        <v>17</v>
      </c>
      <c r="I231" t="s">
        <v>18</v>
      </c>
      <c r="J231">
        <v>8</v>
      </c>
    </row>
    <row r="232" spans="1:10" x14ac:dyDescent="0.35">
      <c r="A232" t="s">
        <v>188</v>
      </c>
      <c r="B232">
        <v>100</v>
      </c>
      <c r="C232" s="1">
        <v>45742</v>
      </c>
      <c r="D232">
        <v>14971</v>
      </c>
      <c r="E232">
        <v>36986</v>
      </c>
      <c r="F232" s="1">
        <v>35292</v>
      </c>
      <c r="G232" t="s">
        <v>17</v>
      </c>
      <c r="H232" t="s">
        <v>13</v>
      </c>
      <c r="I232" t="s">
        <v>30</v>
      </c>
      <c r="J232">
        <v>3</v>
      </c>
    </row>
    <row r="233" spans="1:10" x14ac:dyDescent="0.35">
      <c r="A233" t="s">
        <v>385</v>
      </c>
      <c r="B233">
        <v>775</v>
      </c>
      <c r="C233" s="1">
        <v>45855</v>
      </c>
      <c r="D233">
        <v>16287</v>
      </c>
      <c r="E233">
        <v>40201</v>
      </c>
      <c r="F233" s="1">
        <v>45530</v>
      </c>
      <c r="G233" t="s">
        <v>17</v>
      </c>
      <c r="H233" t="s">
        <v>17</v>
      </c>
      <c r="I233" t="s">
        <v>18</v>
      </c>
      <c r="J233">
        <v>7</v>
      </c>
    </row>
    <row r="234" spans="1:10" x14ac:dyDescent="0.35">
      <c r="A234" t="s">
        <v>386</v>
      </c>
      <c r="B234">
        <v>1545</v>
      </c>
      <c r="C234" s="1">
        <v>45862</v>
      </c>
      <c r="D234">
        <v>16362</v>
      </c>
      <c r="E234">
        <v>40399</v>
      </c>
      <c r="F234" s="1">
        <v>45862</v>
      </c>
      <c r="G234" t="s">
        <v>19</v>
      </c>
      <c r="H234" t="s">
        <v>13</v>
      </c>
      <c r="I234" t="s">
        <v>20</v>
      </c>
      <c r="J234">
        <v>7</v>
      </c>
    </row>
    <row r="235" spans="1:10" x14ac:dyDescent="0.35">
      <c r="A235" t="s">
        <v>141</v>
      </c>
      <c r="B235">
        <v>1545</v>
      </c>
      <c r="C235" s="1">
        <v>45708</v>
      </c>
      <c r="D235">
        <v>14524</v>
      </c>
      <c r="E235">
        <v>36150</v>
      </c>
      <c r="F235" s="1">
        <v>45280</v>
      </c>
      <c r="G235" t="s">
        <v>0</v>
      </c>
      <c r="H235" t="s">
        <v>13</v>
      </c>
      <c r="I235" t="s">
        <v>20</v>
      </c>
      <c r="J235">
        <v>2</v>
      </c>
    </row>
    <row r="236" spans="1:10" x14ac:dyDescent="0.35">
      <c r="A236" t="s">
        <v>24</v>
      </c>
      <c r="B236">
        <v>1545</v>
      </c>
      <c r="C236" s="1">
        <v>45685</v>
      </c>
      <c r="D236">
        <v>14273</v>
      </c>
      <c r="E236">
        <v>35804</v>
      </c>
      <c r="F236" s="1">
        <v>45303</v>
      </c>
      <c r="G236" t="s">
        <v>19</v>
      </c>
      <c r="H236" t="s">
        <v>13</v>
      </c>
      <c r="I236" t="s">
        <v>20</v>
      </c>
      <c r="J236">
        <v>1</v>
      </c>
    </row>
    <row r="237" spans="1:10" x14ac:dyDescent="0.35">
      <c r="A237" t="s">
        <v>429</v>
      </c>
      <c r="B237">
        <v>16500</v>
      </c>
      <c r="C237" s="1">
        <v>45895</v>
      </c>
      <c r="D237">
        <v>16931</v>
      </c>
      <c r="E237">
        <v>42435</v>
      </c>
      <c r="F237" s="1">
        <v>45525</v>
      </c>
      <c r="G237" t="s">
        <v>12</v>
      </c>
      <c r="H237" t="s">
        <v>17</v>
      </c>
      <c r="I237" t="s">
        <v>23</v>
      </c>
      <c r="J237">
        <v>8</v>
      </c>
    </row>
    <row r="238" spans="1:10" x14ac:dyDescent="0.35">
      <c r="A238" t="s">
        <v>387</v>
      </c>
      <c r="B238">
        <v>14420</v>
      </c>
      <c r="C238" s="1">
        <v>45869</v>
      </c>
      <c r="D238">
        <v>16450</v>
      </c>
      <c r="E238">
        <v>40595</v>
      </c>
      <c r="F238" s="1">
        <v>40295</v>
      </c>
      <c r="G238" t="s">
        <v>1</v>
      </c>
      <c r="H238" t="s">
        <v>13</v>
      </c>
      <c r="I238" t="s">
        <v>20</v>
      </c>
      <c r="J238">
        <v>7</v>
      </c>
    </row>
    <row r="239" spans="1:10" x14ac:dyDescent="0.35">
      <c r="A239" t="s">
        <v>510</v>
      </c>
      <c r="B239">
        <v>7200</v>
      </c>
      <c r="C239" s="1">
        <v>45964</v>
      </c>
      <c r="D239">
        <v>17644</v>
      </c>
      <c r="E239">
        <v>43405</v>
      </c>
      <c r="F239" s="1">
        <v>39393</v>
      </c>
      <c r="G239" t="s">
        <v>19</v>
      </c>
      <c r="H239" t="s">
        <v>13</v>
      </c>
      <c r="I239" t="s">
        <v>14</v>
      </c>
      <c r="J239">
        <v>11</v>
      </c>
    </row>
    <row r="240" spans="1:10" x14ac:dyDescent="0.35">
      <c r="A240" t="s">
        <v>388</v>
      </c>
      <c r="B240">
        <v>9685</v>
      </c>
      <c r="C240" s="1">
        <v>45861</v>
      </c>
      <c r="D240">
        <v>16354</v>
      </c>
      <c r="E240">
        <v>40367</v>
      </c>
      <c r="F240" s="1">
        <v>40045</v>
      </c>
      <c r="G240" t="s">
        <v>0</v>
      </c>
      <c r="H240" t="s">
        <v>13</v>
      </c>
      <c r="I240" t="s">
        <v>20</v>
      </c>
      <c r="J240">
        <v>7</v>
      </c>
    </row>
    <row r="241" spans="1:10" x14ac:dyDescent="0.35">
      <c r="A241" t="s">
        <v>107</v>
      </c>
      <c r="B241">
        <v>775</v>
      </c>
      <c r="C241" s="1">
        <v>45681</v>
      </c>
      <c r="D241">
        <v>14224</v>
      </c>
      <c r="E241">
        <v>35734</v>
      </c>
      <c r="F241" s="1">
        <v>45681</v>
      </c>
      <c r="G241" t="s">
        <v>17</v>
      </c>
      <c r="H241" t="s">
        <v>13</v>
      </c>
      <c r="I241" t="s">
        <v>18</v>
      </c>
      <c r="J241">
        <v>1</v>
      </c>
    </row>
    <row r="242" spans="1:10" x14ac:dyDescent="0.35">
      <c r="A242" t="s">
        <v>189</v>
      </c>
      <c r="B242">
        <v>775</v>
      </c>
      <c r="C242" s="1">
        <v>45723</v>
      </c>
      <c r="D242">
        <v>14688</v>
      </c>
      <c r="E242">
        <v>36501</v>
      </c>
      <c r="F242" s="1">
        <v>45383</v>
      </c>
      <c r="G242" t="s">
        <v>17</v>
      </c>
      <c r="H242" t="s">
        <v>17</v>
      </c>
      <c r="I242" t="s">
        <v>18</v>
      </c>
      <c r="J242">
        <v>3</v>
      </c>
    </row>
    <row r="243" spans="1:10" x14ac:dyDescent="0.35">
      <c r="A243" t="s">
        <v>340</v>
      </c>
      <c r="B243">
        <v>775</v>
      </c>
      <c r="C243" s="1">
        <v>45811</v>
      </c>
      <c r="D243">
        <v>15788</v>
      </c>
      <c r="E243">
        <v>39355</v>
      </c>
      <c r="F243" s="1">
        <v>45448</v>
      </c>
      <c r="G243" t="s">
        <v>17</v>
      </c>
      <c r="H243" t="s">
        <v>17</v>
      </c>
      <c r="I243" t="s">
        <v>18</v>
      </c>
      <c r="J243">
        <v>6</v>
      </c>
    </row>
    <row r="244" spans="1:10" x14ac:dyDescent="0.35">
      <c r="A244" t="s">
        <v>274</v>
      </c>
      <c r="B244">
        <v>23375</v>
      </c>
      <c r="C244" s="1">
        <v>45751</v>
      </c>
      <c r="D244">
        <v>15148</v>
      </c>
      <c r="E244">
        <v>37584</v>
      </c>
      <c r="F244" s="1">
        <v>37830</v>
      </c>
      <c r="G244" t="s">
        <v>19</v>
      </c>
      <c r="H244" t="s">
        <v>13</v>
      </c>
      <c r="I244" t="s">
        <v>20</v>
      </c>
      <c r="J244">
        <v>4</v>
      </c>
    </row>
    <row r="245" spans="1:10" x14ac:dyDescent="0.35">
      <c r="A245" t="s">
        <v>275</v>
      </c>
      <c r="B245">
        <v>100</v>
      </c>
      <c r="C245" s="1">
        <v>45799</v>
      </c>
      <c r="D245">
        <v>15714</v>
      </c>
      <c r="E245">
        <v>39243</v>
      </c>
      <c r="F245" s="1">
        <v>45799</v>
      </c>
      <c r="G245" t="s">
        <v>17</v>
      </c>
      <c r="H245" t="s">
        <v>13</v>
      </c>
      <c r="I245" t="s">
        <v>30</v>
      </c>
      <c r="J245">
        <v>5</v>
      </c>
    </row>
    <row r="246" spans="1:10" x14ac:dyDescent="0.35">
      <c r="A246" t="s">
        <v>276</v>
      </c>
      <c r="B246">
        <v>775</v>
      </c>
      <c r="C246" s="1">
        <v>45801</v>
      </c>
      <c r="D246">
        <v>15724</v>
      </c>
      <c r="E246">
        <v>39253</v>
      </c>
      <c r="F246" s="1">
        <v>43966</v>
      </c>
      <c r="G246" t="s">
        <v>17</v>
      </c>
      <c r="H246" t="s">
        <v>13</v>
      </c>
      <c r="I246" t="s">
        <v>18</v>
      </c>
      <c r="J246">
        <v>5</v>
      </c>
    </row>
    <row r="247" spans="1:10" x14ac:dyDescent="0.35">
      <c r="A247" t="s">
        <v>341</v>
      </c>
      <c r="B247">
        <v>775</v>
      </c>
      <c r="C247" s="1">
        <v>45827</v>
      </c>
      <c r="D247">
        <v>15947</v>
      </c>
      <c r="E247">
        <v>39621</v>
      </c>
      <c r="F247" s="1">
        <v>45827</v>
      </c>
      <c r="G247" t="s">
        <v>17</v>
      </c>
      <c r="H247" t="s">
        <v>13</v>
      </c>
      <c r="I247" t="s">
        <v>18</v>
      </c>
      <c r="J247">
        <v>6</v>
      </c>
    </row>
    <row r="248" spans="1:10" x14ac:dyDescent="0.35">
      <c r="A248" t="s">
        <v>190</v>
      </c>
      <c r="B248">
        <v>775</v>
      </c>
      <c r="C248" s="1">
        <v>45741</v>
      </c>
      <c r="D248">
        <v>14948</v>
      </c>
      <c r="E248">
        <v>36939</v>
      </c>
      <c r="F248" s="1">
        <v>45741</v>
      </c>
      <c r="G248" t="s">
        <v>17</v>
      </c>
      <c r="H248" t="s">
        <v>17</v>
      </c>
      <c r="I248" t="s">
        <v>18</v>
      </c>
      <c r="J248">
        <v>3</v>
      </c>
    </row>
    <row r="249" spans="1:10" x14ac:dyDescent="0.35">
      <c r="A249" t="s">
        <v>511</v>
      </c>
      <c r="B249">
        <v>1905</v>
      </c>
      <c r="C249" s="1">
        <v>45974</v>
      </c>
      <c r="D249">
        <v>17718</v>
      </c>
      <c r="E249">
        <v>43480</v>
      </c>
      <c r="F249" s="1">
        <v>39778</v>
      </c>
      <c r="G249" t="s">
        <v>19</v>
      </c>
      <c r="H249" t="s">
        <v>27</v>
      </c>
      <c r="I249" t="s">
        <v>14</v>
      </c>
      <c r="J249">
        <v>11</v>
      </c>
    </row>
    <row r="250" spans="1:10" x14ac:dyDescent="0.35">
      <c r="A250" t="s">
        <v>457</v>
      </c>
      <c r="B250">
        <v>775</v>
      </c>
      <c r="C250" s="1">
        <v>45916</v>
      </c>
      <c r="D250">
        <v>17245</v>
      </c>
      <c r="E250">
        <v>42964</v>
      </c>
      <c r="F250" s="1">
        <v>44800</v>
      </c>
      <c r="G250" t="s">
        <v>17</v>
      </c>
      <c r="H250" t="s">
        <v>17</v>
      </c>
      <c r="I250" t="s">
        <v>18</v>
      </c>
      <c r="J250">
        <v>9</v>
      </c>
    </row>
    <row r="251" spans="1:10" x14ac:dyDescent="0.35">
      <c r="A251" t="s">
        <v>277</v>
      </c>
      <c r="B251">
        <v>775</v>
      </c>
      <c r="C251" s="1">
        <v>45767</v>
      </c>
      <c r="D251">
        <v>15350</v>
      </c>
      <c r="E251">
        <v>38390</v>
      </c>
      <c r="F251" s="1">
        <v>44327</v>
      </c>
      <c r="G251" t="s">
        <v>17</v>
      </c>
      <c r="H251" t="s">
        <v>17</v>
      </c>
      <c r="I251" t="s">
        <v>18</v>
      </c>
      <c r="J251">
        <v>4</v>
      </c>
    </row>
    <row r="252" spans="1:10" x14ac:dyDescent="0.35">
      <c r="A252" t="s">
        <v>481</v>
      </c>
      <c r="B252">
        <v>775</v>
      </c>
      <c r="C252" s="1">
        <v>45963</v>
      </c>
      <c r="D252">
        <v>17635</v>
      </c>
      <c r="E252">
        <v>43395</v>
      </c>
      <c r="F252" s="1">
        <v>43465</v>
      </c>
      <c r="G252" t="s">
        <v>17</v>
      </c>
      <c r="H252" t="s">
        <v>17</v>
      </c>
      <c r="I252" t="s">
        <v>18</v>
      </c>
      <c r="J252">
        <v>11</v>
      </c>
    </row>
    <row r="253" spans="1:10" x14ac:dyDescent="0.35">
      <c r="A253" t="s">
        <v>142</v>
      </c>
      <c r="B253">
        <v>16175</v>
      </c>
      <c r="C253" s="1">
        <v>45705</v>
      </c>
      <c r="D253">
        <v>14479</v>
      </c>
      <c r="E253">
        <v>36084</v>
      </c>
      <c r="F253" s="1">
        <v>40205</v>
      </c>
      <c r="G253" t="s">
        <v>19</v>
      </c>
      <c r="H253" t="s">
        <v>13</v>
      </c>
      <c r="I253" t="s">
        <v>20</v>
      </c>
      <c r="J253">
        <v>2</v>
      </c>
    </row>
    <row r="254" spans="1:10" x14ac:dyDescent="0.35">
      <c r="A254" t="s">
        <v>143</v>
      </c>
      <c r="B254">
        <v>23375</v>
      </c>
      <c r="C254" s="1">
        <v>45688</v>
      </c>
      <c r="D254">
        <v>14349</v>
      </c>
      <c r="E254">
        <v>35900</v>
      </c>
      <c r="F254" s="1">
        <v>40861</v>
      </c>
      <c r="G254" t="s">
        <v>19</v>
      </c>
      <c r="H254" t="s">
        <v>13</v>
      </c>
      <c r="I254" t="s">
        <v>20</v>
      </c>
      <c r="J254">
        <v>1</v>
      </c>
    </row>
    <row r="255" spans="1:10" x14ac:dyDescent="0.35">
      <c r="A255" t="s">
        <v>458</v>
      </c>
      <c r="B255">
        <v>1905</v>
      </c>
      <c r="C255" s="1">
        <v>45905</v>
      </c>
      <c r="D255">
        <v>17089</v>
      </c>
      <c r="E255">
        <v>42732</v>
      </c>
      <c r="F255" s="1">
        <v>45905</v>
      </c>
      <c r="G255" t="s">
        <v>19</v>
      </c>
      <c r="H255" t="s">
        <v>13</v>
      </c>
      <c r="I255" t="s">
        <v>14</v>
      </c>
      <c r="J255">
        <v>9</v>
      </c>
    </row>
    <row r="256" spans="1:10" x14ac:dyDescent="0.35">
      <c r="A256" t="s">
        <v>278</v>
      </c>
      <c r="B256">
        <v>775</v>
      </c>
      <c r="C256" s="1">
        <v>45804</v>
      </c>
      <c r="D256">
        <v>15733</v>
      </c>
      <c r="E256">
        <v>39262</v>
      </c>
      <c r="F256" s="1">
        <v>45804</v>
      </c>
      <c r="G256" t="s">
        <v>17</v>
      </c>
      <c r="H256" t="s">
        <v>13</v>
      </c>
      <c r="I256" t="s">
        <v>18</v>
      </c>
      <c r="J256">
        <v>5</v>
      </c>
    </row>
    <row r="257" spans="1:10" x14ac:dyDescent="0.35">
      <c r="A257" t="s">
        <v>191</v>
      </c>
      <c r="B257">
        <v>775</v>
      </c>
      <c r="C257" s="1">
        <v>45740</v>
      </c>
      <c r="D257">
        <v>14947</v>
      </c>
      <c r="E257">
        <v>36938</v>
      </c>
      <c r="F257" s="1">
        <v>45740</v>
      </c>
      <c r="G257" t="s">
        <v>17</v>
      </c>
      <c r="H257" t="s">
        <v>17</v>
      </c>
      <c r="I257" t="s">
        <v>18</v>
      </c>
      <c r="J257">
        <v>3</v>
      </c>
    </row>
    <row r="258" spans="1:10" x14ac:dyDescent="0.35">
      <c r="A258" t="s">
        <v>430</v>
      </c>
      <c r="B258">
        <v>775</v>
      </c>
      <c r="C258" s="1">
        <v>45889</v>
      </c>
      <c r="D258">
        <v>16770</v>
      </c>
      <c r="E258">
        <v>42091</v>
      </c>
      <c r="F258" s="1">
        <v>45523</v>
      </c>
      <c r="G258" t="s">
        <v>17</v>
      </c>
      <c r="H258" t="s">
        <v>17</v>
      </c>
      <c r="I258" t="s">
        <v>18</v>
      </c>
      <c r="J258">
        <v>8</v>
      </c>
    </row>
    <row r="259" spans="1:10" x14ac:dyDescent="0.35">
      <c r="A259" t="s">
        <v>431</v>
      </c>
      <c r="B259">
        <v>775</v>
      </c>
      <c r="C259" s="1">
        <v>45895</v>
      </c>
      <c r="D259">
        <v>16929</v>
      </c>
      <c r="E259">
        <v>42433</v>
      </c>
      <c r="F259" s="1">
        <v>45566</v>
      </c>
      <c r="G259" t="s">
        <v>17</v>
      </c>
      <c r="H259" t="s">
        <v>326</v>
      </c>
      <c r="I259" t="s">
        <v>18</v>
      </c>
      <c r="J259">
        <v>8</v>
      </c>
    </row>
    <row r="260" spans="1:10" x14ac:dyDescent="0.35">
      <c r="A260" t="s">
        <v>432</v>
      </c>
      <c r="B260">
        <v>775</v>
      </c>
      <c r="C260" s="1">
        <v>45874</v>
      </c>
      <c r="D260">
        <v>16513</v>
      </c>
      <c r="E260">
        <v>40931</v>
      </c>
      <c r="F260" s="1">
        <v>44784</v>
      </c>
      <c r="G260" t="s">
        <v>17</v>
      </c>
      <c r="H260" t="s">
        <v>13</v>
      </c>
      <c r="I260" t="s">
        <v>18</v>
      </c>
      <c r="J260">
        <v>8</v>
      </c>
    </row>
    <row r="261" spans="1:10" x14ac:dyDescent="0.35">
      <c r="A261" t="s">
        <v>512</v>
      </c>
      <c r="B261">
        <v>775</v>
      </c>
      <c r="C261" s="1">
        <v>45975</v>
      </c>
      <c r="D261">
        <v>17725</v>
      </c>
      <c r="E261">
        <v>43487</v>
      </c>
      <c r="F261" s="1">
        <v>45975</v>
      </c>
      <c r="G261" t="s">
        <v>17</v>
      </c>
      <c r="H261" t="s">
        <v>13</v>
      </c>
      <c r="I261" t="s">
        <v>18</v>
      </c>
      <c r="J261">
        <v>11</v>
      </c>
    </row>
    <row r="262" spans="1:10" x14ac:dyDescent="0.35">
      <c r="A262" t="s">
        <v>279</v>
      </c>
      <c r="B262">
        <v>30290</v>
      </c>
      <c r="C262" s="1">
        <v>45786</v>
      </c>
      <c r="D262">
        <v>15576</v>
      </c>
      <c r="E262">
        <v>39000</v>
      </c>
      <c r="F262" s="1">
        <v>37810</v>
      </c>
      <c r="G262" t="s">
        <v>1</v>
      </c>
      <c r="H262" t="s">
        <v>13</v>
      </c>
      <c r="I262" t="s">
        <v>23</v>
      </c>
      <c r="J262">
        <v>5</v>
      </c>
    </row>
    <row r="263" spans="1:10" x14ac:dyDescent="0.35">
      <c r="A263" t="s">
        <v>280</v>
      </c>
      <c r="B263">
        <v>1905</v>
      </c>
      <c r="C263" s="1">
        <v>45763</v>
      </c>
      <c r="D263">
        <v>15282</v>
      </c>
      <c r="E263">
        <v>38056</v>
      </c>
      <c r="F263" s="1">
        <v>43966</v>
      </c>
      <c r="G263" t="s">
        <v>12</v>
      </c>
      <c r="H263" t="s">
        <v>13</v>
      </c>
      <c r="I263" t="s">
        <v>14</v>
      </c>
      <c r="J263">
        <v>4</v>
      </c>
    </row>
    <row r="264" spans="1:10" x14ac:dyDescent="0.35">
      <c r="A264" t="s">
        <v>281</v>
      </c>
      <c r="B264">
        <v>23375</v>
      </c>
      <c r="C264" s="1">
        <v>45804</v>
      </c>
      <c r="D264">
        <v>15735</v>
      </c>
      <c r="E264">
        <v>39264</v>
      </c>
      <c r="F264" s="1">
        <v>43175</v>
      </c>
      <c r="G264" t="s">
        <v>0</v>
      </c>
      <c r="H264" t="s">
        <v>13</v>
      </c>
      <c r="I264" t="s">
        <v>20</v>
      </c>
      <c r="J264">
        <v>5</v>
      </c>
    </row>
    <row r="265" spans="1:10" x14ac:dyDescent="0.35">
      <c r="A265" t="s">
        <v>108</v>
      </c>
      <c r="B265">
        <v>14420</v>
      </c>
      <c r="C265" s="1">
        <v>45863</v>
      </c>
      <c r="D265">
        <v>16383</v>
      </c>
      <c r="E265">
        <v>40464</v>
      </c>
      <c r="F265" s="1">
        <v>33935</v>
      </c>
      <c r="G265" t="s">
        <v>1</v>
      </c>
      <c r="H265" t="s">
        <v>13</v>
      </c>
      <c r="I265" t="s">
        <v>20</v>
      </c>
      <c r="J265">
        <v>7</v>
      </c>
    </row>
    <row r="266" spans="1:10" x14ac:dyDescent="0.35">
      <c r="A266" t="s">
        <v>108</v>
      </c>
      <c r="B266">
        <v>14420</v>
      </c>
      <c r="C266" s="1">
        <v>45686</v>
      </c>
      <c r="D266">
        <v>14284</v>
      </c>
      <c r="E266">
        <v>35819</v>
      </c>
      <c r="F266" s="1">
        <v>33935</v>
      </c>
      <c r="G266" t="s">
        <v>1</v>
      </c>
      <c r="H266" t="s">
        <v>13</v>
      </c>
      <c r="I266" t="s">
        <v>20</v>
      </c>
      <c r="J266">
        <v>1</v>
      </c>
    </row>
    <row r="267" spans="1:10" x14ac:dyDescent="0.35">
      <c r="A267" t="s">
        <v>109</v>
      </c>
      <c r="B267">
        <v>23375</v>
      </c>
      <c r="C267" s="1">
        <v>45666</v>
      </c>
      <c r="D267">
        <v>13901</v>
      </c>
      <c r="E267">
        <v>35281</v>
      </c>
      <c r="F267" s="1">
        <v>37964</v>
      </c>
      <c r="G267" t="s">
        <v>19</v>
      </c>
      <c r="H267" t="s">
        <v>13</v>
      </c>
      <c r="I267" t="s">
        <v>20</v>
      </c>
      <c r="J267">
        <v>1</v>
      </c>
    </row>
    <row r="268" spans="1:10" x14ac:dyDescent="0.35">
      <c r="A268" t="s">
        <v>282</v>
      </c>
      <c r="B268">
        <v>1905</v>
      </c>
      <c r="C268" s="1">
        <v>45805</v>
      </c>
      <c r="D268">
        <v>15744</v>
      </c>
      <c r="E268">
        <v>39273</v>
      </c>
      <c r="F268" s="1">
        <v>44790</v>
      </c>
      <c r="G268" t="s">
        <v>12</v>
      </c>
      <c r="H268" t="s">
        <v>175</v>
      </c>
      <c r="I268" t="s">
        <v>14</v>
      </c>
      <c r="J268">
        <v>5</v>
      </c>
    </row>
    <row r="269" spans="1:10" x14ac:dyDescent="0.35">
      <c r="A269" t="s">
        <v>144</v>
      </c>
      <c r="B269">
        <v>2370</v>
      </c>
      <c r="C269" s="1">
        <v>45692</v>
      </c>
      <c r="D269">
        <v>14365</v>
      </c>
      <c r="E269">
        <v>35916</v>
      </c>
      <c r="F269" s="1">
        <v>41988</v>
      </c>
      <c r="G269" t="s">
        <v>19</v>
      </c>
      <c r="H269" t="s">
        <v>13</v>
      </c>
      <c r="I269" t="s">
        <v>20</v>
      </c>
      <c r="J269">
        <v>2</v>
      </c>
    </row>
    <row r="270" spans="1:10" x14ac:dyDescent="0.35">
      <c r="A270" t="s">
        <v>192</v>
      </c>
      <c r="B270">
        <v>100</v>
      </c>
      <c r="C270" s="1">
        <v>45734</v>
      </c>
      <c r="D270">
        <v>14828</v>
      </c>
      <c r="E270">
        <v>36741</v>
      </c>
      <c r="F270" s="1">
        <v>44729</v>
      </c>
      <c r="G270" t="s">
        <v>17</v>
      </c>
      <c r="H270" t="s">
        <v>13</v>
      </c>
      <c r="I270" t="s">
        <v>30</v>
      </c>
      <c r="J270">
        <v>3</v>
      </c>
    </row>
    <row r="271" spans="1:10" x14ac:dyDescent="0.35">
      <c r="A271" t="s">
        <v>283</v>
      </c>
      <c r="B271">
        <v>1650</v>
      </c>
      <c r="C271" s="1">
        <v>45750</v>
      </c>
      <c r="D271">
        <v>15084</v>
      </c>
      <c r="E271">
        <v>37267</v>
      </c>
      <c r="F271" s="1">
        <v>42459</v>
      </c>
      <c r="G271" t="s">
        <v>1</v>
      </c>
      <c r="H271" t="s">
        <v>284</v>
      </c>
      <c r="I271" t="s">
        <v>20</v>
      </c>
      <c r="J271">
        <v>4</v>
      </c>
    </row>
    <row r="272" spans="1:10" x14ac:dyDescent="0.35">
      <c r="A272" t="s">
        <v>145</v>
      </c>
      <c r="B272">
        <v>2370</v>
      </c>
      <c r="C272" s="1">
        <v>45712</v>
      </c>
      <c r="D272">
        <v>14564</v>
      </c>
      <c r="E272">
        <v>36212</v>
      </c>
      <c r="F272" s="1">
        <v>41386</v>
      </c>
      <c r="G272" t="s">
        <v>19</v>
      </c>
      <c r="H272" t="s">
        <v>13</v>
      </c>
      <c r="I272" t="s">
        <v>20</v>
      </c>
      <c r="J272">
        <v>2</v>
      </c>
    </row>
    <row r="273" spans="1:10" x14ac:dyDescent="0.35">
      <c r="A273" t="s">
        <v>342</v>
      </c>
      <c r="B273">
        <v>23375</v>
      </c>
      <c r="C273" s="1">
        <v>45818</v>
      </c>
      <c r="D273">
        <v>15858</v>
      </c>
      <c r="E273">
        <v>39470</v>
      </c>
      <c r="F273" s="1">
        <v>38363</v>
      </c>
      <c r="G273" t="s">
        <v>19</v>
      </c>
      <c r="H273" t="s">
        <v>13</v>
      </c>
      <c r="I273" t="s">
        <v>20</v>
      </c>
      <c r="J273">
        <v>6</v>
      </c>
    </row>
    <row r="274" spans="1:10" x14ac:dyDescent="0.35">
      <c r="A274" t="s">
        <v>146</v>
      </c>
      <c r="B274">
        <v>775</v>
      </c>
      <c r="C274" s="1">
        <v>45714</v>
      </c>
      <c r="D274">
        <v>14607</v>
      </c>
      <c r="E274">
        <v>36304</v>
      </c>
      <c r="F274" s="1">
        <v>41103</v>
      </c>
      <c r="G274" t="s">
        <v>17</v>
      </c>
      <c r="H274" t="s">
        <v>27</v>
      </c>
      <c r="I274" t="s">
        <v>18</v>
      </c>
      <c r="J274">
        <v>2</v>
      </c>
    </row>
    <row r="275" spans="1:10" x14ac:dyDescent="0.35">
      <c r="A275" t="s">
        <v>343</v>
      </c>
      <c r="B275">
        <v>23375</v>
      </c>
      <c r="C275" s="1">
        <v>45820</v>
      </c>
      <c r="D275">
        <v>15875</v>
      </c>
      <c r="E275">
        <v>39488</v>
      </c>
      <c r="F275" s="1">
        <v>37509</v>
      </c>
      <c r="G275" t="s">
        <v>344</v>
      </c>
      <c r="H275" t="s">
        <v>13</v>
      </c>
      <c r="I275" t="s">
        <v>20</v>
      </c>
      <c r="J275">
        <v>6</v>
      </c>
    </row>
    <row r="276" spans="1:10" x14ac:dyDescent="0.35">
      <c r="A276" t="s">
        <v>345</v>
      </c>
      <c r="B276">
        <v>775</v>
      </c>
      <c r="C276" s="1">
        <v>45817</v>
      </c>
      <c r="D276">
        <v>15840</v>
      </c>
      <c r="E276">
        <v>39417</v>
      </c>
      <c r="F276" s="1">
        <v>45090</v>
      </c>
      <c r="G276" t="s">
        <v>17</v>
      </c>
      <c r="H276" t="s">
        <v>13</v>
      </c>
      <c r="I276" t="s">
        <v>18</v>
      </c>
      <c r="J276">
        <v>6</v>
      </c>
    </row>
    <row r="277" spans="1:10" x14ac:dyDescent="0.35">
      <c r="A277" t="s">
        <v>285</v>
      </c>
      <c r="B277">
        <v>775</v>
      </c>
      <c r="C277" s="1">
        <v>45799</v>
      </c>
      <c r="D277">
        <v>15709</v>
      </c>
      <c r="E277">
        <v>39238</v>
      </c>
      <c r="F277" s="1">
        <v>45799</v>
      </c>
      <c r="G277" t="s">
        <v>17</v>
      </c>
      <c r="H277" t="s">
        <v>17</v>
      </c>
      <c r="I277" t="s">
        <v>18</v>
      </c>
      <c r="J277">
        <v>5</v>
      </c>
    </row>
    <row r="278" spans="1:10" x14ac:dyDescent="0.35">
      <c r="A278" t="s">
        <v>433</v>
      </c>
      <c r="B278">
        <v>775</v>
      </c>
      <c r="C278" s="1">
        <v>45894</v>
      </c>
      <c r="D278">
        <v>16909</v>
      </c>
      <c r="E278">
        <v>42405</v>
      </c>
      <c r="F278" s="1">
        <v>45498</v>
      </c>
      <c r="G278" t="s">
        <v>17</v>
      </c>
      <c r="H278" t="s">
        <v>17</v>
      </c>
      <c r="I278" t="s">
        <v>18</v>
      </c>
      <c r="J278">
        <v>8</v>
      </c>
    </row>
    <row r="279" spans="1:10" x14ac:dyDescent="0.35">
      <c r="A279" t="s">
        <v>147</v>
      </c>
      <c r="B279">
        <v>3455</v>
      </c>
      <c r="C279" s="1">
        <v>45699</v>
      </c>
      <c r="D279">
        <v>14441</v>
      </c>
      <c r="E279">
        <v>36032</v>
      </c>
      <c r="F279" s="1">
        <v>45344</v>
      </c>
      <c r="G279" t="s">
        <v>12</v>
      </c>
      <c r="H279" t="s">
        <v>13</v>
      </c>
      <c r="I279" t="s">
        <v>20</v>
      </c>
      <c r="J279">
        <v>2</v>
      </c>
    </row>
    <row r="280" spans="1:10" x14ac:dyDescent="0.35">
      <c r="A280" t="s">
        <v>389</v>
      </c>
      <c r="B280">
        <v>2680</v>
      </c>
      <c r="C280" s="1">
        <v>45856</v>
      </c>
      <c r="D280">
        <v>16330</v>
      </c>
      <c r="E280">
        <v>40308</v>
      </c>
      <c r="F280" s="1">
        <v>38555</v>
      </c>
      <c r="G280" t="s">
        <v>12</v>
      </c>
      <c r="H280" t="s">
        <v>13</v>
      </c>
      <c r="I280" t="s">
        <v>20</v>
      </c>
      <c r="J280">
        <v>7</v>
      </c>
    </row>
    <row r="281" spans="1:10" x14ac:dyDescent="0.35">
      <c r="A281" t="s">
        <v>286</v>
      </c>
      <c r="B281">
        <v>775</v>
      </c>
      <c r="C281" s="1">
        <v>45758</v>
      </c>
      <c r="D281">
        <v>15208</v>
      </c>
      <c r="E281">
        <v>37799</v>
      </c>
      <c r="F281" s="1">
        <v>45758</v>
      </c>
      <c r="G281" t="s">
        <v>17</v>
      </c>
      <c r="H281" t="s">
        <v>174</v>
      </c>
      <c r="I281" t="s">
        <v>18</v>
      </c>
      <c r="J281">
        <v>4</v>
      </c>
    </row>
    <row r="282" spans="1:10" x14ac:dyDescent="0.35">
      <c r="A282" t="s">
        <v>482</v>
      </c>
      <c r="B282">
        <v>23375</v>
      </c>
      <c r="C282" s="1">
        <v>45936</v>
      </c>
      <c r="D282">
        <v>17446</v>
      </c>
      <c r="E282">
        <v>43181</v>
      </c>
      <c r="F282" s="1">
        <v>40477</v>
      </c>
      <c r="G282" t="s">
        <v>19</v>
      </c>
      <c r="H282" t="s">
        <v>13</v>
      </c>
      <c r="I282" t="s">
        <v>20</v>
      </c>
      <c r="J282">
        <v>10</v>
      </c>
    </row>
    <row r="283" spans="1:10" x14ac:dyDescent="0.35">
      <c r="A283" t="s">
        <v>390</v>
      </c>
      <c r="B283">
        <v>1545</v>
      </c>
      <c r="C283" s="1">
        <v>45839</v>
      </c>
      <c r="D283">
        <v>16062</v>
      </c>
      <c r="E283">
        <v>39802</v>
      </c>
      <c r="F283" s="1">
        <v>45839</v>
      </c>
      <c r="G283" t="s">
        <v>0</v>
      </c>
      <c r="H283" t="s">
        <v>13</v>
      </c>
      <c r="I283" t="s">
        <v>20</v>
      </c>
      <c r="J283">
        <v>7</v>
      </c>
    </row>
    <row r="284" spans="1:10" x14ac:dyDescent="0.35">
      <c r="A284" t="s">
        <v>391</v>
      </c>
      <c r="B284">
        <v>1545</v>
      </c>
      <c r="C284" s="1">
        <v>45863</v>
      </c>
      <c r="D284">
        <v>16384</v>
      </c>
      <c r="E284">
        <v>40465</v>
      </c>
      <c r="F284" s="1">
        <v>35787</v>
      </c>
      <c r="G284" t="s">
        <v>12</v>
      </c>
      <c r="H284" t="s">
        <v>13</v>
      </c>
      <c r="I284" t="s">
        <v>20</v>
      </c>
      <c r="J284">
        <v>7</v>
      </c>
    </row>
    <row r="285" spans="1:10" x14ac:dyDescent="0.35">
      <c r="A285" t="s">
        <v>148</v>
      </c>
      <c r="B285">
        <v>16500</v>
      </c>
      <c r="C285" s="1">
        <v>45720</v>
      </c>
      <c r="D285">
        <v>14663</v>
      </c>
      <c r="E285">
        <v>36436</v>
      </c>
      <c r="F285" s="1">
        <v>41004</v>
      </c>
      <c r="G285" t="s">
        <v>12</v>
      </c>
      <c r="H285" t="s">
        <v>13</v>
      </c>
      <c r="I285" t="s">
        <v>23</v>
      </c>
      <c r="J285">
        <v>3</v>
      </c>
    </row>
    <row r="286" spans="1:10" x14ac:dyDescent="0.35">
      <c r="A286" t="s">
        <v>149</v>
      </c>
      <c r="B286">
        <v>16480</v>
      </c>
      <c r="C286" s="1">
        <v>45709</v>
      </c>
      <c r="D286">
        <v>14560</v>
      </c>
      <c r="E286">
        <v>36208</v>
      </c>
      <c r="F286" s="1">
        <v>36845</v>
      </c>
      <c r="G286" t="s">
        <v>12</v>
      </c>
      <c r="H286" t="s">
        <v>150</v>
      </c>
      <c r="I286" t="s">
        <v>14</v>
      </c>
      <c r="J286">
        <v>2</v>
      </c>
    </row>
    <row r="287" spans="1:10" x14ac:dyDescent="0.35">
      <c r="A287" t="s">
        <v>513</v>
      </c>
      <c r="B287">
        <v>16480</v>
      </c>
      <c r="C287" s="1">
        <v>45987</v>
      </c>
      <c r="D287">
        <v>17858</v>
      </c>
      <c r="E287">
        <v>43622</v>
      </c>
      <c r="F287" s="1">
        <v>40286</v>
      </c>
      <c r="G287" t="s">
        <v>12</v>
      </c>
      <c r="H287" t="s">
        <v>13</v>
      </c>
      <c r="I287" t="s">
        <v>14</v>
      </c>
      <c r="J287">
        <v>11</v>
      </c>
    </row>
    <row r="288" spans="1:10" x14ac:dyDescent="0.35">
      <c r="A288" t="s">
        <v>514</v>
      </c>
      <c r="B288">
        <v>2680</v>
      </c>
      <c r="C288" s="1">
        <v>45973</v>
      </c>
      <c r="D288">
        <v>17709</v>
      </c>
      <c r="E288">
        <v>43470</v>
      </c>
      <c r="F288" s="1">
        <v>41535</v>
      </c>
      <c r="G288" t="s">
        <v>12</v>
      </c>
      <c r="H288" t="s">
        <v>13</v>
      </c>
      <c r="I288" t="s">
        <v>20</v>
      </c>
      <c r="J288">
        <v>11</v>
      </c>
    </row>
    <row r="289" spans="1:10" x14ac:dyDescent="0.35">
      <c r="A289" t="s">
        <v>287</v>
      </c>
      <c r="B289">
        <v>1545</v>
      </c>
      <c r="C289" s="1">
        <v>45806</v>
      </c>
      <c r="D289">
        <v>15757</v>
      </c>
      <c r="E289">
        <v>39305</v>
      </c>
      <c r="F289" s="1">
        <v>45806</v>
      </c>
      <c r="G289" t="s">
        <v>12</v>
      </c>
      <c r="H289" t="s">
        <v>13</v>
      </c>
      <c r="I289" t="s">
        <v>20</v>
      </c>
      <c r="J289">
        <v>5</v>
      </c>
    </row>
    <row r="290" spans="1:10" x14ac:dyDescent="0.35">
      <c r="A290" t="s">
        <v>515</v>
      </c>
      <c r="B290">
        <v>775</v>
      </c>
      <c r="C290" s="1">
        <v>45982</v>
      </c>
      <c r="D290">
        <v>17810</v>
      </c>
      <c r="E290">
        <v>43575</v>
      </c>
      <c r="F290" s="1">
        <v>45982</v>
      </c>
      <c r="G290" t="s">
        <v>17</v>
      </c>
      <c r="H290" t="s">
        <v>13</v>
      </c>
      <c r="I290" t="s">
        <v>18</v>
      </c>
      <c r="J290">
        <v>11</v>
      </c>
    </row>
    <row r="291" spans="1:10" x14ac:dyDescent="0.35">
      <c r="A291" t="s">
        <v>15</v>
      </c>
      <c r="B291">
        <v>1545</v>
      </c>
      <c r="C291" s="1">
        <v>45663</v>
      </c>
      <c r="D291">
        <v>13776</v>
      </c>
      <c r="E291">
        <v>35134</v>
      </c>
      <c r="F291" s="1">
        <v>38720</v>
      </c>
      <c r="G291" t="s">
        <v>12</v>
      </c>
      <c r="H291" t="s">
        <v>13</v>
      </c>
      <c r="I291" t="s">
        <v>20</v>
      </c>
      <c r="J291">
        <v>1</v>
      </c>
    </row>
    <row r="292" spans="1:10" x14ac:dyDescent="0.35">
      <c r="A292" t="s">
        <v>434</v>
      </c>
      <c r="B292">
        <v>7010</v>
      </c>
      <c r="C292" s="1">
        <v>45880</v>
      </c>
      <c r="D292">
        <v>16583</v>
      </c>
      <c r="E292">
        <v>41325</v>
      </c>
      <c r="F292" s="1">
        <v>37214</v>
      </c>
      <c r="G292" t="s">
        <v>12</v>
      </c>
      <c r="H292" t="s">
        <v>13</v>
      </c>
      <c r="I292" t="s">
        <v>20</v>
      </c>
      <c r="J292">
        <v>8</v>
      </c>
    </row>
    <row r="293" spans="1:10" x14ac:dyDescent="0.35">
      <c r="A293" t="s">
        <v>346</v>
      </c>
      <c r="B293">
        <v>5460</v>
      </c>
      <c r="C293" s="1">
        <v>45833</v>
      </c>
      <c r="D293">
        <v>15993</v>
      </c>
      <c r="E293">
        <v>39698</v>
      </c>
      <c r="F293" s="1">
        <v>37466</v>
      </c>
      <c r="G293" t="s">
        <v>12</v>
      </c>
      <c r="H293" t="s">
        <v>13</v>
      </c>
      <c r="I293" t="s">
        <v>20</v>
      </c>
      <c r="J293">
        <v>6</v>
      </c>
    </row>
    <row r="294" spans="1:10" x14ac:dyDescent="0.35">
      <c r="A294" t="s">
        <v>288</v>
      </c>
      <c r="B294">
        <v>5460</v>
      </c>
      <c r="C294" s="1">
        <v>45791</v>
      </c>
      <c r="D294">
        <v>15633</v>
      </c>
      <c r="E294">
        <v>39150</v>
      </c>
      <c r="F294" s="1">
        <v>33604</v>
      </c>
      <c r="G294" t="s">
        <v>12</v>
      </c>
      <c r="H294" t="s">
        <v>13</v>
      </c>
      <c r="I294" t="s">
        <v>20</v>
      </c>
      <c r="J294">
        <v>5</v>
      </c>
    </row>
    <row r="295" spans="1:10" x14ac:dyDescent="0.35">
      <c r="A295" t="s">
        <v>392</v>
      </c>
      <c r="B295">
        <v>1905</v>
      </c>
      <c r="C295" s="1">
        <v>45864</v>
      </c>
      <c r="D295">
        <v>16394</v>
      </c>
      <c r="E295">
        <v>40480</v>
      </c>
      <c r="F295" s="1">
        <v>40767</v>
      </c>
      <c r="G295" t="s">
        <v>12</v>
      </c>
      <c r="H295" t="s">
        <v>13</v>
      </c>
      <c r="I295" t="s">
        <v>14</v>
      </c>
      <c r="J295">
        <v>7</v>
      </c>
    </row>
    <row r="296" spans="1:10" x14ac:dyDescent="0.35">
      <c r="A296" t="s">
        <v>151</v>
      </c>
      <c r="B296">
        <v>5460</v>
      </c>
      <c r="C296" s="1">
        <v>45700</v>
      </c>
      <c r="D296">
        <v>14446</v>
      </c>
      <c r="E296">
        <v>36044</v>
      </c>
      <c r="F296" s="1">
        <v>45069</v>
      </c>
      <c r="G296" t="s">
        <v>12</v>
      </c>
      <c r="H296" t="s">
        <v>13</v>
      </c>
      <c r="I296" t="s">
        <v>20</v>
      </c>
      <c r="J296">
        <v>2</v>
      </c>
    </row>
    <row r="297" spans="1:10" x14ac:dyDescent="0.35">
      <c r="A297" t="s">
        <v>483</v>
      </c>
      <c r="B297">
        <v>1905</v>
      </c>
      <c r="C297" s="1">
        <v>45959</v>
      </c>
      <c r="D297">
        <v>17621</v>
      </c>
      <c r="E297">
        <v>43381</v>
      </c>
      <c r="F297" s="1">
        <v>45600</v>
      </c>
      <c r="G297" t="s">
        <v>19</v>
      </c>
      <c r="H297" t="s">
        <v>13</v>
      </c>
      <c r="I297" t="s">
        <v>14</v>
      </c>
      <c r="J297">
        <v>10</v>
      </c>
    </row>
    <row r="298" spans="1:10" x14ac:dyDescent="0.35">
      <c r="A298" t="s">
        <v>110</v>
      </c>
      <c r="B298">
        <v>2990</v>
      </c>
      <c r="C298" s="1">
        <v>45682</v>
      </c>
      <c r="D298">
        <v>14229</v>
      </c>
      <c r="E298">
        <v>35739</v>
      </c>
      <c r="F298" s="1">
        <v>45682</v>
      </c>
      <c r="G298" t="s">
        <v>19</v>
      </c>
      <c r="H298" t="s">
        <v>13</v>
      </c>
      <c r="I298" t="s">
        <v>14</v>
      </c>
      <c r="J298">
        <v>1</v>
      </c>
    </row>
    <row r="299" spans="1:10" x14ac:dyDescent="0.35">
      <c r="A299" t="s">
        <v>393</v>
      </c>
      <c r="B299">
        <v>2680</v>
      </c>
      <c r="C299" s="1">
        <v>45854</v>
      </c>
      <c r="D299">
        <v>16275</v>
      </c>
      <c r="E299">
        <v>40172</v>
      </c>
      <c r="F299" s="1">
        <v>40246</v>
      </c>
      <c r="G299" t="s">
        <v>12</v>
      </c>
      <c r="H299" t="s">
        <v>13</v>
      </c>
      <c r="I299" t="s">
        <v>20</v>
      </c>
      <c r="J299">
        <v>7</v>
      </c>
    </row>
    <row r="300" spans="1:10" x14ac:dyDescent="0.35">
      <c r="A300" t="s">
        <v>347</v>
      </c>
      <c r="B300">
        <v>14420</v>
      </c>
      <c r="C300" s="1">
        <v>45820</v>
      </c>
      <c r="D300">
        <v>15873</v>
      </c>
      <c r="E300">
        <v>39486</v>
      </c>
      <c r="F300" s="1">
        <v>33974</v>
      </c>
      <c r="G300" t="s">
        <v>1</v>
      </c>
      <c r="H300" t="s">
        <v>13</v>
      </c>
      <c r="I300" t="s">
        <v>20</v>
      </c>
      <c r="J300">
        <v>6</v>
      </c>
    </row>
    <row r="301" spans="1:10" x14ac:dyDescent="0.35">
      <c r="A301" t="s">
        <v>348</v>
      </c>
      <c r="B301">
        <v>2990</v>
      </c>
      <c r="C301" s="1">
        <v>45814</v>
      </c>
      <c r="D301">
        <v>15823</v>
      </c>
      <c r="E301">
        <v>39395</v>
      </c>
      <c r="F301" s="1">
        <v>45055</v>
      </c>
      <c r="G301" t="s">
        <v>0</v>
      </c>
      <c r="H301" t="s">
        <v>13</v>
      </c>
      <c r="I301" t="s">
        <v>14</v>
      </c>
      <c r="J301">
        <v>6</v>
      </c>
    </row>
    <row r="302" spans="1:10" x14ac:dyDescent="0.35">
      <c r="A302" t="s">
        <v>394</v>
      </c>
      <c r="B302">
        <v>18700</v>
      </c>
      <c r="C302" s="1">
        <v>45863</v>
      </c>
      <c r="D302">
        <v>16385</v>
      </c>
      <c r="E302">
        <v>40466</v>
      </c>
      <c r="F302" s="1">
        <v>40211</v>
      </c>
      <c r="G302" t="s">
        <v>19</v>
      </c>
      <c r="H302" t="s">
        <v>13</v>
      </c>
      <c r="I302" t="s">
        <v>20</v>
      </c>
      <c r="J302">
        <v>7</v>
      </c>
    </row>
    <row r="303" spans="1:10" x14ac:dyDescent="0.35">
      <c r="A303" t="s">
        <v>394</v>
      </c>
      <c r="B303">
        <v>4675</v>
      </c>
      <c r="C303" s="1">
        <v>45863</v>
      </c>
      <c r="D303">
        <v>16386</v>
      </c>
      <c r="E303">
        <v>40467</v>
      </c>
      <c r="F303" s="1">
        <v>40211</v>
      </c>
      <c r="G303" t="s">
        <v>19</v>
      </c>
      <c r="H303" t="s">
        <v>13</v>
      </c>
      <c r="I303" t="s">
        <v>20</v>
      </c>
      <c r="J303">
        <v>7</v>
      </c>
    </row>
    <row r="304" spans="1:10" x14ac:dyDescent="0.35">
      <c r="A304" t="s">
        <v>193</v>
      </c>
      <c r="B304">
        <v>775</v>
      </c>
      <c r="C304" s="1">
        <v>45738</v>
      </c>
      <c r="D304">
        <v>14927</v>
      </c>
      <c r="E304">
        <v>36905</v>
      </c>
      <c r="F304" s="1">
        <v>45738</v>
      </c>
      <c r="G304" t="s">
        <v>17</v>
      </c>
      <c r="H304" t="s">
        <v>13</v>
      </c>
      <c r="I304" t="s">
        <v>18</v>
      </c>
      <c r="J304">
        <v>3</v>
      </c>
    </row>
    <row r="305" spans="1:10" x14ac:dyDescent="0.35">
      <c r="A305" t="s">
        <v>435</v>
      </c>
      <c r="B305">
        <v>2370</v>
      </c>
      <c r="C305" s="1">
        <v>45902</v>
      </c>
      <c r="D305">
        <v>16999</v>
      </c>
      <c r="E305">
        <v>42527</v>
      </c>
      <c r="F305" s="1">
        <v>41827</v>
      </c>
      <c r="G305" t="s">
        <v>19</v>
      </c>
      <c r="H305" t="s">
        <v>13</v>
      </c>
      <c r="I305" t="s">
        <v>20</v>
      </c>
      <c r="J305">
        <v>9</v>
      </c>
    </row>
    <row r="306" spans="1:10" x14ac:dyDescent="0.35">
      <c r="A306" t="s">
        <v>152</v>
      </c>
      <c r="B306">
        <v>18025</v>
      </c>
      <c r="C306" s="1">
        <v>45706</v>
      </c>
      <c r="D306">
        <v>14494</v>
      </c>
      <c r="E306">
        <v>36099</v>
      </c>
      <c r="F306" s="1">
        <v>43936</v>
      </c>
      <c r="G306" t="s">
        <v>1</v>
      </c>
      <c r="H306" t="s">
        <v>13</v>
      </c>
      <c r="I306" t="s">
        <v>14</v>
      </c>
      <c r="J306">
        <v>2</v>
      </c>
    </row>
    <row r="307" spans="1:10" x14ac:dyDescent="0.35">
      <c r="A307" t="s">
        <v>289</v>
      </c>
      <c r="B307">
        <v>1545</v>
      </c>
      <c r="C307" s="1">
        <v>45749</v>
      </c>
      <c r="D307">
        <v>15092</v>
      </c>
      <c r="E307">
        <v>37296</v>
      </c>
      <c r="F307" s="1">
        <v>43979</v>
      </c>
      <c r="G307" t="s">
        <v>12</v>
      </c>
      <c r="H307" t="s">
        <v>176</v>
      </c>
      <c r="I307" t="s">
        <v>20</v>
      </c>
      <c r="J307">
        <v>4</v>
      </c>
    </row>
    <row r="308" spans="1:10" x14ac:dyDescent="0.35">
      <c r="A308" t="s">
        <v>516</v>
      </c>
      <c r="B308">
        <v>1545</v>
      </c>
      <c r="C308" s="1">
        <v>45985</v>
      </c>
      <c r="D308">
        <v>17823</v>
      </c>
      <c r="E308">
        <v>43588</v>
      </c>
      <c r="F308" s="1">
        <v>44693</v>
      </c>
      <c r="G308" t="s">
        <v>0</v>
      </c>
      <c r="H308" t="s">
        <v>13</v>
      </c>
      <c r="I308" t="s">
        <v>20</v>
      </c>
      <c r="J308">
        <v>11</v>
      </c>
    </row>
    <row r="309" spans="1:10" x14ac:dyDescent="0.35">
      <c r="A309" t="s">
        <v>153</v>
      </c>
      <c r="B309">
        <v>36050</v>
      </c>
      <c r="C309" s="1">
        <v>45695</v>
      </c>
      <c r="D309">
        <v>14418</v>
      </c>
      <c r="E309">
        <v>36005</v>
      </c>
      <c r="F309" s="1">
        <v>40441</v>
      </c>
      <c r="G309" t="s">
        <v>12</v>
      </c>
      <c r="H309" t="s">
        <v>13</v>
      </c>
      <c r="I309" t="s">
        <v>23</v>
      </c>
      <c r="J309">
        <v>2</v>
      </c>
    </row>
    <row r="310" spans="1:10" x14ac:dyDescent="0.35">
      <c r="A310" t="s">
        <v>395</v>
      </c>
      <c r="B310">
        <v>2680</v>
      </c>
      <c r="C310" s="1">
        <v>45852</v>
      </c>
      <c r="D310">
        <v>16256</v>
      </c>
      <c r="E310">
        <v>40136</v>
      </c>
      <c r="F310" s="1">
        <v>40623</v>
      </c>
      <c r="G310" t="s">
        <v>12</v>
      </c>
      <c r="H310" t="s">
        <v>13</v>
      </c>
      <c r="I310" t="s">
        <v>20</v>
      </c>
      <c r="J310">
        <v>7</v>
      </c>
    </row>
    <row r="311" spans="1:10" x14ac:dyDescent="0.35">
      <c r="A311" t="s">
        <v>194</v>
      </c>
      <c r="B311">
        <v>775</v>
      </c>
      <c r="C311" s="1">
        <v>45727</v>
      </c>
      <c r="D311">
        <v>14714</v>
      </c>
      <c r="E311">
        <v>36537</v>
      </c>
      <c r="F311" s="1">
        <v>43922</v>
      </c>
      <c r="G311" t="s">
        <v>17</v>
      </c>
      <c r="H311" t="s">
        <v>13</v>
      </c>
      <c r="I311" t="s">
        <v>18</v>
      </c>
      <c r="J311">
        <v>3</v>
      </c>
    </row>
    <row r="312" spans="1:10" x14ac:dyDescent="0.35">
      <c r="A312" t="s">
        <v>436</v>
      </c>
      <c r="B312">
        <v>38100</v>
      </c>
      <c r="C312" s="1">
        <v>45898</v>
      </c>
      <c r="D312">
        <v>16965</v>
      </c>
      <c r="E312">
        <v>42480</v>
      </c>
      <c r="F312" s="1">
        <v>35137</v>
      </c>
      <c r="G312" t="s">
        <v>19</v>
      </c>
      <c r="H312" t="s">
        <v>13</v>
      </c>
      <c r="I312" t="s">
        <v>23</v>
      </c>
      <c r="J312">
        <v>8</v>
      </c>
    </row>
    <row r="313" spans="1:10" x14ac:dyDescent="0.35">
      <c r="A313" t="s">
        <v>396</v>
      </c>
      <c r="B313">
        <v>38100</v>
      </c>
      <c r="C313" s="1">
        <v>45863</v>
      </c>
      <c r="D313">
        <v>16397</v>
      </c>
      <c r="E313">
        <v>40483</v>
      </c>
      <c r="F313" s="1">
        <v>39945</v>
      </c>
      <c r="G313" t="s">
        <v>19</v>
      </c>
      <c r="H313" t="s">
        <v>13</v>
      </c>
      <c r="I313" t="s">
        <v>23</v>
      </c>
      <c r="J313">
        <v>7</v>
      </c>
    </row>
    <row r="314" spans="1:10" x14ac:dyDescent="0.35">
      <c r="A314" t="s">
        <v>517</v>
      </c>
      <c r="B314">
        <v>2680</v>
      </c>
      <c r="C314" s="1">
        <v>45979</v>
      </c>
      <c r="D314">
        <v>17745</v>
      </c>
      <c r="E314">
        <v>43508</v>
      </c>
      <c r="F314" s="1">
        <v>40907</v>
      </c>
      <c r="G314" t="s">
        <v>12</v>
      </c>
      <c r="H314" t="s">
        <v>13</v>
      </c>
      <c r="I314" t="s">
        <v>20</v>
      </c>
      <c r="J314">
        <v>11</v>
      </c>
    </row>
    <row r="315" spans="1:10" x14ac:dyDescent="0.35">
      <c r="A315" t="s">
        <v>290</v>
      </c>
      <c r="B315">
        <v>1545</v>
      </c>
      <c r="C315" s="1">
        <v>45777</v>
      </c>
      <c r="D315">
        <v>15464</v>
      </c>
      <c r="E315">
        <v>38674</v>
      </c>
      <c r="F315" s="1">
        <v>45777</v>
      </c>
      <c r="G315" t="s">
        <v>19</v>
      </c>
      <c r="H315" t="s">
        <v>13</v>
      </c>
      <c r="I315" t="s">
        <v>20</v>
      </c>
      <c r="J315">
        <v>4</v>
      </c>
    </row>
    <row r="316" spans="1:10" x14ac:dyDescent="0.35">
      <c r="A316" t="s">
        <v>291</v>
      </c>
      <c r="B316">
        <v>1545</v>
      </c>
      <c r="C316" s="1">
        <v>45756</v>
      </c>
      <c r="D316">
        <v>15193</v>
      </c>
      <c r="E316">
        <v>37734</v>
      </c>
      <c r="F316" s="1">
        <v>41086</v>
      </c>
      <c r="G316" t="s">
        <v>19</v>
      </c>
      <c r="H316" t="s">
        <v>13</v>
      </c>
      <c r="I316" t="s">
        <v>20</v>
      </c>
      <c r="J316">
        <v>4</v>
      </c>
    </row>
    <row r="317" spans="1:10" x14ac:dyDescent="0.35">
      <c r="A317" t="s">
        <v>292</v>
      </c>
      <c r="B317">
        <v>775</v>
      </c>
      <c r="C317" s="1">
        <v>45801</v>
      </c>
      <c r="D317">
        <v>15722</v>
      </c>
      <c r="E317">
        <v>39251</v>
      </c>
      <c r="F317" s="1">
        <v>43328</v>
      </c>
      <c r="G317" t="s">
        <v>17</v>
      </c>
      <c r="H317" t="s">
        <v>13</v>
      </c>
      <c r="I317" t="s">
        <v>18</v>
      </c>
      <c r="J317">
        <v>5</v>
      </c>
    </row>
    <row r="318" spans="1:10" x14ac:dyDescent="0.35">
      <c r="A318" t="s">
        <v>349</v>
      </c>
      <c r="B318">
        <v>38100</v>
      </c>
      <c r="C318" s="1">
        <v>45833</v>
      </c>
      <c r="D318">
        <v>16008</v>
      </c>
      <c r="E318">
        <v>39716</v>
      </c>
      <c r="F318" s="1">
        <v>38012</v>
      </c>
      <c r="G318" t="s">
        <v>344</v>
      </c>
      <c r="H318" t="s">
        <v>13</v>
      </c>
      <c r="I318" t="s">
        <v>23</v>
      </c>
      <c r="J318">
        <v>6</v>
      </c>
    </row>
    <row r="319" spans="1:10" x14ac:dyDescent="0.35">
      <c r="A319" t="s">
        <v>350</v>
      </c>
      <c r="B319">
        <v>5460</v>
      </c>
      <c r="C319" s="1">
        <v>45838</v>
      </c>
      <c r="D319">
        <v>16060</v>
      </c>
      <c r="E319">
        <v>39800</v>
      </c>
      <c r="F319" s="1">
        <v>39286</v>
      </c>
      <c r="G319" t="s">
        <v>12</v>
      </c>
      <c r="H319" t="s">
        <v>328</v>
      </c>
      <c r="I319" t="s">
        <v>20</v>
      </c>
      <c r="J319">
        <v>6</v>
      </c>
    </row>
    <row r="320" spans="1:10" x14ac:dyDescent="0.35">
      <c r="A320" t="s">
        <v>351</v>
      </c>
      <c r="B320">
        <v>38100</v>
      </c>
      <c r="C320" s="1">
        <v>45817</v>
      </c>
      <c r="D320">
        <v>15838</v>
      </c>
      <c r="E320">
        <v>39415</v>
      </c>
      <c r="F320" s="1">
        <v>37676</v>
      </c>
      <c r="G320" t="s">
        <v>19</v>
      </c>
      <c r="H320" t="s">
        <v>13</v>
      </c>
      <c r="I320" t="s">
        <v>23</v>
      </c>
      <c r="J320">
        <v>6</v>
      </c>
    </row>
    <row r="321" spans="1:10" x14ac:dyDescent="0.35">
      <c r="A321" t="s">
        <v>518</v>
      </c>
      <c r="B321">
        <v>38100</v>
      </c>
      <c r="C321" s="1">
        <v>45966</v>
      </c>
      <c r="D321">
        <v>17668</v>
      </c>
      <c r="E321">
        <v>43431</v>
      </c>
      <c r="F321" s="1">
        <v>42199</v>
      </c>
      <c r="G321" t="s">
        <v>19</v>
      </c>
      <c r="H321" t="s">
        <v>27</v>
      </c>
      <c r="I321" t="s">
        <v>23</v>
      </c>
      <c r="J321">
        <v>11</v>
      </c>
    </row>
    <row r="322" spans="1:10" x14ac:dyDescent="0.35">
      <c r="A322" t="s">
        <v>437</v>
      </c>
      <c r="B322">
        <v>775</v>
      </c>
      <c r="C322" s="1">
        <v>45890</v>
      </c>
      <c r="D322">
        <v>16809</v>
      </c>
      <c r="E322">
        <v>42188</v>
      </c>
      <c r="F322" s="1">
        <v>45890</v>
      </c>
      <c r="G322" t="s">
        <v>17</v>
      </c>
      <c r="H322" t="s">
        <v>13</v>
      </c>
      <c r="I322" t="s">
        <v>18</v>
      </c>
      <c r="J322">
        <v>8</v>
      </c>
    </row>
    <row r="323" spans="1:10" x14ac:dyDescent="0.35">
      <c r="A323" t="s">
        <v>195</v>
      </c>
      <c r="B323">
        <v>23375</v>
      </c>
      <c r="C323" s="1">
        <v>45730</v>
      </c>
      <c r="D323">
        <v>14807</v>
      </c>
      <c r="E323">
        <v>36714</v>
      </c>
      <c r="F323" s="1">
        <v>40718</v>
      </c>
      <c r="G323" t="s">
        <v>19</v>
      </c>
      <c r="H323" t="s">
        <v>13</v>
      </c>
      <c r="I323" t="s">
        <v>20</v>
      </c>
      <c r="J323">
        <v>3</v>
      </c>
    </row>
    <row r="324" spans="1:10" x14ac:dyDescent="0.35">
      <c r="A324" t="s">
        <v>21</v>
      </c>
      <c r="B324">
        <v>1545</v>
      </c>
      <c r="C324" s="1">
        <v>45663</v>
      </c>
      <c r="D324">
        <v>13773</v>
      </c>
      <c r="E324">
        <v>35131</v>
      </c>
      <c r="F324" s="1">
        <v>40225</v>
      </c>
      <c r="G324" t="s">
        <v>0</v>
      </c>
      <c r="H324" t="s">
        <v>13</v>
      </c>
      <c r="I324" t="s">
        <v>20</v>
      </c>
      <c r="J324">
        <v>1</v>
      </c>
    </row>
    <row r="325" spans="1:10" x14ac:dyDescent="0.35">
      <c r="A325" t="s">
        <v>519</v>
      </c>
      <c r="B325">
        <v>1545</v>
      </c>
      <c r="C325" s="1">
        <v>45982</v>
      </c>
      <c r="D325">
        <v>17820</v>
      </c>
      <c r="E325">
        <v>43585</v>
      </c>
      <c r="F325" s="1">
        <v>40498</v>
      </c>
      <c r="G325" t="s">
        <v>19</v>
      </c>
      <c r="H325" t="s">
        <v>13</v>
      </c>
      <c r="I325" t="s">
        <v>20</v>
      </c>
      <c r="J325">
        <v>11</v>
      </c>
    </row>
    <row r="326" spans="1:10" x14ac:dyDescent="0.35">
      <c r="A326" t="s">
        <v>111</v>
      </c>
      <c r="B326">
        <v>2990</v>
      </c>
      <c r="C326" s="1">
        <v>45667</v>
      </c>
      <c r="D326">
        <v>13924</v>
      </c>
      <c r="E326">
        <v>35305</v>
      </c>
      <c r="F326" s="1">
        <v>45664</v>
      </c>
      <c r="G326" t="s">
        <v>19</v>
      </c>
      <c r="H326" t="s">
        <v>13</v>
      </c>
      <c r="I326" t="s">
        <v>14</v>
      </c>
      <c r="J326">
        <v>1</v>
      </c>
    </row>
    <row r="327" spans="1:10" x14ac:dyDescent="0.35">
      <c r="A327" t="s">
        <v>32</v>
      </c>
      <c r="B327">
        <v>30290</v>
      </c>
      <c r="C327" s="1">
        <v>45673</v>
      </c>
      <c r="D327">
        <v>14118</v>
      </c>
      <c r="E327">
        <v>35580</v>
      </c>
      <c r="F327" s="1">
        <v>35083</v>
      </c>
      <c r="G327" t="s">
        <v>1</v>
      </c>
      <c r="H327" t="s">
        <v>13</v>
      </c>
      <c r="I327" t="s">
        <v>23</v>
      </c>
      <c r="J327">
        <v>1</v>
      </c>
    </row>
    <row r="328" spans="1:10" x14ac:dyDescent="0.35">
      <c r="A328" t="s">
        <v>32</v>
      </c>
      <c r="B328">
        <v>30290</v>
      </c>
      <c r="C328" s="1">
        <v>45964</v>
      </c>
      <c r="D328">
        <v>17649</v>
      </c>
      <c r="E328">
        <v>43410</v>
      </c>
      <c r="F328" s="1">
        <v>35083</v>
      </c>
      <c r="G328" t="s">
        <v>1</v>
      </c>
      <c r="H328" t="s">
        <v>13</v>
      </c>
      <c r="I328" t="s">
        <v>23</v>
      </c>
      <c r="J328">
        <v>11</v>
      </c>
    </row>
    <row r="329" spans="1:10" x14ac:dyDescent="0.35">
      <c r="A329" t="s">
        <v>484</v>
      </c>
      <c r="B329">
        <v>1905</v>
      </c>
      <c r="C329" s="1">
        <v>45939</v>
      </c>
      <c r="D329">
        <v>17474</v>
      </c>
      <c r="E329">
        <v>43209</v>
      </c>
      <c r="F329" s="1">
        <v>40555</v>
      </c>
      <c r="G329" t="s">
        <v>12</v>
      </c>
      <c r="H329" t="s">
        <v>13</v>
      </c>
      <c r="I329" t="s">
        <v>14</v>
      </c>
      <c r="J329">
        <v>10</v>
      </c>
    </row>
    <row r="330" spans="1:10" x14ac:dyDescent="0.35">
      <c r="A330" t="s">
        <v>397</v>
      </c>
      <c r="B330">
        <v>775</v>
      </c>
      <c r="C330" s="1">
        <v>45849</v>
      </c>
      <c r="D330">
        <v>16246</v>
      </c>
      <c r="E330">
        <v>40109</v>
      </c>
      <c r="F330" s="1">
        <v>39184</v>
      </c>
      <c r="G330" t="s">
        <v>17</v>
      </c>
      <c r="H330" t="s">
        <v>13</v>
      </c>
      <c r="I330" t="s">
        <v>18</v>
      </c>
      <c r="J330">
        <v>7</v>
      </c>
    </row>
    <row r="331" spans="1:10" x14ac:dyDescent="0.35">
      <c r="A331" t="s">
        <v>352</v>
      </c>
      <c r="B331">
        <v>775</v>
      </c>
      <c r="C331" s="1">
        <v>45821</v>
      </c>
      <c r="D331">
        <v>15891</v>
      </c>
      <c r="E331">
        <v>39517</v>
      </c>
      <c r="F331" s="1">
        <v>44799</v>
      </c>
      <c r="G331" t="s">
        <v>17</v>
      </c>
      <c r="H331" t="s">
        <v>17</v>
      </c>
      <c r="I331" t="s">
        <v>18</v>
      </c>
      <c r="J331">
        <v>6</v>
      </c>
    </row>
    <row r="332" spans="1:10" x14ac:dyDescent="0.35">
      <c r="A332" t="s">
        <v>438</v>
      </c>
      <c r="B332">
        <v>2680</v>
      </c>
      <c r="C332" s="1">
        <v>45889</v>
      </c>
      <c r="D332">
        <v>16793</v>
      </c>
      <c r="E332">
        <v>42136</v>
      </c>
      <c r="F332" s="1">
        <v>39293</v>
      </c>
      <c r="G332" t="s">
        <v>1</v>
      </c>
      <c r="H332" t="s">
        <v>13</v>
      </c>
      <c r="I332" t="s">
        <v>20</v>
      </c>
      <c r="J332">
        <v>8</v>
      </c>
    </row>
    <row r="333" spans="1:10" x14ac:dyDescent="0.35">
      <c r="A333" t="s">
        <v>196</v>
      </c>
      <c r="B333">
        <v>21630</v>
      </c>
      <c r="C333" s="1">
        <v>45723</v>
      </c>
      <c r="D333">
        <v>14694</v>
      </c>
      <c r="E333">
        <v>36517</v>
      </c>
      <c r="F333" s="1">
        <v>42304</v>
      </c>
      <c r="G333" t="s">
        <v>19</v>
      </c>
      <c r="H333" t="s">
        <v>13</v>
      </c>
      <c r="I333" t="s">
        <v>23</v>
      </c>
      <c r="J333">
        <v>3</v>
      </c>
    </row>
    <row r="334" spans="1:10" x14ac:dyDescent="0.35">
      <c r="A334" t="s">
        <v>520</v>
      </c>
      <c r="B334">
        <v>1650</v>
      </c>
      <c r="C334" s="1">
        <v>45981</v>
      </c>
      <c r="D334">
        <v>17795</v>
      </c>
      <c r="E334">
        <v>43559</v>
      </c>
      <c r="F334" s="1">
        <v>43465</v>
      </c>
      <c r="G334" t="s">
        <v>1</v>
      </c>
      <c r="H334" t="s">
        <v>13</v>
      </c>
      <c r="I334" t="s">
        <v>20</v>
      </c>
      <c r="J334">
        <v>11</v>
      </c>
    </row>
    <row r="335" spans="1:10" x14ac:dyDescent="0.35">
      <c r="A335" t="s">
        <v>197</v>
      </c>
      <c r="B335">
        <v>100</v>
      </c>
      <c r="C335" s="1">
        <v>45736</v>
      </c>
      <c r="D335">
        <v>14885</v>
      </c>
      <c r="E335">
        <v>36841</v>
      </c>
      <c r="F335" s="1">
        <v>45026</v>
      </c>
      <c r="G335" t="s">
        <v>17</v>
      </c>
      <c r="H335" t="s">
        <v>17</v>
      </c>
      <c r="I335" t="s">
        <v>30</v>
      </c>
      <c r="J335">
        <v>3</v>
      </c>
    </row>
    <row r="336" spans="1:10" x14ac:dyDescent="0.35">
      <c r="A336" t="s">
        <v>198</v>
      </c>
      <c r="B336">
        <v>2370</v>
      </c>
      <c r="C336" s="1">
        <v>45726</v>
      </c>
      <c r="D336">
        <v>14701</v>
      </c>
      <c r="E336">
        <v>36524</v>
      </c>
      <c r="F336" s="1">
        <v>38708</v>
      </c>
      <c r="G336" t="s">
        <v>19</v>
      </c>
      <c r="H336" t="s">
        <v>13</v>
      </c>
      <c r="I336" t="s">
        <v>20</v>
      </c>
      <c r="J336">
        <v>3</v>
      </c>
    </row>
    <row r="337" spans="1:10" x14ac:dyDescent="0.35">
      <c r="A337" t="s">
        <v>293</v>
      </c>
      <c r="B337">
        <v>2160</v>
      </c>
      <c r="C337" s="1">
        <v>45778</v>
      </c>
      <c r="D337">
        <v>15478</v>
      </c>
      <c r="E337">
        <v>38710</v>
      </c>
      <c r="F337" s="1">
        <v>36032</v>
      </c>
      <c r="G337" t="s">
        <v>1</v>
      </c>
      <c r="H337" t="s">
        <v>13</v>
      </c>
      <c r="I337" t="s">
        <v>14</v>
      </c>
      <c r="J337">
        <v>5</v>
      </c>
    </row>
    <row r="338" spans="1:10" x14ac:dyDescent="0.35">
      <c r="A338" t="s">
        <v>154</v>
      </c>
      <c r="B338">
        <v>1545</v>
      </c>
      <c r="C338" s="1">
        <v>45721</v>
      </c>
      <c r="D338">
        <v>14670</v>
      </c>
      <c r="E338">
        <v>36450</v>
      </c>
      <c r="F338" s="1">
        <v>43745</v>
      </c>
      <c r="G338" t="s">
        <v>19</v>
      </c>
      <c r="H338" t="s">
        <v>13</v>
      </c>
      <c r="I338" t="s">
        <v>20</v>
      </c>
      <c r="J338">
        <v>3</v>
      </c>
    </row>
    <row r="339" spans="1:10" x14ac:dyDescent="0.35">
      <c r="A339" t="s">
        <v>199</v>
      </c>
      <c r="B339">
        <v>2160</v>
      </c>
      <c r="C339" s="1">
        <v>45744</v>
      </c>
      <c r="D339">
        <v>15011</v>
      </c>
      <c r="E339">
        <v>37072</v>
      </c>
      <c r="F339" s="1">
        <v>45388</v>
      </c>
      <c r="G339" t="s">
        <v>1</v>
      </c>
      <c r="H339" t="s">
        <v>13</v>
      </c>
      <c r="I339" t="s">
        <v>14</v>
      </c>
      <c r="J339">
        <v>3</v>
      </c>
    </row>
    <row r="340" spans="1:10" x14ac:dyDescent="0.35">
      <c r="A340" t="s">
        <v>398</v>
      </c>
      <c r="B340">
        <v>1545</v>
      </c>
      <c r="C340" s="1">
        <v>45860</v>
      </c>
      <c r="D340">
        <v>16339</v>
      </c>
      <c r="E340">
        <v>40319</v>
      </c>
      <c r="F340" s="1">
        <v>45168</v>
      </c>
      <c r="G340" t="s">
        <v>19</v>
      </c>
      <c r="H340" t="s">
        <v>13</v>
      </c>
      <c r="I340" t="s">
        <v>20</v>
      </c>
      <c r="J340">
        <v>7</v>
      </c>
    </row>
    <row r="341" spans="1:10" x14ac:dyDescent="0.35">
      <c r="A341" t="s">
        <v>294</v>
      </c>
      <c r="B341">
        <v>16175</v>
      </c>
      <c r="C341" s="1">
        <v>45751</v>
      </c>
      <c r="D341">
        <v>15149</v>
      </c>
      <c r="E341">
        <v>37585</v>
      </c>
      <c r="F341" s="1">
        <v>35881</v>
      </c>
      <c r="G341" t="s">
        <v>19</v>
      </c>
      <c r="H341" t="s">
        <v>13</v>
      </c>
      <c r="I341" t="s">
        <v>20</v>
      </c>
      <c r="J341">
        <v>4</v>
      </c>
    </row>
    <row r="342" spans="1:10" x14ac:dyDescent="0.35">
      <c r="A342" t="s">
        <v>485</v>
      </c>
      <c r="B342">
        <v>775</v>
      </c>
      <c r="C342" s="1">
        <v>45931</v>
      </c>
      <c r="D342">
        <v>17412</v>
      </c>
      <c r="E342">
        <v>43147</v>
      </c>
      <c r="F342" s="1">
        <v>45931</v>
      </c>
      <c r="G342" t="s">
        <v>17</v>
      </c>
      <c r="H342" t="s">
        <v>13</v>
      </c>
      <c r="I342" t="s">
        <v>18</v>
      </c>
      <c r="J342">
        <v>10</v>
      </c>
    </row>
    <row r="343" spans="1:10" x14ac:dyDescent="0.35">
      <c r="A343" t="s">
        <v>459</v>
      </c>
      <c r="B343">
        <v>775</v>
      </c>
      <c r="C343" s="1">
        <v>45917</v>
      </c>
      <c r="D343">
        <v>17252</v>
      </c>
      <c r="E343">
        <v>42974</v>
      </c>
      <c r="F343" s="1">
        <v>44824</v>
      </c>
      <c r="G343" t="s">
        <v>17</v>
      </c>
      <c r="H343" t="s">
        <v>13</v>
      </c>
      <c r="I343" t="s">
        <v>18</v>
      </c>
      <c r="J343">
        <v>9</v>
      </c>
    </row>
    <row r="344" spans="1:10" x14ac:dyDescent="0.35">
      <c r="A344" t="s">
        <v>112</v>
      </c>
      <c r="B344">
        <v>23375</v>
      </c>
      <c r="C344" s="1">
        <v>45667</v>
      </c>
      <c r="D344">
        <v>14004</v>
      </c>
      <c r="E344">
        <v>35416</v>
      </c>
      <c r="F344" s="1">
        <v>41302</v>
      </c>
      <c r="G344" t="s">
        <v>19</v>
      </c>
      <c r="H344" t="s">
        <v>51</v>
      </c>
      <c r="I344" t="s">
        <v>20</v>
      </c>
      <c r="J344">
        <v>1</v>
      </c>
    </row>
    <row r="345" spans="1:10" x14ac:dyDescent="0.35">
      <c r="A345" t="s">
        <v>521</v>
      </c>
      <c r="B345">
        <v>1545</v>
      </c>
      <c r="C345" s="1">
        <v>45971</v>
      </c>
      <c r="D345">
        <v>17693</v>
      </c>
      <c r="E345">
        <v>43454</v>
      </c>
      <c r="F345" s="1">
        <v>38321</v>
      </c>
      <c r="G345" t="s">
        <v>19</v>
      </c>
      <c r="H345" t="s">
        <v>13</v>
      </c>
      <c r="I345" t="s">
        <v>20</v>
      </c>
      <c r="J345">
        <v>11</v>
      </c>
    </row>
    <row r="346" spans="1:10" x14ac:dyDescent="0.35">
      <c r="A346" t="s">
        <v>353</v>
      </c>
      <c r="B346">
        <v>775</v>
      </c>
      <c r="C346" s="1">
        <v>45833</v>
      </c>
      <c r="D346">
        <v>15994</v>
      </c>
      <c r="E346">
        <v>39699</v>
      </c>
      <c r="F346" s="1">
        <v>45833</v>
      </c>
      <c r="G346" t="s">
        <v>17</v>
      </c>
      <c r="H346" t="s">
        <v>13</v>
      </c>
      <c r="I346" t="s">
        <v>18</v>
      </c>
      <c r="J346">
        <v>6</v>
      </c>
    </row>
    <row r="347" spans="1:10" x14ac:dyDescent="0.35">
      <c r="A347" t="s">
        <v>460</v>
      </c>
      <c r="B347">
        <v>775</v>
      </c>
      <c r="C347" s="1">
        <v>45923</v>
      </c>
      <c r="D347">
        <v>17307</v>
      </c>
      <c r="E347">
        <v>43033</v>
      </c>
      <c r="F347" s="1">
        <v>44490</v>
      </c>
      <c r="G347" t="s">
        <v>17</v>
      </c>
      <c r="H347" t="s">
        <v>17</v>
      </c>
      <c r="I347" t="s">
        <v>18</v>
      </c>
      <c r="J347">
        <v>9</v>
      </c>
    </row>
    <row r="348" spans="1:10" x14ac:dyDescent="0.35">
      <c r="A348" t="s">
        <v>200</v>
      </c>
      <c r="B348">
        <v>775</v>
      </c>
      <c r="C348" s="1">
        <v>45748</v>
      </c>
      <c r="D348">
        <v>15062</v>
      </c>
      <c r="E348">
        <v>37185</v>
      </c>
      <c r="F348" s="1">
        <v>44797</v>
      </c>
      <c r="G348" t="s">
        <v>17</v>
      </c>
      <c r="H348" t="s">
        <v>17</v>
      </c>
      <c r="I348" t="s">
        <v>18</v>
      </c>
      <c r="J348">
        <v>4</v>
      </c>
    </row>
    <row r="349" spans="1:10" x14ac:dyDescent="0.35">
      <c r="A349" t="s">
        <v>29</v>
      </c>
      <c r="B349">
        <v>1545</v>
      </c>
      <c r="C349" s="1">
        <v>45677</v>
      </c>
      <c r="D349">
        <v>14144</v>
      </c>
      <c r="E349">
        <v>35616</v>
      </c>
      <c r="F349" s="1">
        <v>41317</v>
      </c>
      <c r="G349" t="s">
        <v>12</v>
      </c>
      <c r="H349" t="s">
        <v>13</v>
      </c>
      <c r="I349" t="s">
        <v>20</v>
      </c>
      <c r="J349">
        <v>1</v>
      </c>
    </row>
    <row r="350" spans="1:10" x14ac:dyDescent="0.35">
      <c r="A350" t="s">
        <v>354</v>
      </c>
      <c r="B350">
        <v>1905</v>
      </c>
      <c r="C350" s="1">
        <v>45812</v>
      </c>
      <c r="D350">
        <v>15800</v>
      </c>
      <c r="E350">
        <v>39370</v>
      </c>
      <c r="F350" s="1">
        <v>43257</v>
      </c>
      <c r="G350" t="s">
        <v>12</v>
      </c>
      <c r="H350" t="s">
        <v>13</v>
      </c>
      <c r="I350" t="s">
        <v>14</v>
      </c>
      <c r="J350">
        <v>6</v>
      </c>
    </row>
    <row r="351" spans="1:10" x14ac:dyDescent="0.35">
      <c r="A351" t="s">
        <v>201</v>
      </c>
      <c r="B351">
        <v>2370</v>
      </c>
      <c r="C351" s="1">
        <v>45734</v>
      </c>
      <c r="D351">
        <v>14860</v>
      </c>
      <c r="E351">
        <v>36779</v>
      </c>
      <c r="F351" s="1">
        <v>45150</v>
      </c>
      <c r="G351" t="s">
        <v>19</v>
      </c>
      <c r="H351" t="s">
        <v>13</v>
      </c>
      <c r="I351" t="s">
        <v>20</v>
      </c>
      <c r="J351">
        <v>3</v>
      </c>
    </row>
    <row r="352" spans="1:10" x14ac:dyDescent="0.35">
      <c r="A352" t="s">
        <v>34</v>
      </c>
      <c r="B352">
        <v>1545</v>
      </c>
      <c r="C352" s="1">
        <v>45687</v>
      </c>
      <c r="D352">
        <v>14312</v>
      </c>
      <c r="E352">
        <v>35848</v>
      </c>
      <c r="F352" s="1">
        <v>45336</v>
      </c>
      <c r="G352" t="s">
        <v>19</v>
      </c>
      <c r="H352" t="s">
        <v>27</v>
      </c>
      <c r="I352" t="s">
        <v>20</v>
      </c>
      <c r="J352">
        <v>1</v>
      </c>
    </row>
    <row r="353" spans="1:10" x14ac:dyDescent="0.35">
      <c r="A353" t="s">
        <v>113</v>
      </c>
      <c r="B353">
        <v>775</v>
      </c>
      <c r="C353" s="1">
        <v>45681</v>
      </c>
      <c r="D353">
        <v>14220</v>
      </c>
      <c r="E353">
        <v>35730</v>
      </c>
      <c r="F353" s="1">
        <v>45681</v>
      </c>
      <c r="G353" t="s">
        <v>17</v>
      </c>
      <c r="H353" t="s">
        <v>17</v>
      </c>
      <c r="I353" t="s">
        <v>18</v>
      </c>
      <c r="J353">
        <v>1</v>
      </c>
    </row>
    <row r="354" spans="1:10" x14ac:dyDescent="0.35">
      <c r="A354" t="s">
        <v>461</v>
      </c>
      <c r="B354">
        <v>1905</v>
      </c>
      <c r="C354" s="1">
        <v>45910</v>
      </c>
      <c r="D354">
        <v>17154</v>
      </c>
      <c r="E354">
        <v>42830</v>
      </c>
      <c r="F354" s="1">
        <v>43369</v>
      </c>
      <c r="G354" t="s">
        <v>0</v>
      </c>
      <c r="H354" t="s">
        <v>13</v>
      </c>
      <c r="I354" t="s">
        <v>14</v>
      </c>
      <c r="J354">
        <v>9</v>
      </c>
    </row>
    <row r="355" spans="1:10" x14ac:dyDescent="0.35">
      <c r="A355" t="s">
        <v>439</v>
      </c>
      <c r="B355">
        <v>775</v>
      </c>
      <c r="C355" s="1">
        <v>45888</v>
      </c>
      <c r="D355">
        <v>16731</v>
      </c>
      <c r="E355">
        <v>41992</v>
      </c>
      <c r="F355" s="1">
        <v>45523</v>
      </c>
      <c r="G355" t="s">
        <v>17</v>
      </c>
      <c r="H355" t="s">
        <v>13</v>
      </c>
      <c r="I355" t="s">
        <v>18</v>
      </c>
      <c r="J355">
        <v>8</v>
      </c>
    </row>
    <row r="356" spans="1:10" x14ac:dyDescent="0.35">
      <c r="A356" t="s">
        <v>399</v>
      </c>
      <c r="B356">
        <v>2370</v>
      </c>
      <c r="C356" s="1">
        <v>45868</v>
      </c>
      <c r="D356">
        <v>16434</v>
      </c>
      <c r="E356">
        <v>40553</v>
      </c>
      <c r="F356" s="1">
        <v>45497</v>
      </c>
      <c r="G356" t="s">
        <v>19</v>
      </c>
      <c r="H356" t="s">
        <v>13</v>
      </c>
      <c r="I356" t="s">
        <v>20</v>
      </c>
      <c r="J356">
        <v>7</v>
      </c>
    </row>
    <row r="357" spans="1:10" x14ac:dyDescent="0.35">
      <c r="A357" t="s">
        <v>295</v>
      </c>
      <c r="B357">
        <v>9685</v>
      </c>
      <c r="C357" s="1">
        <v>45798</v>
      </c>
      <c r="D357">
        <v>15708</v>
      </c>
      <c r="E357">
        <v>39237</v>
      </c>
      <c r="F357" s="1">
        <v>45019</v>
      </c>
      <c r="G357" t="s">
        <v>19</v>
      </c>
      <c r="H357" t="s">
        <v>13</v>
      </c>
      <c r="I357" t="s">
        <v>20</v>
      </c>
      <c r="J357">
        <v>5</v>
      </c>
    </row>
    <row r="358" spans="1:10" x14ac:dyDescent="0.35">
      <c r="A358" t="s">
        <v>202</v>
      </c>
      <c r="B358">
        <v>775</v>
      </c>
      <c r="C358" s="1">
        <v>45726</v>
      </c>
      <c r="D358">
        <v>14708</v>
      </c>
      <c r="E358">
        <v>36531</v>
      </c>
      <c r="F358" s="1">
        <v>45359</v>
      </c>
      <c r="G358" t="s">
        <v>17</v>
      </c>
      <c r="H358" t="s">
        <v>13</v>
      </c>
      <c r="I358" t="s">
        <v>18</v>
      </c>
      <c r="J358">
        <v>3</v>
      </c>
    </row>
    <row r="359" spans="1:10" x14ac:dyDescent="0.35">
      <c r="A359" t="s">
        <v>486</v>
      </c>
      <c r="B359">
        <v>2990</v>
      </c>
      <c r="C359" s="1">
        <v>45946</v>
      </c>
      <c r="D359">
        <v>17520</v>
      </c>
      <c r="E359">
        <v>43257</v>
      </c>
      <c r="F359" s="1">
        <v>44957</v>
      </c>
      <c r="G359" t="s">
        <v>19</v>
      </c>
      <c r="H359" t="s">
        <v>13</v>
      </c>
      <c r="I359" t="s">
        <v>14</v>
      </c>
      <c r="J359">
        <v>10</v>
      </c>
    </row>
    <row r="360" spans="1:10" x14ac:dyDescent="0.35">
      <c r="A360" t="s">
        <v>296</v>
      </c>
      <c r="B360">
        <v>2370</v>
      </c>
      <c r="C360" s="1">
        <v>45768</v>
      </c>
      <c r="D360">
        <v>15364</v>
      </c>
      <c r="E360">
        <v>38405</v>
      </c>
      <c r="F360" s="1">
        <v>44677</v>
      </c>
      <c r="G360" t="s">
        <v>19</v>
      </c>
      <c r="H360" t="s">
        <v>13</v>
      </c>
      <c r="I360" t="s">
        <v>20</v>
      </c>
      <c r="J360">
        <v>4</v>
      </c>
    </row>
    <row r="361" spans="1:10" x14ac:dyDescent="0.35">
      <c r="A361" t="s">
        <v>487</v>
      </c>
      <c r="B361">
        <v>38100</v>
      </c>
      <c r="C361" s="1">
        <v>45939</v>
      </c>
      <c r="D361">
        <v>17472</v>
      </c>
      <c r="E361">
        <v>43207</v>
      </c>
      <c r="F361" s="1">
        <v>45939</v>
      </c>
      <c r="G361" t="s">
        <v>19</v>
      </c>
      <c r="H361" t="s">
        <v>13</v>
      </c>
      <c r="I361" t="s">
        <v>23</v>
      </c>
      <c r="J361">
        <v>10</v>
      </c>
    </row>
    <row r="362" spans="1:10" x14ac:dyDescent="0.35">
      <c r="A362" t="s">
        <v>462</v>
      </c>
      <c r="B362">
        <v>775</v>
      </c>
      <c r="C362" s="1">
        <v>45908</v>
      </c>
      <c r="D362">
        <v>17120</v>
      </c>
      <c r="E362">
        <v>42770</v>
      </c>
      <c r="F362" s="1">
        <v>45908</v>
      </c>
      <c r="G362" t="s">
        <v>17</v>
      </c>
      <c r="H362" t="s">
        <v>13</v>
      </c>
      <c r="I362" t="s">
        <v>18</v>
      </c>
      <c r="J362">
        <v>9</v>
      </c>
    </row>
    <row r="363" spans="1:10" x14ac:dyDescent="0.35">
      <c r="A363" t="s">
        <v>522</v>
      </c>
      <c r="B363">
        <v>775</v>
      </c>
      <c r="C363" s="1">
        <v>45965</v>
      </c>
      <c r="D363">
        <v>17652</v>
      </c>
      <c r="E363">
        <v>43413</v>
      </c>
      <c r="F363" s="1">
        <v>45965</v>
      </c>
      <c r="G363" t="s">
        <v>17</v>
      </c>
      <c r="H363" t="s">
        <v>13</v>
      </c>
      <c r="I363" t="s">
        <v>18</v>
      </c>
      <c r="J363">
        <v>11</v>
      </c>
    </row>
    <row r="364" spans="1:10" x14ac:dyDescent="0.35">
      <c r="A364" t="s">
        <v>297</v>
      </c>
      <c r="B364">
        <v>14420</v>
      </c>
      <c r="C364" s="1">
        <v>45793</v>
      </c>
      <c r="D364">
        <v>15652</v>
      </c>
      <c r="E364">
        <v>39172</v>
      </c>
      <c r="F364" s="1">
        <v>37174</v>
      </c>
      <c r="G364" t="s">
        <v>1</v>
      </c>
      <c r="H364" t="s">
        <v>13</v>
      </c>
      <c r="I364" t="s">
        <v>20</v>
      </c>
      <c r="J364">
        <v>5</v>
      </c>
    </row>
    <row r="365" spans="1:10" x14ac:dyDescent="0.35">
      <c r="A365" t="s">
        <v>400</v>
      </c>
      <c r="B365">
        <v>1650</v>
      </c>
      <c r="C365" s="1">
        <v>45845</v>
      </c>
      <c r="D365">
        <v>16184</v>
      </c>
      <c r="E365">
        <v>39955</v>
      </c>
      <c r="F365" s="1">
        <v>44413</v>
      </c>
      <c r="G365" t="s">
        <v>1</v>
      </c>
      <c r="H365" t="s">
        <v>13</v>
      </c>
      <c r="I365" t="s">
        <v>20</v>
      </c>
      <c r="J365">
        <v>7</v>
      </c>
    </row>
    <row r="366" spans="1:10" x14ac:dyDescent="0.35">
      <c r="A366" t="s">
        <v>203</v>
      </c>
      <c r="B366">
        <v>1545</v>
      </c>
      <c r="C366" s="1">
        <v>45733</v>
      </c>
      <c r="D366">
        <v>14823</v>
      </c>
      <c r="E366">
        <v>36736</v>
      </c>
      <c r="F366" s="1">
        <v>44538</v>
      </c>
      <c r="G366" t="s">
        <v>19</v>
      </c>
      <c r="H366" t="s">
        <v>13</v>
      </c>
      <c r="I366" t="s">
        <v>20</v>
      </c>
      <c r="J366">
        <v>3</v>
      </c>
    </row>
    <row r="367" spans="1:10" x14ac:dyDescent="0.35">
      <c r="A367" t="s">
        <v>401</v>
      </c>
      <c r="B367">
        <v>775</v>
      </c>
      <c r="C367" s="1">
        <v>45853</v>
      </c>
      <c r="D367">
        <v>16265</v>
      </c>
      <c r="E367">
        <v>40149</v>
      </c>
      <c r="F367" s="1">
        <v>45852</v>
      </c>
      <c r="G367" t="s">
        <v>17</v>
      </c>
      <c r="H367" t="s">
        <v>17</v>
      </c>
      <c r="I367" t="s">
        <v>18</v>
      </c>
      <c r="J367">
        <v>7</v>
      </c>
    </row>
    <row r="368" spans="1:10" x14ac:dyDescent="0.35">
      <c r="A368" t="s">
        <v>204</v>
      </c>
      <c r="B368">
        <v>775</v>
      </c>
      <c r="C368" s="1">
        <v>45741</v>
      </c>
      <c r="D368">
        <v>14958</v>
      </c>
      <c r="E368">
        <v>36949</v>
      </c>
      <c r="F368" s="1">
        <v>45426</v>
      </c>
      <c r="G368" t="s">
        <v>17</v>
      </c>
      <c r="H368" t="s">
        <v>17</v>
      </c>
      <c r="I368" t="s">
        <v>18</v>
      </c>
      <c r="J368">
        <v>3</v>
      </c>
    </row>
    <row r="369" spans="1:10" x14ac:dyDescent="0.35">
      <c r="A369" t="s">
        <v>298</v>
      </c>
      <c r="B369">
        <v>1545</v>
      </c>
      <c r="C369" s="1">
        <v>45791</v>
      </c>
      <c r="D369">
        <v>15635</v>
      </c>
      <c r="E369">
        <v>39152</v>
      </c>
      <c r="F369" s="1">
        <v>45791</v>
      </c>
      <c r="G369" t="s">
        <v>0</v>
      </c>
      <c r="H369" t="s">
        <v>13</v>
      </c>
      <c r="I369" t="s">
        <v>20</v>
      </c>
      <c r="J369">
        <v>5</v>
      </c>
    </row>
    <row r="370" spans="1:10" x14ac:dyDescent="0.35">
      <c r="A370" t="s">
        <v>205</v>
      </c>
      <c r="B370">
        <v>23375</v>
      </c>
      <c r="C370" s="1">
        <v>45737</v>
      </c>
      <c r="D370">
        <v>14909</v>
      </c>
      <c r="E370">
        <v>36880</v>
      </c>
      <c r="F370" s="1">
        <v>37602</v>
      </c>
      <c r="G370" t="s">
        <v>19</v>
      </c>
      <c r="H370" t="s">
        <v>13</v>
      </c>
      <c r="I370" t="s">
        <v>20</v>
      </c>
      <c r="J370">
        <v>3</v>
      </c>
    </row>
    <row r="371" spans="1:10" x14ac:dyDescent="0.35">
      <c r="A371" t="s">
        <v>16</v>
      </c>
      <c r="B371">
        <v>775</v>
      </c>
      <c r="C371" s="1">
        <v>45673</v>
      </c>
      <c r="D371">
        <v>14109</v>
      </c>
      <c r="E371">
        <v>35562</v>
      </c>
      <c r="F371" s="1">
        <v>44870</v>
      </c>
      <c r="G371" t="s">
        <v>17</v>
      </c>
      <c r="H371" t="s">
        <v>13</v>
      </c>
      <c r="I371" t="s">
        <v>18</v>
      </c>
      <c r="J371">
        <v>1</v>
      </c>
    </row>
    <row r="372" spans="1:10" x14ac:dyDescent="0.35">
      <c r="A372" t="s">
        <v>16</v>
      </c>
      <c r="B372">
        <v>775</v>
      </c>
      <c r="C372" s="1">
        <v>45964</v>
      </c>
      <c r="D372">
        <v>17640</v>
      </c>
      <c r="E372">
        <v>43401</v>
      </c>
      <c r="F372" s="1">
        <v>44870</v>
      </c>
      <c r="G372" t="s">
        <v>17</v>
      </c>
      <c r="H372" t="s">
        <v>13</v>
      </c>
      <c r="I372" t="s">
        <v>18</v>
      </c>
      <c r="J372">
        <v>11</v>
      </c>
    </row>
    <row r="373" spans="1:10" x14ac:dyDescent="0.35">
      <c r="A373" t="s">
        <v>488</v>
      </c>
      <c r="B373">
        <v>1545</v>
      </c>
      <c r="C373" s="1">
        <v>45944</v>
      </c>
      <c r="D373">
        <v>17505</v>
      </c>
      <c r="E373">
        <v>43241</v>
      </c>
      <c r="F373" s="1">
        <v>40128</v>
      </c>
      <c r="G373" t="s">
        <v>12</v>
      </c>
      <c r="H373" t="s">
        <v>489</v>
      </c>
      <c r="I373" t="s">
        <v>20</v>
      </c>
      <c r="J373">
        <v>10</v>
      </c>
    </row>
    <row r="374" spans="1:10" x14ac:dyDescent="0.35">
      <c r="A374" t="s">
        <v>26</v>
      </c>
      <c r="B374">
        <v>18950</v>
      </c>
      <c r="C374" s="1">
        <v>45674</v>
      </c>
      <c r="D374">
        <v>14140</v>
      </c>
      <c r="E374">
        <v>35607</v>
      </c>
      <c r="F374" s="1">
        <v>38698</v>
      </c>
      <c r="G374" t="s">
        <v>0</v>
      </c>
      <c r="H374" t="s">
        <v>13</v>
      </c>
      <c r="I374" t="s">
        <v>20</v>
      </c>
      <c r="J374">
        <v>1</v>
      </c>
    </row>
    <row r="375" spans="1:10" x14ac:dyDescent="0.35">
      <c r="A375" t="s">
        <v>37</v>
      </c>
      <c r="B375">
        <v>2680</v>
      </c>
      <c r="C375" s="1">
        <v>45674</v>
      </c>
      <c r="D375">
        <v>14123</v>
      </c>
      <c r="E375">
        <v>35590</v>
      </c>
      <c r="F375" s="1">
        <v>36985</v>
      </c>
      <c r="G375" t="s">
        <v>12</v>
      </c>
      <c r="H375" t="s">
        <v>13</v>
      </c>
      <c r="I375" t="s">
        <v>20</v>
      </c>
      <c r="J375">
        <v>1</v>
      </c>
    </row>
    <row r="376" spans="1:10" x14ac:dyDescent="0.35">
      <c r="A376" t="s">
        <v>440</v>
      </c>
      <c r="B376">
        <v>1545</v>
      </c>
      <c r="C376" s="1">
        <v>45888</v>
      </c>
      <c r="D376">
        <v>16720</v>
      </c>
      <c r="E376">
        <v>41970</v>
      </c>
      <c r="F376" s="1">
        <v>45501</v>
      </c>
      <c r="G376" t="s">
        <v>0</v>
      </c>
      <c r="H376" t="s">
        <v>17</v>
      </c>
      <c r="I376" t="s">
        <v>20</v>
      </c>
      <c r="J376">
        <v>8</v>
      </c>
    </row>
    <row r="377" spans="1:10" x14ac:dyDescent="0.35">
      <c r="A377" t="s">
        <v>114</v>
      </c>
      <c r="B377">
        <v>1545</v>
      </c>
      <c r="C377" s="1">
        <v>45679</v>
      </c>
      <c r="D377">
        <v>14170</v>
      </c>
      <c r="E377">
        <v>35654</v>
      </c>
      <c r="F377" s="1">
        <v>45679</v>
      </c>
      <c r="G377" t="s">
        <v>19</v>
      </c>
      <c r="H377" t="s">
        <v>13</v>
      </c>
      <c r="I377" t="s">
        <v>20</v>
      </c>
      <c r="J377">
        <v>1</v>
      </c>
    </row>
    <row r="378" spans="1:10" x14ac:dyDescent="0.35">
      <c r="A378" t="s">
        <v>206</v>
      </c>
      <c r="B378">
        <v>2680</v>
      </c>
      <c r="C378" s="1">
        <v>45733</v>
      </c>
      <c r="D378">
        <v>14811</v>
      </c>
      <c r="E378">
        <v>36724</v>
      </c>
      <c r="F378" s="1">
        <v>40162</v>
      </c>
      <c r="G378" t="s">
        <v>12</v>
      </c>
      <c r="H378" t="s">
        <v>13</v>
      </c>
      <c r="I378" t="s">
        <v>20</v>
      </c>
      <c r="J378">
        <v>3</v>
      </c>
    </row>
    <row r="379" spans="1:10" x14ac:dyDescent="0.35">
      <c r="A379" t="s">
        <v>299</v>
      </c>
      <c r="B379">
        <v>9685</v>
      </c>
      <c r="C379" s="1">
        <v>45750</v>
      </c>
      <c r="D379">
        <v>15105</v>
      </c>
      <c r="E379">
        <v>37339</v>
      </c>
      <c r="F379" s="1">
        <v>39301</v>
      </c>
      <c r="G379" t="s">
        <v>19</v>
      </c>
      <c r="H379" t="s">
        <v>13</v>
      </c>
      <c r="I379" t="s">
        <v>20</v>
      </c>
      <c r="J379">
        <v>4</v>
      </c>
    </row>
    <row r="380" spans="1:10" x14ac:dyDescent="0.35">
      <c r="A380" t="s">
        <v>490</v>
      </c>
      <c r="B380">
        <v>1545</v>
      </c>
      <c r="C380" s="1">
        <v>45951</v>
      </c>
      <c r="D380">
        <v>17580</v>
      </c>
      <c r="E380">
        <v>43322</v>
      </c>
      <c r="F380" s="1">
        <v>40471</v>
      </c>
      <c r="G380" t="s">
        <v>12</v>
      </c>
      <c r="H380" t="s">
        <v>13</v>
      </c>
      <c r="I380" t="s">
        <v>20</v>
      </c>
      <c r="J380">
        <v>10</v>
      </c>
    </row>
    <row r="381" spans="1:10" x14ac:dyDescent="0.35">
      <c r="A381" t="s">
        <v>38</v>
      </c>
      <c r="B381">
        <v>2370</v>
      </c>
      <c r="C381" s="1">
        <v>45681</v>
      </c>
      <c r="D381">
        <v>14214</v>
      </c>
      <c r="E381">
        <v>35724</v>
      </c>
      <c r="F381" s="1">
        <v>40345</v>
      </c>
      <c r="G381" t="s">
        <v>0</v>
      </c>
      <c r="H381" t="s">
        <v>13</v>
      </c>
      <c r="I381" t="s">
        <v>20</v>
      </c>
      <c r="J381">
        <v>1</v>
      </c>
    </row>
    <row r="382" spans="1:10" x14ac:dyDescent="0.35">
      <c r="A382" t="s">
        <v>402</v>
      </c>
      <c r="B382">
        <v>1905</v>
      </c>
      <c r="C382" s="1">
        <v>45855</v>
      </c>
      <c r="D382">
        <v>16284</v>
      </c>
      <c r="E382">
        <v>40198</v>
      </c>
      <c r="F382" s="1">
        <v>42172</v>
      </c>
      <c r="G382" t="s">
        <v>12</v>
      </c>
      <c r="H382" t="s">
        <v>13</v>
      </c>
      <c r="I382" t="s">
        <v>14</v>
      </c>
      <c r="J382">
        <v>7</v>
      </c>
    </row>
    <row r="383" spans="1:10" x14ac:dyDescent="0.35">
      <c r="A383" t="s">
        <v>300</v>
      </c>
      <c r="B383">
        <v>12050</v>
      </c>
      <c r="C383" s="1">
        <v>45755</v>
      </c>
      <c r="D383">
        <v>15180</v>
      </c>
      <c r="E383">
        <v>37708</v>
      </c>
      <c r="F383" s="1">
        <v>40134</v>
      </c>
      <c r="G383" t="s">
        <v>19</v>
      </c>
      <c r="H383" t="s">
        <v>13</v>
      </c>
      <c r="I383" t="s">
        <v>14</v>
      </c>
      <c r="J383">
        <v>4</v>
      </c>
    </row>
    <row r="384" spans="1:10" x14ac:dyDescent="0.35">
      <c r="A384" t="s">
        <v>491</v>
      </c>
      <c r="B384">
        <v>1545</v>
      </c>
      <c r="C384" s="1">
        <v>45947</v>
      </c>
      <c r="D384">
        <v>17532</v>
      </c>
      <c r="E384">
        <v>43269</v>
      </c>
      <c r="F384" s="1">
        <v>45642</v>
      </c>
      <c r="G384" t="s">
        <v>19</v>
      </c>
      <c r="H384" t="s">
        <v>27</v>
      </c>
      <c r="I384" t="s">
        <v>20</v>
      </c>
      <c r="J384">
        <v>10</v>
      </c>
    </row>
    <row r="385" spans="1:10" x14ac:dyDescent="0.35">
      <c r="A385" t="s">
        <v>523</v>
      </c>
      <c r="B385">
        <v>775</v>
      </c>
      <c r="C385" s="1">
        <v>45979</v>
      </c>
      <c r="D385">
        <v>17749</v>
      </c>
      <c r="E385">
        <v>43512</v>
      </c>
      <c r="F385" s="1">
        <v>45979</v>
      </c>
      <c r="G385" t="s">
        <v>17</v>
      </c>
      <c r="H385" t="s">
        <v>13</v>
      </c>
      <c r="I385" t="s">
        <v>18</v>
      </c>
      <c r="J385">
        <v>11</v>
      </c>
    </row>
    <row r="386" spans="1:10" x14ac:dyDescent="0.35">
      <c r="A386" t="s">
        <v>463</v>
      </c>
      <c r="B386">
        <v>2370</v>
      </c>
      <c r="C386" s="1">
        <v>45924</v>
      </c>
      <c r="D386">
        <v>17328</v>
      </c>
      <c r="E386">
        <v>43054</v>
      </c>
      <c r="F386" s="1">
        <v>45216</v>
      </c>
      <c r="G386" t="s">
        <v>19</v>
      </c>
      <c r="H386" t="s">
        <v>27</v>
      </c>
      <c r="I386" t="s">
        <v>20</v>
      </c>
      <c r="J386">
        <v>9</v>
      </c>
    </row>
    <row r="387" spans="1:10" x14ac:dyDescent="0.35">
      <c r="A387" t="s">
        <v>463</v>
      </c>
      <c r="B387">
        <v>620</v>
      </c>
      <c r="C387" s="1">
        <v>45933</v>
      </c>
      <c r="D387">
        <v>17427</v>
      </c>
      <c r="E387">
        <v>43162</v>
      </c>
      <c r="F387" s="1">
        <v>45216</v>
      </c>
      <c r="G387" t="s">
        <v>19</v>
      </c>
      <c r="H387" t="s">
        <v>27</v>
      </c>
      <c r="I387" t="s">
        <v>14</v>
      </c>
      <c r="J387">
        <v>10</v>
      </c>
    </row>
    <row r="388" spans="1:10" x14ac:dyDescent="0.35">
      <c r="A388" t="s">
        <v>463</v>
      </c>
      <c r="B388">
        <v>2370</v>
      </c>
      <c r="C388" s="1">
        <v>45933</v>
      </c>
      <c r="D388">
        <v>17424</v>
      </c>
      <c r="E388">
        <v>43159</v>
      </c>
      <c r="F388" s="1">
        <v>45216</v>
      </c>
      <c r="G388" t="s">
        <v>19</v>
      </c>
      <c r="H388" t="s">
        <v>27</v>
      </c>
      <c r="I388" t="s">
        <v>20</v>
      </c>
      <c r="J388">
        <v>10</v>
      </c>
    </row>
    <row r="389" spans="1:10" x14ac:dyDescent="0.35">
      <c r="A389" t="s">
        <v>355</v>
      </c>
      <c r="B389">
        <v>36050</v>
      </c>
      <c r="C389" s="1">
        <v>45828</v>
      </c>
      <c r="D389">
        <v>15959</v>
      </c>
      <c r="E389">
        <v>39634</v>
      </c>
      <c r="F389" s="1">
        <v>35249</v>
      </c>
      <c r="G389" t="s">
        <v>12</v>
      </c>
      <c r="H389" t="s">
        <v>13</v>
      </c>
      <c r="I389" t="s">
        <v>23</v>
      </c>
      <c r="J389">
        <v>6</v>
      </c>
    </row>
    <row r="390" spans="1:10" x14ac:dyDescent="0.35">
      <c r="A390" t="s">
        <v>356</v>
      </c>
      <c r="B390">
        <v>1905</v>
      </c>
      <c r="C390" s="1">
        <v>45835</v>
      </c>
      <c r="D390">
        <v>16014</v>
      </c>
      <c r="E390">
        <v>39725</v>
      </c>
      <c r="F390" s="1">
        <v>41415</v>
      </c>
      <c r="G390" t="s">
        <v>12</v>
      </c>
      <c r="H390" t="s">
        <v>13</v>
      </c>
      <c r="I390" t="s">
        <v>14</v>
      </c>
      <c r="J390">
        <v>6</v>
      </c>
    </row>
    <row r="391" spans="1:10" x14ac:dyDescent="0.35">
      <c r="A391" t="s">
        <v>492</v>
      </c>
      <c r="B391">
        <v>2680</v>
      </c>
      <c r="C391" s="1">
        <v>45931</v>
      </c>
      <c r="D391">
        <v>17405</v>
      </c>
      <c r="E391">
        <v>43140</v>
      </c>
      <c r="F391" s="1">
        <v>33958</v>
      </c>
      <c r="G391" t="s">
        <v>1</v>
      </c>
      <c r="H391" t="s">
        <v>13</v>
      </c>
      <c r="I391" t="s">
        <v>20</v>
      </c>
      <c r="J391">
        <v>10</v>
      </c>
    </row>
    <row r="392" spans="1:10" x14ac:dyDescent="0.35">
      <c r="A392" t="s">
        <v>301</v>
      </c>
      <c r="B392">
        <v>1905</v>
      </c>
      <c r="C392" s="1">
        <v>45805</v>
      </c>
      <c r="D392">
        <v>15749</v>
      </c>
      <c r="E392">
        <v>39289</v>
      </c>
      <c r="F392" s="1">
        <v>40630</v>
      </c>
      <c r="G392" t="s">
        <v>12</v>
      </c>
      <c r="H392" t="s">
        <v>13</v>
      </c>
      <c r="I392" t="s">
        <v>14</v>
      </c>
      <c r="J392">
        <v>5</v>
      </c>
    </row>
    <row r="393" spans="1:10" x14ac:dyDescent="0.35">
      <c r="A393" t="s">
        <v>207</v>
      </c>
      <c r="B393">
        <v>1905</v>
      </c>
      <c r="C393" s="1">
        <v>45725</v>
      </c>
      <c r="D393">
        <v>14697</v>
      </c>
      <c r="E393">
        <v>36520</v>
      </c>
      <c r="F393" s="1">
        <v>44718</v>
      </c>
      <c r="G393" t="s">
        <v>12</v>
      </c>
      <c r="H393" t="s">
        <v>13</v>
      </c>
      <c r="I393" t="s">
        <v>14</v>
      </c>
      <c r="J393">
        <v>3</v>
      </c>
    </row>
    <row r="394" spans="1:10" x14ac:dyDescent="0.35">
      <c r="A394" t="s">
        <v>208</v>
      </c>
      <c r="B394">
        <v>775</v>
      </c>
      <c r="C394" s="1">
        <v>45741</v>
      </c>
      <c r="D394">
        <v>14953</v>
      </c>
      <c r="E394">
        <v>36944</v>
      </c>
      <c r="F394" s="1">
        <v>44577</v>
      </c>
      <c r="G394" t="s">
        <v>17</v>
      </c>
      <c r="H394" t="s">
        <v>13</v>
      </c>
      <c r="I394" t="s">
        <v>18</v>
      </c>
      <c r="J394">
        <v>3</v>
      </c>
    </row>
    <row r="395" spans="1:10" x14ac:dyDescent="0.35">
      <c r="A395" t="s">
        <v>493</v>
      </c>
      <c r="B395">
        <v>1905</v>
      </c>
      <c r="C395" s="1">
        <v>45903</v>
      </c>
      <c r="D395">
        <v>17027</v>
      </c>
      <c r="E395">
        <v>43328</v>
      </c>
      <c r="F395" s="1">
        <v>35929</v>
      </c>
      <c r="G395" t="s">
        <v>12</v>
      </c>
      <c r="H395" t="s">
        <v>13</v>
      </c>
      <c r="I395" t="s">
        <v>14</v>
      </c>
      <c r="J395">
        <v>9</v>
      </c>
    </row>
    <row r="396" spans="1:10" x14ac:dyDescent="0.35">
      <c r="A396" t="s">
        <v>494</v>
      </c>
      <c r="B396">
        <v>1905</v>
      </c>
      <c r="C396" s="1">
        <v>45937</v>
      </c>
      <c r="D396">
        <v>17451</v>
      </c>
      <c r="E396">
        <v>43186</v>
      </c>
      <c r="F396" s="1">
        <v>42338</v>
      </c>
      <c r="G396" t="s">
        <v>12</v>
      </c>
      <c r="H396" t="s">
        <v>13</v>
      </c>
      <c r="I396" t="s">
        <v>14</v>
      </c>
      <c r="J396">
        <v>10</v>
      </c>
    </row>
    <row r="397" spans="1:10" x14ac:dyDescent="0.35">
      <c r="A397" t="s">
        <v>33</v>
      </c>
      <c r="B397">
        <v>1905</v>
      </c>
      <c r="C397" s="1">
        <v>45660</v>
      </c>
      <c r="D397">
        <v>13747</v>
      </c>
      <c r="E397">
        <v>35098</v>
      </c>
      <c r="F397" s="1">
        <v>44095</v>
      </c>
      <c r="G397" t="s">
        <v>12</v>
      </c>
      <c r="H397" t="s">
        <v>13</v>
      </c>
      <c r="I397" t="s">
        <v>14</v>
      </c>
      <c r="J397">
        <v>1</v>
      </c>
    </row>
    <row r="398" spans="1:10" x14ac:dyDescent="0.35">
      <c r="A398" t="s">
        <v>524</v>
      </c>
      <c r="B398">
        <v>1545</v>
      </c>
      <c r="C398" s="1">
        <v>45982</v>
      </c>
      <c r="D398">
        <v>17808</v>
      </c>
      <c r="E398">
        <v>43574</v>
      </c>
      <c r="F398" s="1">
        <v>40756</v>
      </c>
      <c r="G398" t="s">
        <v>12</v>
      </c>
      <c r="H398" t="s">
        <v>13</v>
      </c>
      <c r="I398" t="s">
        <v>20</v>
      </c>
      <c r="J398">
        <v>11</v>
      </c>
    </row>
    <row r="399" spans="1:10" x14ac:dyDescent="0.35">
      <c r="A399" t="s">
        <v>155</v>
      </c>
      <c r="B399">
        <v>775</v>
      </c>
      <c r="C399" s="1">
        <v>45987</v>
      </c>
      <c r="D399">
        <v>17847</v>
      </c>
      <c r="E399">
        <v>43612</v>
      </c>
      <c r="F399" s="1">
        <v>40179</v>
      </c>
      <c r="G399" t="s">
        <v>1</v>
      </c>
      <c r="H399" t="s">
        <v>13</v>
      </c>
      <c r="I399" t="s">
        <v>18</v>
      </c>
      <c r="J399">
        <v>11</v>
      </c>
    </row>
    <row r="400" spans="1:10" x14ac:dyDescent="0.35">
      <c r="A400" t="s">
        <v>155</v>
      </c>
      <c r="B400">
        <v>775</v>
      </c>
      <c r="C400" s="1">
        <v>45704</v>
      </c>
      <c r="D400">
        <v>14471</v>
      </c>
      <c r="E400">
        <v>36076</v>
      </c>
      <c r="F400" s="1">
        <v>40179</v>
      </c>
      <c r="G400" t="s">
        <v>1</v>
      </c>
      <c r="H400" t="s">
        <v>13</v>
      </c>
      <c r="I400" t="s">
        <v>18</v>
      </c>
      <c r="J400">
        <v>2</v>
      </c>
    </row>
    <row r="401" spans="1:10" x14ac:dyDescent="0.35">
      <c r="A401" t="s">
        <v>57</v>
      </c>
      <c r="B401">
        <v>1905</v>
      </c>
      <c r="C401" s="1">
        <v>45825</v>
      </c>
      <c r="D401">
        <v>15924</v>
      </c>
      <c r="E401">
        <v>39561</v>
      </c>
      <c r="F401" s="1">
        <v>40767</v>
      </c>
      <c r="G401" t="s">
        <v>12</v>
      </c>
      <c r="H401" t="s">
        <v>13</v>
      </c>
      <c r="I401" t="s">
        <v>14</v>
      </c>
      <c r="J401">
        <v>6</v>
      </c>
    </row>
    <row r="402" spans="1:10" x14ac:dyDescent="0.35">
      <c r="A402" t="s">
        <v>57</v>
      </c>
      <c r="B402">
        <v>360</v>
      </c>
      <c r="C402" s="1">
        <v>45659</v>
      </c>
      <c r="D402">
        <v>13732</v>
      </c>
      <c r="E402">
        <v>35083</v>
      </c>
      <c r="F402" s="1">
        <v>40767</v>
      </c>
      <c r="G402" t="s">
        <v>12</v>
      </c>
      <c r="H402" t="s">
        <v>13</v>
      </c>
      <c r="I402" t="s">
        <v>14</v>
      </c>
      <c r="J402">
        <v>1</v>
      </c>
    </row>
    <row r="403" spans="1:10" x14ac:dyDescent="0.35">
      <c r="A403" t="s">
        <v>403</v>
      </c>
      <c r="B403">
        <v>1545</v>
      </c>
      <c r="C403" s="1">
        <v>45866</v>
      </c>
      <c r="D403">
        <v>16415</v>
      </c>
      <c r="E403">
        <v>40518</v>
      </c>
      <c r="F403" s="1">
        <v>44796</v>
      </c>
      <c r="G403" t="s">
        <v>12</v>
      </c>
      <c r="H403" t="s">
        <v>13</v>
      </c>
      <c r="I403" t="s">
        <v>20</v>
      </c>
      <c r="J403">
        <v>7</v>
      </c>
    </row>
    <row r="404" spans="1:10" x14ac:dyDescent="0.35">
      <c r="A404" t="s">
        <v>209</v>
      </c>
      <c r="B404">
        <v>1650</v>
      </c>
      <c r="C404" s="1">
        <v>45733</v>
      </c>
      <c r="D404">
        <v>14812</v>
      </c>
      <c r="E404">
        <v>36725</v>
      </c>
      <c r="F404" s="1">
        <v>37351</v>
      </c>
      <c r="G404" t="s">
        <v>1</v>
      </c>
      <c r="H404" t="s">
        <v>13</v>
      </c>
      <c r="I404" t="s">
        <v>20</v>
      </c>
      <c r="J404">
        <v>3</v>
      </c>
    </row>
    <row r="405" spans="1:10" x14ac:dyDescent="0.35">
      <c r="A405" t="s">
        <v>302</v>
      </c>
      <c r="B405">
        <v>7210</v>
      </c>
      <c r="C405" s="1">
        <v>45777</v>
      </c>
      <c r="D405">
        <v>15474</v>
      </c>
      <c r="E405">
        <v>38700</v>
      </c>
      <c r="F405" s="1">
        <v>38867</v>
      </c>
      <c r="G405" t="s">
        <v>1</v>
      </c>
      <c r="H405" t="s">
        <v>13</v>
      </c>
      <c r="I405" t="s">
        <v>20</v>
      </c>
      <c r="J405">
        <v>4</v>
      </c>
    </row>
    <row r="406" spans="1:10" x14ac:dyDescent="0.35">
      <c r="A406" t="s">
        <v>441</v>
      </c>
      <c r="B406">
        <v>1905</v>
      </c>
      <c r="C406" s="1">
        <v>45870</v>
      </c>
      <c r="D406">
        <v>16466</v>
      </c>
      <c r="E406">
        <v>40644</v>
      </c>
      <c r="F406" s="1">
        <v>44049</v>
      </c>
      <c r="G406" t="s">
        <v>0</v>
      </c>
      <c r="H406" t="s">
        <v>382</v>
      </c>
      <c r="I406" t="s">
        <v>14</v>
      </c>
      <c r="J406">
        <v>8</v>
      </c>
    </row>
    <row r="407" spans="1:10" x14ac:dyDescent="0.35">
      <c r="A407" t="s">
        <v>495</v>
      </c>
      <c r="B407">
        <v>23375</v>
      </c>
      <c r="C407" s="1">
        <v>45938</v>
      </c>
      <c r="D407">
        <v>17470</v>
      </c>
      <c r="E407">
        <v>43205</v>
      </c>
      <c r="F407" s="1">
        <v>41351</v>
      </c>
      <c r="G407" t="s">
        <v>19</v>
      </c>
      <c r="H407" t="s">
        <v>13</v>
      </c>
      <c r="I407" t="s">
        <v>20</v>
      </c>
      <c r="J407">
        <v>10</v>
      </c>
    </row>
    <row r="408" spans="1:10" x14ac:dyDescent="0.35">
      <c r="A408" t="s">
        <v>210</v>
      </c>
      <c r="B408">
        <v>1545</v>
      </c>
      <c r="C408" s="1">
        <v>45734</v>
      </c>
      <c r="D408">
        <v>14830</v>
      </c>
      <c r="E408">
        <v>36743</v>
      </c>
      <c r="F408" s="1">
        <v>45734</v>
      </c>
      <c r="G408" t="s">
        <v>19</v>
      </c>
      <c r="H408" t="s">
        <v>13</v>
      </c>
      <c r="I408" t="s">
        <v>20</v>
      </c>
      <c r="J408">
        <v>3</v>
      </c>
    </row>
    <row r="409" spans="1:10" x14ac:dyDescent="0.35">
      <c r="A409" t="s">
        <v>303</v>
      </c>
      <c r="B409">
        <v>38100</v>
      </c>
      <c r="C409" s="1">
        <v>45796</v>
      </c>
      <c r="D409">
        <v>15688</v>
      </c>
      <c r="E409">
        <v>39217</v>
      </c>
      <c r="F409" s="1">
        <v>40282</v>
      </c>
      <c r="G409" t="s">
        <v>19</v>
      </c>
      <c r="H409" t="s">
        <v>13</v>
      </c>
      <c r="I409" t="s">
        <v>23</v>
      </c>
      <c r="J409">
        <v>5</v>
      </c>
    </row>
    <row r="410" spans="1:10" x14ac:dyDescent="0.35">
      <c r="A410" t="s">
        <v>304</v>
      </c>
      <c r="B410">
        <v>23375</v>
      </c>
      <c r="C410" s="1">
        <v>45754</v>
      </c>
      <c r="D410">
        <v>15170</v>
      </c>
      <c r="E410">
        <v>37672</v>
      </c>
      <c r="F410" s="1">
        <v>45755</v>
      </c>
      <c r="G410" t="s">
        <v>19</v>
      </c>
      <c r="H410" t="s">
        <v>13</v>
      </c>
      <c r="I410" t="s">
        <v>20</v>
      </c>
      <c r="J410">
        <v>4</v>
      </c>
    </row>
    <row r="411" spans="1:10" x14ac:dyDescent="0.35">
      <c r="A411" t="s">
        <v>305</v>
      </c>
      <c r="B411">
        <v>2370</v>
      </c>
      <c r="C411" s="1">
        <v>45779</v>
      </c>
      <c r="D411">
        <v>15503</v>
      </c>
      <c r="E411">
        <v>38817</v>
      </c>
      <c r="F411" s="1">
        <v>45392</v>
      </c>
      <c r="G411" t="s">
        <v>0</v>
      </c>
      <c r="H411" t="s">
        <v>13</v>
      </c>
      <c r="I411" t="s">
        <v>20</v>
      </c>
      <c r="J411">
        <v>5</v>
      </c>
    </row>
    <row r="412" spans="1:10" x14ac:dyDescent="0.35">
      <c r="A412" t="s">
        <v>525</v>
      </c>
      <c r="B412">
        <v>1545</v>
      </c>
      <c r="C412" s="1">
        <v>45967</v>
      </c>
      <c r="D412">
        <v>17678</v>
      </c>
      <c r="E412">
        <v>43441</v>
      </c>
      <c r="F412" s="1">
        <v>41590</v>
      </c>
      <c r="G412" t="s">
        <v>0</v>
      </c>
      <c r="H412" t="s">
        <v>13</v>
      </c>
      <c r="I412" t="s">
        <v>20</v>
      </c>
      <c r="J412">
        <v>11</v>
      </c>
    </row>
    <row r="413" spans="1:10" x14ac:dyDescent="0.35">
      <c r="A413" t="s">
        <v>306</v>
      </c>
      <c r="B413">
        <v>775</v>
      </c>
      <c r="C413" s="1">
        <v>45798</v>
      </c>
      <c r="D413">
        <v>15705</v>
      </c>
      <c r="E413">
        <v>39234</v>
      </c>
      <c r="F413" s="1">
        <v>45798</v>
      </c>
      <c r="G413" t="s">
        <v>17</v>
      </c>
      <c r="H413" t="s">
        <v>13</v>
      </c>
      <c r="I413" t="s">
        <v>18</v>
      </c>
      <c r="J413">
        <v>5</v>
      </c>
    </row>
    <row r="414" spans="1:10" x14ac:dyDescent="0.35">
      <c r="A414" t="s">
        <v>307</v>
      </c>
      <c r="B414">
        <v>23375</v>
      </c>
      <c r="C414" s="1">
        <v>45797</v>
      </c>
      <c r="D414">
        <v>15692</v>
      </c>
      <c r="E414">
        <v>39221</v>
      </c>
      <c r="F414" s="1">
        <v>44972</v>
      </c>
      <c r="G414" t="s">
        <v>19</v>
      </c>
      <c r="H414" t="s">
        <v>13</v>
      </c>
      <c r="I414" t="s">
        <v>20</v>
      </c>
      <c r="J414">
        <v>5</v>
      </c>
    </row>
    <row r="415" spans="1:10" x14ac:dyDescent="0.35">
      <c r="A415" t="s">
        <v>308</v>
      </c>
      <c r="B415">
        <v>2680</v>
      </c>
      <c r="C415" s="1">
        <v>45789</v>
      </c>
      <c r="D415">
        <v>15604</v>
      </c>
      <c r="E415">
        <v>39096</v>
      </c>
      <c r="F415" s="1">
        <v>42804</v>
      </c>
      <c r="G415" t="s">
        <v>12</v>
      </c>
      <c r="H415" t="s">
        <v>13</v>
      </c>
      <c r="I415" t="s">
        <v>20</v>
      </c>
      <c r="J415">
        <v>5</v>
      </c>
    </row>
    <row r="416" spans="1:10" x14ac:dyDescent="0.35">
      <c r="A416" t="s">
        <v>156</v>
      </c>
      <c r="B416">
        <v>1545</v>
      </c>
      <c r="C416" s="1">
        <v>45698</v>
      </c>
      <c r="D416">
        <v>14419</v>
      </c>
      <c r="E416">
        <v>36006</v>
      </c>
      <c r="F416" s="1">
        <v>40630</v>
      </c>
      <c r="G416" t="s">
        <v>12</v>
      </c>
      <c r="H416" t="s">
        <v>13</v>
      </c>
      <c r="I416" t="s">
        <v>20</v>
      </c>
      <c r="J416">
        <v>2</v>
      </c>
    </row>
    <row r="417" spans="1:10" x14ac:dyDescent="0.35">
      <c r="A417" t="s">
        <v>309</v>
      </c>
      <c r="B417">
        <v>5770</v>
      </c>
      <c r="C417" s="1">
        <v>45758</v>
      </c>
      <c r="D417">
        <v>15239</v>
      </c>
      <c r="E417">
        <v>37885</v>
      </c>
      <c r="F417" s="1">
        <v>37630</v>
      </c>
      <c r="G417" t="s">
        <v>227</v>
      </c>
      <c r="H417" t="s">
        <v>13</v>
      </c>
      <c r="I417" t="s">
        <v>20</v>
      </c>
      <c r="J417">
        <v>4</v>
      </c>
    </row>
    <row r="418" spans="1:10" x14ac:dyDescent="0.35">
      <c r="A418" t="s">
        <v>157</v>
      </c>
      <c r="B418">
        <v>1905</v>
      </c>
      <c r="C418" s="1">
        <v>45721</v>
      </c>
      <c r="D418">
        <v>14673</v>
      </c>
      <c r="E418">
        <v>36453</v>
      </c>
      <c r="F418" s="1">
        <v>44280</v>
      </c>
      <c r="G418" t="s">
        <v>19</v>
      </c>
      <c r="H418" t="s">
        <v>13</v>
      </c>
      <c r="I418" t="s">
        <v>14</v>
      </c>
      <c r="J418">
        <v>3</v>
      </c>
    </row>
    <row r="419" spans="1:10" x14ac:dyDescent="0.35">
      <c r="A419" t="s">
        <v>442</v>
      </c>
      <c r="B419">
        <v>3400</v>
      </c>
      <c r="C419" s="1">
        <v>45870</v>
      </c>
      <c r="D419">
        <v>16474</v>
      </c>
      <c r="E419">
        <v>40664</v>
      </c>
      <c r="F419" s="1">
        <v>37327</v>
      </c>
      <c r="G419" t="s">
        <v>12</v>
      </c>
      <c r="H419" t="s">
        <v>13</v>
      </c>
      <c r="I419" t="s">
        <v>14</v>
      </c>
      <c r="J419">
        <v>8</v>
      </c>
    </row>
    <row r="420" spans="1:10" x14ac:dyDescent="0.35">
      <c r="A420" t="s">
        <v>310</v>
      </c>
      <c r="B420">
        <v>1545</v>
      </c>
      <c r="C420" s="1">
        <v>45749</v>
      </c>
      <c r="D420">
        <v>15075</v>
      </c>
      <c r="E420">
        <v>37243</v>
      </c>
      <c r="F420" s="1">
        <v>41389</v>
      </c>
      <c r="G420" t="s">
        <v>0</v>
      </c>
      <c r="H420" t="s">
        <v>13</v>
      </c>
      <c r="I420" t="s">
        <v>20</v>
      </c>
      <c r="J420">
        <v>4</v>
      </c>
    </row>
    <row r="421" spans="1:10" x14ac:dyDescent="0.35">
      <c r="A421" t="s">
        <v>526</v>
      </c>
      <c r="B421">
        <v>1545</v>
      </c>
      <c r="C421" s="1">
        <v>45967</v>
      </c>
      <c r="D421">
        <v>17677</v>
      </c>
      <c r="E421">
        <v>43440</v>
      </c>
      <c r="F421" s="1">
        <v>44523</v>
      </c>
      <c r="G421" t="s">
        <v>19</v>
      </c>
      <c r="H421" t="s">
        <v>13</v>
      </c>
      <c r="I421" t="s">
        <v>20</v>
      </c>
      <c r="J421">
        <v>11</v>
      </c>
    </row>
    <row r="422" spans="1:10" x14ac:dyDescent="0.35">
      <c r="A422" t="s">
        <v>211</v>
      </c>
      <c r="B422">
        <v>1545</v>
      </c>
      <c r="C422" s="1">
        <v>45742</v>
      </c>
      <c r="D422">
        <v>14965</v>
      </c>
      <c r="E422">
        <v>36975</v>
      </c>
      <c r="F422" s="1">
        <v>40522</v>
      </c>
      <c r="G422" t="s">
        <v>12</v>
      </c>
      <c r="H422" t="s">
        <v>13</v>
      </c>
      <c r="I422" t="s">
        <v>20</v>
      </c>
      <c r="J422">
        <v>3</v>
      </c>
    </row>
    <row r="423" spans="1:10" x14ac:dyDescent="0.35">
      <c r="A423" t="s">
        <v>404</v>
      </c>
      <c r="B423">
        <v>23375</v>
      </c>
      <c r="C423" s="1">
        <v>45863</v>
      </c>
      <c r="D423">
        <v>16399</v>
      </c>
      <c r="E423">
        <v>40485</v>
      </c>
      <c r="F423" s="1">
        <v>39573</v>
      </c>
      <c r="G423" t="s">
        <v>19</v>
      </c>
      <c r="H423" t="s">
        <v>13</v>
      </c>
      <c r="I423" t="s">
        <v>20</v>
      </c>
      <c r="J423">
        <v>7</v>
      </c>
    </row>
    <row r="424" spans="1:10" x14ac:dyDescent="0.35">
      <c r="A424" t="s">
        <v>443</v>
      </c>
      <c r="B424">
        <v>1545</v>
      </c>
      <c r="C424" s="1">
        <v>45880</v>
      </c>
      <c r="D424">
        <v>16592</v>
      </c>
      <c r="E424">
        <v>41360</v>
      </c>
      <c r="F424" s="1">
        <v>39823</v>
      </c>
      <c r="G424" t="s">
        <v>12</v>
      </c>
      <c r="H424" t="s">
        <v>13</v>
      </c>
      <c r="I424" t="s">
        <v>20</v>
      </c>
      <c r="J424">
        <v>8</v>
      </c>
    </row>
    <row r="425" spans="1:10" x14ac:dyDescent="0.35">
      <c r="A425" t="s">
        <v>212</v>
      </c>
      <c r="B425">
        <v>18950</v>
      </c>
      <c r="C425" s="1">
        <v>45730</v>
      </c>
      <c r="D425">
        <v>14790</v>
      </c>
      <c r="E425">
        <v>36678</v>
      </c>
      <c r="F425" s="1">
        <v>36367</v>
      </c>
      <c r="G425" t="s">
        <v>19</v>
      </c>
      <c r="H425" t="s">
        <v>13</v>
      </c>
      <c r="I425" t="s">
        <v>20</v>
      </c>
      <c r="J425">
        <v>3</v>
      </c>
    </row>
    <row r="426" spans="1:10" x14ac:dyDescent="0.35">
      <c r="A426" t="s">
        <v>496</v>
      </c>
      <c r="B426">
        <v>1545</v>
      </c>
      <c r="C426" s="1">
        <v>45958</v>
      </c>
      <c r="D426">
        <v>17608</v>
      </c>
      <c r="E426">
        <v>43354</v>
      </c>
      <c r="F426" s="1">
        <v>42867</v>
      </c>
      <c r="G426" t="s">
        <v>19</v>
      </c>
      <c r="H426" t="s">
        <v>13</v>
      </c>
      <c r="I426" t="s">
        <v>20</v>
      </c>
      <c r="J426">
        <v>10</v>
      </c>
    </row>
    <row r="427" spans="1:10" x14ac:dyDescent="0.35">
      <c r="A427" t="s">
        <v>311</v>
      </c>
      <c r="B427">
        <v>775</v>
      </c>
      <c r="C427" s="1">
        <v>45798</v>
      </c>
      <c r="D427">
        <v>15703</v>
      </c>
      <c r="E427">
        <v>39232</v>
      </c>
      <c r="F427" s="1">
        <v>44799</v>
      </c>
      <c r="G427" t="s">
        <v>17</v>
      </c>
      <c r="H427" t="s">
        <v>13</v>
      </c>
      <c r="I427" t="s">
        <v>18</v>
      </c>
      <c r="J427">
        <v>5</v>
      </c>
    </row>
    <row r="428" spans="1:10" x14ac:dyDescent="0.35">
      <c r="A428" t="s">
        <v>213</v>
      </c>
      <c r="B428">
        <v>9685</v>
      </c>
      <c r="C428" s="1">
        <v>45733</v>
      </c>
      <c r="D428">
        <v>14810</v>
      </c>
      <c r="E428">
        <v>36723</v>
      </c>
      <c r="F428" s="1">
        <v>43347</v>
      </c>
      <c r="G428" t="s">
        <v>19</v>
      </c>
      <c r="H428" t="s">
        <v>13</v>
      </c>
      <c r="I428" t="s">
        <v>20</v>
      </c>
      <c r="J428">
        <v>3</v>
      </c>
    </row>
    <row r="429" spans="1:10" x14ac:dyDescent="0.35">
      <c r="A429" t="s">
        <v>527</v>
      </c>
      <c r="B429">
        <v>23375</v>
      </c>
      <c r="C429" s="1">
        <v>45967</v>
      </c>
      <c r="D429">
        <v>17681</v>
      </c>
      <c r="E429">
        <v>43444</v>
      </c>
      <c r="F429" s="1">
        <v>44606</v>
      </c>
      <c r="G429" t="s">
        <v>19</v>
      </c>
      <c r="H429" t="s">
        <v>13</v>
      </c>
      <c r="I429" t="s">
        <v>20</v>
      </c>
      <c r="J429">
        <v>11</v>
      </c>
    </row>
    <row r="430" spans="1:10" x14ac:dyDescent="0.35">
      <c r="A430" t="s">
        <v>158</v>
      </c>
      <c r="B430">
        <v>1545</v>
      </c>
      <c r="C430" s="1">
        <v>45695</v>
      </c>
      <c r="D430">
        <v>14410</v>
      </c>
      <c r="E430">
        <v>35988</v>
      </c>
      <c r="F430" s="1">
        <v>45415</v>
      </c>
      <c r="G430" t="s">
        <v>19</v>
      </c>
      <c r="H430" t="s">
        <v>13</v>
      </c>
      <c r="I430" t="s">
        <v>20</v>
      </c>
      <c r="J430">
        <v>2</v>
      </c>
    </row>
    <row r="431" spans="1:10" x14ac:dyDescent="0.35">
      <c r="A431" t="s">
        <v>357</v>
      </c>
      <c r="B431">
        <v>23375</v>
      </c>
      <c r="C431" s="1">
        <v>45831</v>
      </c>
      <c r="D431">
        <v>15984</v>
      </c>
      <c r="E431">
        <v>39670</v>
      </c>
      <c r="F431" s="1">
        <v>41288</v>
      </c>
      <c r="G431" t="s">
        <v>19</v>
      </c>
      <c r="H431" t="s">
        <v>13</v>
      </c>
      <c r="I431" t="s">
        <v>20</v>
      </c>
      <c r="J431">
        <v>6</v>
      </c>
    </row>
    <row r="432" spans="1:10" x14ac:dyDescent="0.35">
      <c r="A432" t="s">
        <v>214</v>
      </c>
      <c r="B432">
        <v>23375</v>
      </c>
      <c r="C432" s="1">
        <v>45726</v>
      </c>
      <c r="D432">
        <v>14709</v>
      </c>
      <c r="E432">
        <v>36532</v>
      </c>
      <c r="F432" s="1">
        <v>41346</v>
      </c>
      <c r="G432" t="s">
        <v>19</v>
      </c>
      <c r="H432" t="s">
        <v>13</v>
      </c>
      <c r="I432" t="s">
        <v>20</v>
      </c>
      <c r="J432">
        <v>3</v>
      </c>
    </row>
    <row r="433" spans="1:10" x14ac:dyDescent="0.35">
      <c r="A433" t="s">
        <v>312</v>
      </c>
      <c r="B433">
        <v>1545</v>
      </c>
      <c r="C433" s="1">
        <v>45775</v>
      </c>
      <c r="D433">
        <v>15442</v>
      </c>
      <c r="E433">
        <v>38611</v>
      </c>
      <c r="F433" s="1">
        <v>39961</v>
      </c>
      <c r="G433" t="s">
        <v>19</v>
      </c>
      <c r="H433" t="s">
        <v>13</v>
      </c>
      <c r="I433" t="s">
        <v>20</v>
      </c>
      <c r="J433">
        <v>4</v>
      </c>
    </row>
    <row r="434" spans="1:10" x14ac:dyDescent="0.35">
      <c r="A434" t="s">
        <v>444</v>
      </c>
      <c r="B434">
        <v>5770</v>
      </c>
      <c r="C434" s="1">
        <v>45873</v>
      </c>
      <c r="D434">
        <v>16487</v>
      </c>
      <c r="E434">
        <v>40702</v>
      </c>
      <c r="F434" s="1">
        <v>45870</v>
      </c>
      <c r="G434" t="s">
        <v>19</v>
      </c>
      <c r="H434" t="s">
        <v>13</v>
      </c>
      <c r="I434" t="s">
        <v>20</v>
      </c>
      <c r="J434">
        <v>8</v>
      </c>
    </row>
    <row r="435" spans="1:10" x14ac:dyDescent="0.35">
      <c r="A435" t="s">
        <v>313</v>
      </c>
      <c r="B435">
        <v>2990</v>
      </c>
      <c r="C435" s="1">
        <v>45777</v>
      </c>
      <c r="D435">
        <v>15475</v>
      </c>
      <c r="E435">
        <v>38701</v>
      </c>
      <c r="F435" s="1">
        <v>45775</v>
      </c>
      <c r="G435" t="s">
        <v>19</v>
      </c>
      <c r="H435" t="s">
        <v>13</v>
      </c>
      <c r="I435" t="s">
        <v>14</v>
      </c>
      <c r="J435">
        <v>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D7BCA-9A13-40CC-9758-01914F9C1864}">
  <dimension ref="A1:E24"/>
  <sheetViews>
    <sheetView zoomScale="104" zoomScaleNormal="104" workbookViewId="0">
      <selection activeCell="H21" sqref="H21"/>
    </sheetView>
  </sheetViews>
  <sheetFormatPr defaultRowHeight="14.5" x14ac:dyDescent="0.35"/>
  <cols>
    <col min="2" max="2" width="11.90625" bestFit="1" customWidth="1"/>
    <col min="4" max="4" width="12.453125" bestFit="1" customWidth="1"/>
    <col min="5" max="5" width="11" bestFit="1" customWidth="1"/>
    <col min="6" max="6" width="9.7265625" bestFit="1" customWidth="1"/>
    <col min="14" max="14" width="12.453125" bestFit="1" customWidth="1"/>
    <col min="15" max="15" width="11" bestFit="1" customWidth="1"/>
  </cols>
  <sheetData>
    <row r="1" spans="1:5" x14ac:dyDescent="0.35">
      <c r="A1" t="s">
        <v>115</v>
      </c>
      <c r="B1" t="s">
        <v>116</v>
      </c>
    </row>
    <row r="2" spans="1:5" x14ac:dyDescent="0.35">
      <c r="A2" s="15">
        <v>0.1</v>
      </c>
      <c r="B2" s="16">
        <v>281453.33</v>
      </c>
      <c r="D2" s="2" t="s">
        <v>63</v>
      </c>
      <c r="E2" t="s">
        <v>117</v>
      </c>
    </row>
    <row r="3" spans="1:5" x14ac:dyDescent="0.35">
      <c r="A3" s="17">
        <v>0.2</v>
      </c>
      <c r="B3" s="18">
        <v>281453.33</v>
      </c>
      <c r="D3" s="19">
        <v>0.1</v>
      </c>
      <c r="E3">
        <v>1</v>
      </c>
    </row>
    <row r="4" spans="1:5" x14ac:dyDescent="0.35">
      <c r="A4" s="15">
        <v>0.3</v>
      </c>
      <c r="B4" s="16">
        <v>281453.33</v>
      </c>
      <c r="D4" s="19">
        <v>0.2</v>
      </c>
      <c r="E4">
        <v>1</v>
      </c>
    </row>
    <row r="5" spans="1:5" x14ac:dyDescent="0.35">
      <c r="A5" s="17">
        <v>0.4</v>
      </c>
      <c r="B5" s="18">
        <v>281453.33</v>
      </c>
      <c r="D5" s="19">
        <v>0.3</v>
      </c>
      <c r="E5">
        <v>1</v>
      </c>
    </row>
    <row r="6" spans="1:5" x14ac:dyDescent="0.35">
      <c r="A6" s="15">
        <v>0.5</v>
      </c>
      <c r="B6" s="16">
        <v>281453.33</v>
      </c>
      <c r="D6" s="19">
        <v>0.4</v>
      </c>
      <c r="E6">
        <v>1</v>
      </c>
    </row>
    <row r="7" spans="1:5" x14ac:dyDescent="0.35">
      <c r="A7" s="17">
        <v>0.6</v>
      </c>
      <c r="B7" s="18">
        <v>281453.33</v>
      </c>
      <c r="D7" s="19">
        <v>0.5</v>
      </c>
      <c r="E7">
        <v>1</v>
      </c>
    </row>
    <row r="8" spans="1:5" x14ac:dyDescent="0.35">
      <c r="A8" s="15">
        <v>0.7</v>
      </c>
      <c r="B8" s="16">
        <v>281453.33</v>
      </c>
      <c r="D8" s="19">
        <v>0.6</v>
      </c>
      <c r="E8">
        <v>1</v>
      </c>
    </row>
    <row r="9" spans="1:5" x14ac:dyDescent="0.35">
      <c r="A9" s="17">
        <v>0.8</v>
      </c>
      <c r="B9" s="18">
        <v>281453.33</v>
      </c>
      <c r="D9" s="19">
        <v>0.7</v>
      </c>
      <c r="E9">
        <v>1</v>
      </c>
    </row>
    <row r="10" spans="1:5" x14ac:dyDescent="0.35">
      <c r="A10" s="15">
        <v>0.9</v>
      </c>
      <c r="B10" s="16">
        <v>281453.33</v>
      </c>
      <c r="D10" s="19">
        <v>0.8</v>
      </c>
      <c r="E10">
        <v>1</v>
      </c>
    </row>
    <row r="11" spans="1:5" x14ac:dyDescent="0.35">
      <c r="A11" s="17">
        <v>1</v>
      </c>
      <c r="B11" s="18">
        <v>281453.33</v>
      </c>
      <c r="D11" s="19">
        <v>0.9</v>
      </c>
      <c r="E11">
        <v>1</v>
      </c>
    </row>
    <row r="12" spans="1:5" x14ac:dyDescent="0.35">
      <c r="A12" s="20">
        <v>1.1000000000000001</v>
      </c>
      <c r="B12" s="13">
        <v>281453.33</v>
      </c>
      <c r="D12" s="19">
        <v>1</v>
      </c>
      <c r="E12">
        <v>1</v>
      </c>
    </row>
    <row r="13" spans="1:5" x14ac:dyDescent="0.35">
      <c r="A13" s="17">
        <v>1.2</v>
      </c>
      <c r="B13" s="14">
        <v>0</v>
      </c>
      <c r="D13" s="19">
        <v>1.1000000000000001</v>
      </c>
      <c r="E13">
        <v>1</v>
      </c>
    </row>
    <row r="14" spans="1:5" x14ac:dyDescent="0.35">
      <c r="A14" s="15">
        <v>1.3</v>
      </c>
      <c r="B14" s="13">
        <v>0</v>
      </c>
      <c r="D14" s="19">
        <v>1.2</v>
      </c>
      <c r="E14">
        <v>1</v>
      </c>
    </row>
    <row r="15" spans="1:5" x14ac:dyDescent="0.35">
      <c r="A15" s="17">
        <v>1.4</v>
      </c>
      <c r="B15" s="14">
        <v>0</v>
      </c>
      <c r="D15" s="19">
        <v>1.3</v>
      </c>
      <c r="E15">
        <v>1</v>
      </c>
    </row>
    <row r="16" spans="1:5" x14ac:dyDescent="0.35">
      <c r="A16" s="15">
        <v>1.5</v>
      </c>
      <c r="B16" s="13">
        <v>0</v>
      </c>
      <c r="D16" s="19">
        <v>1.4</v>
      </c>
      <c r="E16">
        <v>1</v>
      </c>
    </row>
    <row r="17" spans="1:5" x14ac:dyDescent="0.35">
      <c r="A17" s="17">
        <v>1.6</v>
      </c>
      <c r="B17" s="14">
        <v>0</v>
      </c>
      <c r="D17" s="19">
        <v>1.5</v>
      </c>
      <c r="E17">
        <v>1</v>
      </c>
    </row>
    <row r="18" spans="1:5" x14ac:dyDescent="0.35">
      <c r="A18" s="15">
        <v>1.7</v>
      </c>
      <c r="B18" s="13">
        <v>0</v>
      </c>
      <c r="D18" s="19">
        <v>1.6</v>
      </c>
      <c r="E18">
        <v>1</v>
      </c>
    </row>
    <row r="19" spans="1:5" x14ac:dyDescent="0.35">
      <c r="A19" s="17">
        <v>1.8</v>
      </c>
      <c r="B19" s="14">
        <v>0</v>
      </c>
      <c r="D19" s="19">
        <v>1.7</v>
      </c>
      <c r="E19">
        <v>1</v>
      </c>
    </row>
    <row r="20" spans="1:5" x14ac:dyDescent="0.35">
      <c r="A20" s="15">
        <v>1.9</v>
      </c>
      <c r="B20" s="13">
        <v>0</v>
      </c>
      <c r="D20" s="19">
        <v>1.8</v>
      </c>
      <c r="E20">
        <v>1</v>
      </c>
    </row>
    <row r="21" spans="1:5" x14ac:dyDescent="0.35">
      <c r="A21" s="17">
        <v>2</v>
      </c>
      <c r="B21" s="14">
        <v>0</v>
      </c>
      <c r="D21" s="19">
        <v>1.9</v>
      </c>
      <c r="E21">
        <v>1</v>
      </c>
    </row>
    <row r="22" spans="1:5" x14ac:dyDescent="0.35">
      <c r="A22" s="15"/>
      <c r="B22" s="13"/>
      <c r="D22" s="19">
        <v>2</v>
      </c>
      <c r="E22">
        <v>1</v>
      </c>
    </row>
    <row r="23" spans="1:5" x14ac:dyDescent="0.35">
      <c r="A23" s="17"/>
      <c r="B23" s="14"/>
      <c r="D23" s="19" t="s">
        <v>64</v>
      </c>
      <c r="E23">
        <v>20</v>
      </c>
    </row>
    <row r="24" spans="1:5" x14ac:dyDescent="0.35">
      <c r="A24" s="15"/>
      <c r="B24" s="13"/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DB25C0-B303-4182-AB4A-C49C1F6375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Revenue Breakdown</vt:lpstr>
      <vt:lpstr>Org Revenues</vt:lpstr>
      <vt:lpstr>Orgs</vt:lpstr>
      <vt:lpstr>Ind Revenues</vt:lpstr>
      <vt:lpstr>Individual</vt:lpstr>
      <vt:lpstr>Affiliate</vt:lpstr>
      <vt:lpstr>Yrs of Membership</vt:lpstr>
      <vt:lpstr>Accounts with Mem and Receipts</vt:lpstr>
      <vt:lpstr>draft_mem_goal_work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 Laakso</dc:creator>
  <cp:lastModifiedBy>Lynn Laakso</cp:lastModifiedBy>
  <dcterms:created xsi:type="dcterms:W3CDTF">2025-01-07T16:26:24Z</dcterms:created>
  <dcterms:modified xsi:type="dcterms:W3CDTF">2025-12-01T15:35:54Z</dcterms:modified>
</cp:coreProperties>
</file>