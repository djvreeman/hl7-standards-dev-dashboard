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L7_local\AMG_HL7 Admin\BOD_ELT\Reports\"/>
    </mc:Choice>
  </mc:AlternateContent>
  <xr:revisionPtr revIDLastSave="0" documentId="13_ncr:1_{E4DE1DA4-3ABA-4F01-819E-D3574058CC7D}" xr6:coauthVersionLast="47" xr6:coauthVersionMax="47" xr10:uidLastSave="{00000000-0000-0000-0000-000000000000}"/>
  <bookViews>
    <workbookView xWindow="-110" yWindow="-110" windowWidth="19420" windowHeight="11500" tabRatio="827" xr2:uid="{2577D811-753B-4FA0-84AD-1CD14E9EE5AA}"/>
  </bookViews>
  <sheets>
    <sheet name="Dashboard" sheetId="9" r:id="rId1"/>
    <sheet name="Revenue Breakdown" sheetId="8" r:id="rId2"/>
    <sheet name="Org Revenues" sheetId="4" r:id="rId3"/>
    <sheet name="Orgs" sheetId="3" r:id="rId4"/>
    <sheet name="Ind Revenues" sheetId="6" r:id="rId5"/>
    <sheet name="Individual" sheetId="5" r:id="rId6"/>
    <sheet name="Affiliate" sheetId="1" r:id="rId7"/>
    <sheet name="Yrs of Membership" sheetId="7" r:id="rId8"/>
    <sheet name="Accounts with Mem and Receipts" sheetId="2" r:id="rId9"/>
    <sheet name="draft_mem_goal_work" sheetId="10" r:id="rId10"/>
  </sheets>
  <definedNames>
    <definedName name="_xlcn.WorksheetConnection_Book3Accounts_with_Mem_and_Receipts1" hidden="1">Accounts_with_Mem_and_Receipts[]</definedName>
    <definedName name="_xlcn.WorksheetConnection_Book3Processed1" hidden="1">Orgs[]</definedName>
    <definedName name="ExternalData_1" localSheetId="8" hidden="1">'Accounts with Mem and Receipts'!$A$1:$J$67</definedName>
    <definedName name="ExternalData_2" localSheetId="5" hidden="1">Individual!$A$1:$J$19</definedName>
    <definedName name="ExternalData_2" localSheetId="3" hidden="1">Orgs!$A$1:$J$43</definedName>
    <definedName name="ExternalData_2" localSheetId="7" hidden="1">'Yrs of Membership'!$A$1:$K$65</definedName>
  </definedNames>
  <calcPr calcId="191029"/>
  <pivotCaches>
    <pivotCache cacheId="3" r:id="rId11"/>
    <pivotCache cacheId="8" r:id="rId12"/>
    <pivotCache cacheId="12" r:id="rId13"/>
    <pivotCache cacheId="37" r:id="rId14"/>
    <pivotCache cacheId="47" r:id="rId15"/>
    <pivotCache cacheId="56" r:id="rId16"/>
    <pivotCache cacheId="59" r:id="rId17"/>
    <pivotCache cacheId="67" r:id="rId18"/>
    <pivotCache cacheId="70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cessed" name="Processed" connection="WorksheetConnection_Book3!Processed"/>
          <x15:modelTable id="Accounts_with_Mem_and_Receipts" name="Accounts_with_Mem_and_Receipts" connection="WorksheetConnection_Book3!Accounts_with_Mem_and_Receip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C17" i="6"/>
  <c r="C42" i="8" l="1"/>
  <c r="C12" i="8"/>
  <c r="B13" i="8"/>
  <c r="C13" i="8" s="1"/>
  <c r="C10" i="8"/>
  <c r="M6" i="4"/>
  <c r="M4" i="4"/>
  <c r="M5" i="4"/>
  <c r="G6" i="8"/>
  <c r="C27" i="6"/>
  <c r="G5" i="8"/>
  <c r="C16" i="6"/>
  <c r="G4" i="8"/>
  <c r="H3" i="1"/>
  <c r="G3" i="1"/>
  <c r="G7" i="8" l="1"/>
  <c r="C40" i="8" l="1"/>
  <c r="E12" i="8" s="1"/>
  <c r="B44" i="8" s="1"/>
  <c r="L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7AD32-2AE1-4E86-A3FA-94689DB7CBB2}" keepAlive="1" name="Query - Accounts with Mem and Receipts" description="Connection to the 'Accounts with Mem and Receipts' query in the workbook." type="5" refreshedVersion="8" background="1" saveData="1">
    <dbPr connection="Provider=Microsoft.Mashup.OleDb.1;Data Source=$Workbook$;Location=&quot;Accounts with Mem and Receipts&quot;;Extended Properties=&quot;&quot;" command="SELECT * FROM [Accounts with Mem and Receipts]"/>
  </connection>
  <connection id="2" xr16:uid="{4C52203D-CAD3-4297-AF4D-643B6A893EA9}" keepAlive="1" name="Query - Individual" description="Connection to the 'Individual' query in the workbook." type="5" refreshedVersion="8" background="1" saveData="1">
    <dbPr connection="Provider=Microsoft.Mashup.OleDb.1;Data Source=$Workbook$;Location=Individual;Extended Properties=&quot;&quot;" command="SELECT * FROM [Individual]"/>
  </connection>
  <connection id="3" xr16:uid="{D5657D22-4D71-43F9-9766-80FF84A91FDC}" keepAlive="1" name="Query - Orgs" description="Connection to the 'Orgs' query in the workbook." type="5" refreshedVersion="8" background="1" saveData="1">
    <dbPr connection="Provider=Microsoft.Mashup.OleDb.1;Data Source=$Workbook$;Location=Orgs;Extended Properties=&quot;&quot;" command="SELECT * FROM [Orgs]"/>
  </connection>
  <connection id="4" xr16:uid="{F4A0CC5D-BBBE-4485-9B9D-7876596F651C}" keepAlive="1" name="Query - Yrs of Membership" description="Connection to the 'Yrs of Membership' query in the workbook." type="5" refreshedVersion="8" background="1" saveData="1">
    <dbPr connection="Provider=Microsoft.Mashup.OleDb.1;Data Source=$Workbook$;Location=&quot;Yrs of Membership&quot;;Extended Properties=&quot;&quot;" command="SELECT * FROM [Yrs of Membership]"/>
  </connection>
  <connection id="5" xr16:uid="{0575F60C-7A6E-453E-9783-DEE28CE699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7EF7F71-5D8D-40EE-95AA-152C27CAEC4A}" name="WorksheetConnection_Book3!Accounts_with_Mem_and_Receipts" type="102" refreshedVersion="8" minRefreshableVersion="5">
    <extLst>
      <ext xmlns:x15="http://schemas.microsoft.com/office/spreadsheetml/2010/11/main" uri="{DE250136-89BD-433C-8126-D09CA5730AF9}">
        <x15:connection id="Accounts_with_Mem_and_Receipts" autoDelete="1">
          <x15:rangePr sourceName="_xlcn.WorksheetConnection_Book3Accounts_with_Mem_and_Receipts1"/>
        </x15:connection>
      </ext>
    </extLst>
  </connection>
  <connection id="7" xr16:uid="{62A3069C-71CB-4E3A-B510-B612F1DB83A1}" name="WorksheetConnection_Book3!Processed" type="102" refreshedVersion="8" minRefreshableVersion="5">
    <extLst>
      <ext xmlns:x15="http://schemas.microsoft.com/office/spreadsheetml/2010/11/main" uri="{DE250136-89BD-433C-8126-D09CA5730AF9}">
        <x15:connection id="Processed" autoDelete="1">
          <x15:rangePr sourceName="_xlcn.WorksheetConnection_Book3Processed1"/>
        </x15:connection>
      </ext>
    </extLst>
  </connection>
</connections>
</file>

<file path=xl/sharedStrings.xml><?xml version="1.0" encoding="utf-8"?>
<sst xmlns="http://schemas.openxmlformats.org/spreadsheetml/2006/main" count="920" uniqueCount="127">
  <si>
    <t>Consultant</t>
  </si>
  <si>
    <t>Account Name</t>
  </si>
  <si>
    <t>Total</t>
  </si>
  <si>
    <t>Posted Date</t>
  </si>
  <si>
    <t>Receipt Number</t>
  </si>
  <si>
    <t>Receipt Line ID</t>
  </si>
  <si>
    <t>Member Since</t>
  </si>
  <si>
    <t>Account Category</t>
  </si>
  <si>
    <t>Billing Country</t>
  </si>
  <si>
    <t>Item Name</t>
  </si>
  <si>
    <t>Paid_Month</t>
  </si>
  <si>
    <t>Government/Professional Associations/Academic Institution</t>
  </si>
  <si>
    <t>United States</t>
  </si>
  <si>
    <t>Gold Membership</t>
  </si>
  <si>
    <t>National Association of Dental Plans</t>
  </si>
  <si>
    <t/>
  </si>
  <si>
    <t>Individual Membership</t>
  </si>
  <si>
    <t>Supplier/Vendor</t>
  </si>
  <si>
    <t>Organizational Membership</t>
  </si>
  <si>
    <t>Professional Laboratory Management, Inc.</t>
  </si>
  <si>
    <t>Australia</t>
  </si>
  <si>
    <t>Benefactor Membership</t>
  </si>
  <si>
    <t>KlearTrust</t>
  </si>
  <si>
    <t>SLI Compliance</t>
  </si>
  <si>
    <t>Firely USA</t>
  </si>
  <si>
    <t>Tennessee Department of Health</t>
  </si>
  <si>
    <t>Flatiron Health</t>
  </si>
  <si>
    <t>Indian Health Service</t>
  </si>
  <si>
    <t>Beata Piehl Household</t>
  </si>
  <si>
    <t>Row Labels</t>
  </si>
  <si>
    <t>Grand Total</t>
  </si>
  <si>
    <t>Sum of Total</t>
  </si>
  <si>
    <t>Years Member</t>
  </si>
  <si>
    <t>1 Year</t>
  </si>
  <si>
    <t>Over 15 Years</t>
  </si>
  <si>
    <t>6 to 10 Years</t>
  </si>
  <si>
    <t>11 to 15 Years</t>
  </si>
  <si>
    <t>2 to 5 Years</t>
  </si>
  <si>
    <t>Count of Years Member</t>
  </si>
  <si>
    <t>BY MONTH</t>
  </si>
  <si>
    <t>Membership Class</t>
  </si>
  <si>
    <t>Affiliate Memberships</t>
  </si>
  <si>
    <t>Individual Memberships</t>
  </si>
  <si>
    <t>Organizational Memberships</t>
  </si>
  <si>
    <t>By Interest Type</t>
  </si>
  <si>
    <t>Data</t>
  </si>
  <si>
    <t>Pivot Table</t>
  </si>
  <si>
    <t>Labels</t>
  </si>
  <si>
    <t>Values</t>
  </si>
  <si>
    <t>Value</t>
  </si>
  <si>
    <t>Pointer</t>
  </si>
  <si>
    <t>Thickness</t>
  </si>
  <si>
    <t>Rest</t>
  </si>
  <si>
    <t xml:space="preserve">Goal: </t>
  </si>
  <si>
    <t>Count of Item Name</t>
  </si>
  <si>
    <t>Bellese Technologies</t>
  </si>
  <si>
    <t>New Fields Technologies LLC</t>
  </si>
  <si>
    <t>Sam Schifman Household</t>
  </si>
  <si>
    <t>Tetra Fields LLC</t>
  </si>
  <si>
    <t>pct</t>
  </si>
  <si>
    <t>total</t>
  </si>
  <si>
    <t>Count of pct</t>
  </si>
  <si>
    <t>Column1</t>
  </si>
  <si>
    <t>MedicaSoft</t>
  </si>
  <si>
    <t>Apelon, Inc.</t>
  </si>
  <si>
    <t>Feb</t>
  </si>
  <si>
    <t>Column Labels</t>
  </si>
  <si>
    <t>Patient Centric Solutions</t>
  </si>
  <si>
    <t>Japan</t>
  </si>
  <si>
    <t>CSIRO</t>
  </si>
  <si>
    <t>College of American Pathologists</t>
  </si>
  <si>
    <t>Dennis Loucks Household</t>
  </si>
  <si>
    <t>Donald Kurtz Household</t>
  </si>
  <si>
    <t>Epic</t>
  </si>
  <si>
    <t>First Databank</t>
  </si>
  <si>
    <t>ICF</t>
  </si>
  <si>
    <t>John Moehrke Household</t>
  </si>
  <si>
    <t>MyDirectives</t>
  </si>
  <si>
    <t>Onyx Technology LLC</t>
  </si>
  <si>
    <t>Ryan Lee Household</t>
  </si>
  <si>
    <t>SandwYch, Inc.</t>
  </si>
  <si>
    <t>Sandy Vance Household</t>
  </si>
  <si>
    <t>Srinivasan Parthasarathy Household</t>
  </si>
  <si>
    <t>Toshiaki Kato Household</t>
  </si>
  <si>
    <t>Virginia Department of Health</t>
  </si>
  <si>
    <t>West Virginia Departments of Human Services, Health and Health Facilities</t>
  </si>
  <si>
    <t>2026 Dues Total</t>
  </si>
  <si>
    <t>Acre Security</t>
  </si>
  <si>
    <t>American Dental Association</t>
  </si>
  <si>
    <t>Becton Dickinson</t>
  </si>
  <si>
    <t>Blue Cross Blue Shield Association</t>
  </si>
  <si>
    <t>Payer</t>
  </si>
  <si>
    <t>CAL2CAL Corporation</t>
  </si>
  <si>
    <t>Children's Hospital of Philadelphia</t>
  </si>
  <si>
    <t>Provider</t>
  </si>
  <si>
    <t>Confidential Information - Do Not Distribute</t>
  </si>
  <si>
    <t>Copyright © 2000-2026 salesforce.com, inc. All rights reserved.</t>
  </si>
  <si>
    <t>CyncHealth</t>
  </si>
  <si>
    <t>Daniel Ries Household</t>
  </si>
  <si>
    <t>Retiree Membership</t>
  </si>
  <si>
    <t>Dataware Sdn Bhd</t>
  </si>
  <si>
    <t>Malaysia</t>
  </si>
  <si>
    <t>Fresenius Vial</t>
  </si>
  <si>
    <t>France</t>
  </si>
  <si>
    <t>Glen Rigby Household</t>
  </si>
  <si>
    <t>HIMSS</t>
  </si>
  <si>
    <t>HL7 Ecuador</t>
  </si>
  <si>
    <t>Ecuador</t>
  </si>
  <si>
    <t>Affiliate Membership</t>
  </si>
  <si>
    <t>HL7 Norway</t>
  </si>
  <si>
    <t>Norway</t>
  </si>
  <si>
    <t>ICCBBA, Inc.</t>
  </si>
  <si>
    <t>Johns Hopkins Hospital</t>
  </si>
  <si>
    <t>Ken McCaslin Household</t>
  </si>
  <si>
    <t>MEDENT</t>
  </si>
  <si>
    <t>Mark Marciante Household</t>
  </si>
  <si>
    <t>Massachusetts Health Data Consortium</t>
  </si>
  <si>
    <t>Ready Computing LLC</t>
  </si>
  <si>
    <t>Regenstrief Institute, Inc.</t>
  </si>
  <si>
    <t>Roche Diagnostics International Ltd.</t>
  </si>
  <si>
    <t>Switzerland</t>
  </si>
  <si>
    <t>Ryan Weihler Household</t>
  </si>
  <si>
    <t>Stan Rankins Household</t>
  </si>
  <si>
    <t>Stedi</t>
  </si>
  <si>
    <t>Surescripts</t>
  </si>
  <si>
    <t>Univ of TX Health Science Center San Antonio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</si>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</sst>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43" fontId="0" fillId="0" borderId="0" xfId="1" applyFont="1"/>
    <xf numFmtId="164" fontId="0" fillId="0" borderId="0" xfId="2" applyNumberFormat="1" applyFont="1"/>
    <xf numFmtId="9" fontId="0" fillId="0" borderId="0" xfId="0" applyNumberFormat="1"/>
    <xf numFmtId="6" fontId="0" fillId="0" borderId="0" xfId="0" applyNumberFormat="1"/>
    <xf numFmtId="8" fontId="0" fillId="0" borderId="0" xfId="0" applyNumberFormat="1"/>
    <xf numFmtId="9" fontId="0" fillId="0" borderId="0" xfId="3" applyFont="1"/>
    <xf numFmtId="0" fontId="0" fillId="2" borderId="2" xfId="0" applyFill="1" applyBorder="1"/>
    <xf numFmtId="0" fontId="0" fillId="0" borderId="2" xfId="0" applyBorder="1"/>
    <xf numFmtId="9" fontId="0" fillId="2" borderId="1" xfId="0" applyNumberFormat="1" applyFill="1" applyBorder="1"/>
    <xf numFmtId="8" fontId="0" fillId="2" borderId="2" xfId="0" applyNumberFormat="1" applyFill="1" applyBorder="1"/>
    <xf numFmtId="9" fontId="0" fillId="0" borderId="1" xfId="0" applyNumberFormat="1" applyBorder="1"/>
    <xf numFmtId="8" fontId="0" fillId="0" borderId="2" xfId="0" applyNumberFormat="1" applyBorder="1"/>
    <xf numFmtId="9" fontId="0" fillId="0" borderId="0" xfId="0" applyNumberFormat="1" applyAlignment="1">
      <alignment horizontal="left"/>
    </xf>
    <xf numFmtId="9" fontId="0" fillId="2" borderId="1" xfId="3" applyFont="1" applyFill="1" applyBorder="1"/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928F06"/>
      <color rgb="FF66FF99"/>
      <color rgb="FFFF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Membership</a:t>
            </a:r>
            <a:r>
              <a:rPr lang="en-US" baseline="0"/>
              <a:t> Goal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327F-494B-901B-183A9AF04F0B}"/>
              </c:ext>
            </c:extLst>
          </c:dPt>
          <c:cat>
            <c:strRef>
              <c:f>('Revenue Breakdown'!$B$40,'Revenue Breakdown'!$B$42)</c:f>
              <c:strCache>
                <c:ptCount val="2"/>
                <c:pt idx="0">
                  <c:v>Pointer</c:v>
                </c:pt>
                <c:pt idx="1">
                  <c:v>Rest</c:v>
                </c:pt>
              </c:strCache>
            </c:strRef>
          </c:cat>
          <c:val>
            <c:numRef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159632.465</c:v>
                </c:pt>
                <c:pt idx="1">
                  <c:v>-2562975.9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39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327F-494B-901B-183A9AF04F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327F-494B-901B-183A9AF04F0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327F-494B-901B-183A9AF04F0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327F-494B-901B-183A9AF04F0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327F-494B-901B-183A9AF04F0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327F-494B-901B-183A9AF04F0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27F-494B-901B-183A9AF04F0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327F-494B-901B-183A9AF04F0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327F-494B-901B-183A9AF04F0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327F-494B-901B-183A9AF04F0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327F-494B-901B-183A9AF04F0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327F-494B-901B-183A9AF04F0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327F-494B-901B-183A9AF04F0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327F-494B-901B-183A9AF04F0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327F-494B-901B-183A9AF04F0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327F-494B-901B-183A9AF04F0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327F-494B-901B-183A9AF04F0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327F-494B-901B-183A9AF04F0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327F-494B-901B-183A9AF04F0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F1E4D92-D8FE-4478-BC30-FA482F1FC6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27F-494B-901B-183A9AF04F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46B94F-6C41-46A6-8193-6D6C5FE0D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27F-494B-901B-183A9AF04F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189C492-086E-4256-AB0F-FCD0735FB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27F-494B-901B-183A9AF04F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C6E418-CE3E-4DCB-BB51-9833DCD9EC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27F-494B-901B-183A9AF04F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B4595B8-7AC4-4B74-B246-E195916FF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27F-494B-901B-183A9AF04F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476A20-6627-40A4-91C4-55DC1D395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327F-494B-901B-183A9AF04F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BCAC9BD-50A7-4E45-A62C-86A1212BF4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27F-494B-901B-183A9AF04F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89E294-00DF-43B2-A9C8-F7244D394E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27F-494B-901B-183A9AF04F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A9D8375-D6C9-41E6-8191-AEF54C948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327F-494B-901B-183A9AF04F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733887A-C94E-47B9-95C1-281D37D15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327F-494B-901B-183A9AF04F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8C0BBE-4D13-4F23-8A13-98698B840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27F-494B-901B-183A9AF04F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958826A-9843-4062-8B3E-1D44EDFC9A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27F-494B-901B-183A9AF04F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3C4252C-03E0-416F-A1F3-FB3F4F5F14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327F-494B-901B-183A9AF04F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C5EA6E5-BB97-4875-B873-3BDF80E5D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27F-494B-901B-183A9AF04F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E975109-5C57-4CA3-844E-5314F79CA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327F-494B-901B-183A9AF04F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904A2FD-9186-4711-8E93-2929F5837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327F-494B-901B-183A9AF04F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49BB2C5-81F0-416E-9756-51D6E0E357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327F-494B-901B-183A9AF04F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0C06636-F50B-4DDD-BB5B-0AEF1E9203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327F-494B-901B-183A9AF04F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ABE6C72-6906-4894-84D8-B3277FB4EA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327F-494B-901B-183A9AF04F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7C82717-B2D6-44ED-B205-FEA72385A1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327F-494B-901B-183A9AF04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3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2026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A-4F57-8F6D-EBA73316EF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A-4F57-8F6D-EBA73316EF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A-4F57-8F6D-EBA73316EFAA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B6DDF06A-FF1D-45C3-BEC9-7F5690B2105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FFC9290-E693-46A3-9C0A-0C50CC3EFB6A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FDA06945-BB13-45CC-998C-96951853218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F0A-4F57-8F6D-EBA73316EFAA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C205F2BA-4E8D-4C41-8178-2BB7A0C5BBC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A5A1462-F9E6-41CB-A7AF-2AFD479DD93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3AAB5833-2420-4C7A-B50C-730CEEC3984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F0A-4F57-8F6D-EBA73316EFAA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4DD8CB27-3701-4DC2-B740-9088DD277D4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F65A19F-D535-4C13-A1B7-4B5DC54CC73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96A1F25E-DCF2-4295-B75B-BB03D66EC37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F0A-4F57-8F6D-EBA73316EF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9456.1</c:v>
                </c:pt>
                <c:pt idx="1">
                  <c:v>12600</c:v>
                </c:pt>
                <c:pt idx="2">
                  <c:v>297208.83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F0A-4F57-8F6D-EBA73316E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2026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4-4E3B-AC67-98D858FEA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74-4E3B-AC67-98D858FEA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574-4E3B-AC67-98D858FEA391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C41ACF45-D425-46C6-A686-B5DFEEC2FDD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898A14F-AE18-4090-8A53-10954DEFF47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BCC6221D-845A-4E1C-9531-76FF578EBFB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74-4E3B-AC67-98D858FEA391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21D15589-B8CC-439F-B991-AB00CE04485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8344C35-FF5D-4CE7-A7CC-70AD841CF90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59D91036-5E65-4021-B63C-4350325DD5B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574-4E3B-AC67-98D858FEA391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B89F96A3-1887-4D67-8353-DAB990D6DD5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924FD87-7150-418B-87D3-14AC4CBC164C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6916CDB-CEF3-416C-9F15-9D446385EBA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74-4E3B-AC67-98D858FEA3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9456.1</c:v>
                </c:pt>
                <c:pt idx="1">
                  <c:v>12600</c:v>
                </c:pt>
                <c:pt idx="2">
                  <c:v>297208.83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574-4E3B-AC67-98D858FEA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Org Membership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3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3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3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3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3C-4085-BCE5-6500A9F5B3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4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C-4085-BCE5-6500A9F5B3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93C-4085-BCE5-6500A9F5B3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4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3C-4085-BCE5-6500A9F5B3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93C-4085-BCE5-6500A9F5B38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3C-4085-BCE5-6500A9F5B38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93C-4085-BCE5-6500A9F5B38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89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89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89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89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3C-4085-BCE5-6500A9F5B38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93C-4085-BCE5-6500A9F5B38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3C-4085-BCE5-6500A9F5B38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3C-4085-BCE5-6500A9F5B38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769-4655-B6B7-53E8486B90D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5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5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5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769-4655-B6B7-53E8486B90D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shade val="41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1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1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1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769-4655-B6B7-53E8486B90D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769-4655-B6B7-53E8486B90D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shade val="9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9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9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769-4655-B6B7-53E8486B90D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769-4655-B6B7-53E8486B90D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2">
                      <a:shade val="8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769-4655-B6B7-53E8486B90D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shade val="4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769-4655-B6B7-53E8486B90D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7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769-4655-B6B7-53E8486B90D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E45A3E5-C1F7-4BF7-B2D0-A05CF82347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3C-4085-BCE5-6500A9F5B3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3C-4085-BCE5-6500A9F5B3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23D1ECF-242A-45F9-B31D-5796EFD02E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3C-4085-BCE5-6500A9F5B3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A82B9B-EE32-41DF-B4C6-8039DDDBA3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3C-4085-BCE5-6500A9F5B3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E3FB89-6218-44CF-ACF6-0593454C3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3C-4085-BCE5-6500A9F5B3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3E64FBF-73B0-485F-BA78-08BBFF8EA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3C-4085-BCE5-6500A9F5B3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843BC57-944E-4E50-B298-77ED62BD22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3C-4085-BCE5-6500A9F5B3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F9518BA-FE78-4147-9C16-20E31E0A1E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3C-4085-BCE5-6500A9F5B3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E2102C2-F7C2-47BD-8051-ABA50FDF4B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3C-4085-BCE5-6500A9F5B3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C095A78-734E-4A6D-8A82-279A85A9C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3C-4085-BCE5-6500A9F5B3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060938F-5AC4-45D1-8AD1-AD853335B3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3C-4085-BCE5-6500A9F5B3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0631285-8412-4F8B-8B97-DA07AFD99C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769-4655-B6B7-53E8486B90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359C889-85EE-4FA3-9ADE-12546B16CB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769-4655-B6B7-53E8486B90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1E450FF-F8F7-42A7-94C4-3EEFC492C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769-4655-B6B7-53E8486B90D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2D4AC87-7537-40C6-B452-6FDC82A88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769-4655-B6B7-53E8486B90D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781D9F2-769F-4F9E-A332-6F62E0DC38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769-4655-B6B7-53E8486B90D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2472E2A-FE08-46C0-9CE1-C39C92BD3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769-4655-B6B7-53E8486B90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22B623E-2CE4-411C-AB19-A6110F128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769-4655-B6B7-53E8486B90D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A2800B9-1F44-49E5-939B-7EEAC92BE9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769-4655-B6B7-53E8486B90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166F7AE-718C-477A-8FF6-626FC1498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769-4655-B6B7-53E8486B9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'Revenue Breakdown'!$B$16:$B$35</c15:sqref>
                  </c15:fullRef>
                </c:ext>
              </c:extLst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'Revenue Breakdown'!$C$13:$C$35</c15:sqref>
                  </c15:fullRef>
                </c:ext>
              </c:extLst>
              <c:f>'Revenue Breakdown'!$C$13:$C$32</c:f>
              <c:numCache>
                <c:formatCode>General</c:formatCode>
                <c:ptCount val="20"/>
                <c:pt idx="0" formatCode="&quot;$&quot;#,##0.00_);[Red]\(&quot;$&quot;#,##0.00\)">
                  <c:v>28477.51</c:v>
                </c:pt>
                <c:pt idx="2">
                  <c:v>0</c:v>
                </c:pt>
                <c:pt idx="3" formatCode="&quot;$&quot;#,##0.00_);[Red]\(&quot;$&quot;#,##0.00\)">
                  <c:v>284775.09999999998</c:v>
                </c:pt>
                <c:pt idx="4" formatCode="&quot;$&quot;#,##0.00_);[Red]\(&quot;$&quot;#,##0.00\)">
                  <c:v>284775.09999999998</c:v>
                </c:pt>
                <c:pt idx="5" formatCode="&quot;$&quot;#,##0.00_);[Red]\(&quot;$&quot;#,##0.00\)">
                  <c:v>284775.09999999998</c:v>
                </c:pt>
                <c:pt idx="6" formatCode="&quot;$&quot;#,##0.00_);[Red]\(&quot;$&quot;#,##0.00\)">
                  <c:v>284775.09999999998</c:v>
                </c:pt>
                <c:pt idx="7" formatCode="&quot;$&quot;#,##0.00_);[Red]\(&quot;$&quot;#,##0.00\)">
                  <c:v>284775.09999999998</c:v>
                </c:pt>
                <c:pt idx="8" formatCode="&quot;$&quot;#,##0.00_);[Red]\(&quot;$&quot;#,##0.00\)">
                  <c:v>284775.09999999998</c:v>
                </c:pt>
                <c:pt idx="9" formatCode="&quot;$&quot;#,##0.00_);[Red]\(&quot;$&quot;#,##0.00\)">
                  <c:v>284775.09999999998</c:v>
                </c:pt>
                <c:pt idx="10" formatCode="&quot;$&quot;#,##0.00_);[Red]\(&quot;$&quot;#,##0.00\)">
                  <c:v>284775.09999999998</c:v>
                </c:pt>
                <c:pt idx="11" formatCode="&quot;$&quot;#,##0.00_);[Red]\(&quot;$&quot;#,##0.00\)">
                  <c:v>284775.09999999998</c:v>
                </c:pt>
                <c:pt idx="12" formatCode="&quot;$&quot;#,##0.00_);[Red]\(&quot;$&quot;#,##0.00\)">
                  <c:v>284775.09999999998</c:v>
                </c:pt>
                <c:pt idx="13" formatCode="&quot;$&quot;#,##0.00_);[Red]\(&quot;$&quot;#,##0.00\)">
                  <c:v>284775.09999999998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'Revenue Breakdown'!$C$33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65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65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65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65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9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9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9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9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3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3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3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3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2"/>
      </c:doughnutChart>
      <c:pieChart>
        <c:varyColors val="1"/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91-40FD-BEF1-3CC6C7F895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91-40FD-BEF1-3CC6C7F895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C-4085-BCE5-6500A9F5B383}"/>
              </c:ext>
            </c:extLst>
          </c:dPt>
          <c:cat>
            <c:numRef>
              <c:f>'Revenue Breakdown'!$C$16:$C$35</c:f>
              <c:numCache>
                <c:formatCode>"$"#,##0.00_);[Red]\("$"#,##0.00\)</c:formatCode>
                <c:ptCount val="20"/>
                <c:pt idx="0">
                  <c:v>284775.09999999998</c:v>
                </c:pt>
                <c:pt idx="1">
                  <c:v>284775.09999999998</c:v>
                </c:pt>
                <c:pt idx="2">
                  <c:v>284775.09999999998</c:v>
                </c:pt>
                <c:pt idx="3">
                  <c:v>284775.09999999998</c:v>
                </c:pt>
                <c:pt idx="4">
                  <c:v>284775.09999999998</c:v>
                </c:pt>
                <c:pt idx="5">
                  <c:v>284775.09999999998</c:v>
                </c:pt>
                <c:pt idx="6">
                  <c:v>284775.09999999998</c:v>
                </c:pt>
                <c:pt idx="7">
                  <c:v>284775.09999999998</c:v>
                </c:pt>
                <c:pt idx="8">
                  <c:v>284775.09999999998</c:v>
                </c:pt>
                <c:pt idx="9">
                  <c:v>284775.09999999998</c:v>
                </c:pt>
                <c:pt idx="10">
                  <c:v>284775.09999999998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cat>
          <c:val>
            <c:numRef>
              <c:f>'Revenue Breakdown'!$C$40:$C$42</c:f>
              <c:numCache>
                <c:formatCode>General</c:formatCode>
                <c:ptCount val="3"/>
                <c:pt idx="0" formatCode="_(&quot;$&quot;* #,##0_);_(&quot;$&quot;* \(#,##0\);_(&quot;$&quot;* &quot;-&quot;??_);_(@_)">
                  <c:v>159632.465</c:v>
                </c:pt>
                <c:pt idx="1">
                  <c:v>30000</c:v>
                </c:pt>
                <c:pt idx="2" formatCode="&quot;$&quot;#,##0_);[Red]\(&quot;$&quot;#,##0\)">
                  <c:v>-2562975.9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3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7-4BCE-A933-C507175A5F8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Breakdown'!$C$40,'Revenue Breakdown'!$C$42)</c15:sqref>
                  </c15:fullRef>
                </c:ext>
              </c:extLst>
              <c:f>('Revenue Breakdown'!$C$40,'Revenue Breakdown'!$C$40)</c:f>
              <c:numCache>
                <c:formatCode>_("$"* #,##0_);_("$"* \(#,##0\);_("$"* "-"??_);_(@_)</c:formatCode>
                <c:ptCount val="2"/>
                <c:pt idx="0">
                  <c:v>159632.465</c:v>
                </c:pt>
                <c:pt idx="1">
                  <c:v>159632.465</c:v>
                </c:pt>
                <c:pt idx="2" formatCode="&quot;$&quot;#,##0_);[Red]\(&quot;$&quot;#,##0\)">
                  <c:v>-2562975.9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Breakdown'!$C$42)</c15:sqref>
                  </c15:fullRef>
                </c:ext>
              </c:extLst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159632.465</c:v>
                </c:pt>
                <c:pt idx="1">
                  <c:v>-2562975.9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DC-4821-AB9F-FEF76C1A43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C-4821-AB9F-FEF76C1A43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DC-4821-AB9F-FEF76C1A43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DC-4821-AB9F-FEF76C1A43A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3DC-4821-AB9F-FEF76C1A43A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DC-4821-AB9F-FEF76C1A43A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3DC-4821-AB9F-FEF76C1A43A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DC-4821-AB9F-FEF76C1A43A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3DC-4821-AB9F-FEF76C1A43A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DC-4821-AB9F-FEF76C1A43A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3DC-4821-AB9F-FEF76C1A43A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DC-4821-AB9F-FEF76C1A43A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3DC-4821-AB9F-FEF76C1A43A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DC-4821-AB9F-FEF76C1A43A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3DC-4821-AB9F-FEF76C1A43A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DC-4821-AB9F-FEF76C1A43A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3DC-4821-AB9F-FEF76C1A43A8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DC-4821-AB9F-FEF76C1A43A8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C-4821-AB9F-FEF76C1A43A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E836658-9F2B-438A-A503-197E9B4E69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DC-4821-AB9F-FEF76C1A43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94F1DE-F1D3-4458-924C-868C02ECE5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DC-4821-AB9F-FEF76C1A43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F02D336-73CF-426F-B8A3-8911A7ACA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DC-4821-AB9F-FEF76C1A43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670762F-F1B7-446E-9EF7-F5EDE62DD4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DC-4821-AB9F-FEF76C1A43A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E6CAF6C-1304-4D34-891E-2FC17FE034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DC-4821-AB9F-FEF76C1A43A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945820A-4843-4C59-BD38-B641A62B55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DC-4821-AB9F-FEF76C1A43A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4AD6AFE-AE1B-408F-B804-CE53CB468E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DC-4821-AB9F-FEF76C1A43A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69B0761-6070-4436-94FC-024859FE4D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DC-4821-AB9F-FEF76C1A43A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4FFEC61-C1AB-48A7-9307-1B432DA5D9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DC-4821-AB9F-FEF76C1A43A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A26F418-63BF-44A4-8D18-5CC00B83B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DC-4821-AB9F-FEF76C1A43A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22C0137-EB36-43AA-B472-5E5A64406D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DC-4821-AB9F-FEF76C1A43A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F6077A7-2F87-403A-A342-37FD567479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DC-4821-AB9F-FEF76C1A43A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FAAF9BB-1E53-4EB7-A0F7-F343FA0F3D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DC-4821-AB9F-FEF76C1A43A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B3636D6-7617-44BF-8714-9FFFEA73FE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DC-4821-AB9F-FEF76C1A43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0B3BD03-955B-445A-AAD0-061A3A828A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DC-4821-AB9F-FEF76C1A43A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9B2BB18-8340-436D-929C-E234E41AB5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DC-4821-AB9F-FEF76C1A43A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427581D-0538-4E03-ACF6-A67AE899D1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DC-4821-AB9F-FEF76C1A43A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E6CA4A1-4F48-4D97-88C2-D907490C9E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DC-4821-AB9F-FEF76C1A43A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3AA9E33-4C88-47F6-A64E-8911B5648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DC-4821-AB9F-FEF76C1A43A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48A3277-A827-4E18-9655-4A9C1EA501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DC-4821-AB9F-FEF76C1A4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[2026_Membership_Revenues_Feb2026.xlsx]Org Revenues!PivotTable3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 Member Revenues by Member Level</a:t>
            </a:r>
            <a:r>
              <a:rPr lang="en-US" baseline="0"/>
              <a:t> 2025</a:t>
            </a:r>
            <a:endParaRPr lang="en-US"/>
          </a:p>
        </c:rich>
      </c:tx>
      <c:layout>
        <c:manualLayout>
          <c:xMode val="edge"/>
          <c:yMode val="edge"/>
          <c:x val="0.1436388888888889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050634295713034E-2"/>
              <c:y val="6.07746427529891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27777777777774"/>
                  <c:h val="0.24067147856517934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638779527559054E-2"/>
              <c:y val="0.141660104986876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255555555555554"/>
                  <c:h val="0.24993073782443861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996937882764656E-2"/>
              <c:y val="0.25210666375036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'Org Revenues'!$B$3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59-4EE9-B400-A6E024EF9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7-4903-B313-7481CDC7E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9-4EE9-B400-A6E024EF9E87}"/>
              </c:ext>
            </c:extLst>
          </c:dPt>
          <c:dLbls>
            <c:dLbl>
              <c:idx val="0"/>
              <c:layout>
                <c:manualLayout>
                  <c:x val="1.9050634295713034E-2"/>
                  <c:y val="6.07746427529891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27777777777774"/>
                      <c:h val="0.240671478565179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F59-4EE9-B400-A6E024EF9E87}"/>
                </c:ext>
              </c:extLst>
            </c:dLbl>
            <c:dLbl>
              <c:idx val="1"/>
              <c:layout>
                <c:manualLayout>
                  <c:x val="1.5996937882764656E-2"/>
                  <c:y val="0.2521066637503644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7-4903-B313-7481CDC7E3BA}"/>
                </c:ext>
              </c:extLst>
            </c:dLbl>
            <c:dLbl>
              <c:idx val="2"/>
              <c:layout>
                <c:manualLayout>
                  <c:x val="1.1638779527559054E-2"/>
                  <c:y val="0.141660104986876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55555555555554"/>
                      <c:h val="0.249930737824438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F59-4EE9-B400-A6E024EF9E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 Revenues'!$A$4:$A$7</c:f>
              <c:strCache>
                <c:ptCount val="3"/>
                <c:pt idx="0">
                  <c:v>Benefactor Membership</c:v>
                </c:pt>
                <c:pt idx="1">
                  <c:v>Gold Membership</c:v>
                </c:pt>
                <c:pt idx="2">
                  <c:v>Organizational Membership</c:v>
                </c:pt>
              </c:strCache>
            </c:strRef>
          </c:cat>
          <c:val>
            <c:numRef>
              <c:f>'Org Revenues'!$B$4:$B$7</c:f>
              <c:numCache>
                <c:formatCode>_("$"* #,##0_);_("$"* \(#,##0\);_("$"* "-"??_);_(@_)</c:formatCode>
                <c:ptCount val="3"/>
                <c:pt idx="0">
                  <c:v>59730</c:v>
                </c:pt>
                <c:pt idx="1">
                  <c:v>21583.79</c:v>
                </c:pt>
                <c:pt idx="2">
                  <c:v>215895.04000000001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4EE9-B400-A6E024EF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[2026_Membership_Revenues_Feb2026.xlsx]Ind Revenues!PivotTable4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</a:p>
          <a:p>
            <a:pPr>
              <a:defRPr/>
            </a:pPr>
            <a:r>
              <a:rPr lang="en-US"/>
              <a:t> Individual</a:t>
            </a:r>
            <a:r>
              <a:rPr lang="en-US" baseline="0"/>
              <a:t> Memberships by Month</a:t>
            </a:r>
          </a:p>
        </c:rich>
      </c:tx>
      <c:layout>
        <c:manualLayout>
          <c:xMode val="edge"/>
          <c:yMode val="edge"/>
          <c:x val="0.12885021328144125"/>
          <c:y val="4.1239184153443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 Revenues'!$A$4:$A$6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'Ind Revenues'!$B$4:$B$6</c:f>
              <c:numCache>
                <c:formatCode>_("$"* #,##0.00_);_("$"* \(#,##0.00\);_("$"* "-"??_);_(@_)</c:formatCode>
                <c:ptCount val="2"/>
                <c:pt idx="0">
                  <c:v>8525</c:v>
                </c:pt>
                <c:pt idx="1">
                  <c:v>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5-4B70-B0CD-E534AC04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69007"/>
        <c:axId val="688868047"/>
      </c:barChart>
      <c:catAx>
        <c:axId val="6888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8047"/>
        <c:crosses val="autoZero"/>
        <c:auto val="1"/>
        <c:lblAlgn val="ctr"/>
        <c:lblOffset val="100"/>
        <c:noMultiLvlLbl val="0"/>
      </c:catAx>
      <c:valAx>
        <c:axId val="6888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[2026_Membership_Revenues_Feb2026.xlsx]Yrs of Membership!PivotTable6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of Membership of Membership</a:t>
            </a:r>
            <a:r>
              <a:rPr lang="en-US" baseline="0"/>
              <a:t> Income</a:t>
            </a:r>
            <a:endParaRPr lang="en-US"/>
          </a:p>
        </c:rich>
      </c:tx>
      <c:layout>
        <c:manualLayout>
          <c:xMode val="edge"/>
          <c:yMode val="edge"/>
          <c:x val="0.1464785980699781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'Yrs of Membership'!$N$6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'Yrs of Membership'!$M$7:$M$13</c:f>
              <c:strCache>
                <c:ptCount val="6"/>
                <c:pt idx="0">
                  <c:v>1 Year</c:v>
                </c:pt>
                <c:pt idx="1">
                  <c:v>11 to 15 Years</c:v>
                </c:pt>
                <c:pt idx="2">
                  <c:v>2 to 5 Years</c:v>
                </c:pt>
                <c:pt idx="3">
                  <c:v>6 to 10 Years</c:v>
                </c:pt>
                <c:pt idx="4">
                  <c:v>Over 15 Years</c:v>
                </c:pt>
                <c:pt idx="5">
                  <c:v>(blank)</c:v>
                </c:pt>
              </c:strCache>
            </c:strRef>
          </c:cat>
          <c:val>
            <c:numRef>
              <c:f>'Yrs of Membership'!$N$7:$N$13</c:f>
              <c:numCache>
                <c:formatCode>General</c:formatCode>
                <c:ptCount val="6"/>
                <c:pt idx="0">
                  <c:v>23</c:v>
                </c:pt>
                <c:pt idx="1">
                  <c:v>11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D-4456-A35E-639F4CE4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038640"/>
        <c:axId val="25450527"/>
      </c:barChart>
      <c:catAx>
        <c:axId val="6240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0527"/>
        <c:crosses val="autoZero"/>
        <c:auto val="1"/>
        <c:lblAlgn val="ctr"/>
        <c:lblOffset val="100"/>
        <c:noMultiLvlLbl val="0"/>
      </c:catAx>
      <c:valAx>
        <c:axId val="25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[2026_Membership_Revenues_Feb2026.xlsx]draft_mem_goal_work!PivotTable3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C545AE-7BBF-4BA9-827D-0C0E776946B6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8DB3AB3-6D19-443F-A15A-3F5587E4810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6B24936-7488-42DC-912C-BCFC0C105C0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59169D5-5378-476E-90CB-447B5CE2DA2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6AF214A-0FC2-499C-825A-CD869FB3BF1F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8B73D23-DB4D-4F66-9B89-054BA22FA93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416A716-824E-4B32-B5DA-C1AD05E82D1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14442A0-F4A1-4604-94DF-D820F38670D6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6003072-013D-4EF7-BFEA-A9D98B37C467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78EA881-8F44-4216-A230-E394AED0BBDF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2086BC8-386C-46BF-8DFC-A8D03959DC3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98BADA1-2B26-485B-85F9-4F6FD02197A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C1B310-2EE6-4F4A-BFB7-65A656DC11A3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257A7C5-DF8C-46D5-9515-E6EAC3CA730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0AB12DC-D369-41E2-9F75-F1077CDB43CE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999E21B-97BB-4CA2-9BE8-01C24D9CA5B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DF2511F-0FB3-4916-AE03-3F8251418E13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56B8249-D4D4-4B71-9D6C-F79AC7088A92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F5DDC5D-4B16-4A16-9F6A-D72C7B6A347E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44C3A0-EB59-4461-AD4E-80D592E7A8D7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draft_mem_goal_work!$D$3:$D$22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90-4F93-A48D-4A2FC73D39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90-4F93-A48D-4A2FC73D39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90-4F93-A48D-4A2FC73D39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90-4F93-A48D-4A2FC73D39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90-4F93-A48D-4A2FC73D39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90-4F93-A48D-4A2FC73D398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90-4F93-A48D-4A2FC73D398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90-4F93-A48D-4A2FC73D398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C90-4F93-A48D-4A2FC73D398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90-4F93-A48D-4A2FC73D398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C90-4F93-A48D-4A2FC73D398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90-4F93-A48D-4A2FC73D398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C90-4F93-A48D-4A2FC73D398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90-4F93-A48D-4A2FC73D398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C90-4F93-A48D-4A2FC73D398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90-4F93-A48D-4A2FC73D398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C90-4F93-A48D-4A2FC73D398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90-4F93-A48D-4A2FC73D398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C90-4F93-A48D-4A2FC73D398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90-4F93-A48D-4A2FC73D39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BC545AE-7BBF-4BA9-827D-0C0E77694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C90-4F93-A48D-4A2FC73D39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DB3AB3-6D19-443F-A15A-3F5587E481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90-4F93-A48D-4A2FC73D39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B24936-7488-42DC-912C-BCFC0C105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90-4F93-A48D-4A2FC73D39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9169D5-5378-476E-90CB-447B5CE2D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90-4F93-A48D-4A2FC73D39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6AF214A-0FC2-499C-825A-CD869FB3B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90-4F93-A48D-4A2FC73D398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B73D23-DB4D-4F66-9B89-054BA22FA9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90-4F93-A48D-4A2FC73D39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416A716-824E-4B32-B5DA-C1AD05E82D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90-4F93-A48D-4A2FC73D39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14442A0-F4A1-4604-94DF-D820F38670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90-4F93-A48D-4A2FC73D39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6003072-013D-4EF7-BFEA-A9D98B37C4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90-4F93-A48D-4A2FC73D39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78EA881-8F44-4216-A230-E394AED0B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90-4F93-A48D-4A2FC73D39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2086BC8-386C-46BF-8DFC-A8D03959DC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90-4F93-A48D-4A2FC73D39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98BADA1-2B26-485B-85F9-4F6FD0219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90-4F93-A48D-4A2FC73D39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7C1B310-2EE6-4F4A-BFB7-65A656DC1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90-4F93-A48D-4A2FC73D39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257A7C5-DF8C-46D5-9515-E6EAC3CA7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C90-4F93-A48D-4A2FC73D39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0AB12DC-D369-41E2-9F75-F1077CDB43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90-4F93-A48D-4A2FC73D398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999E21B-97BB-4CA2-9BE8-01C24D9CA5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90-4F93-A48D-4A2FC73D398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DF2511F-0FB3-4916-AE03-3F8251418E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C90-4F93-A48D-4A2FC73D39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56B8249-D4D4-4B71-9D6C-F79AC7088A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C90-4F93-A48D-4A2FC73D398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F5DDC5D-4B16-4A16-9F6A-D72C7B6A34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C90-4F93-A48D-4A2FC73D398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544C3A0-EB59-4461-AD4E-80D592E7A8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C90-4F93-A48D-4A2FC73D39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draft_mem_goal_work!$D$3:$D$22</c:f>
              <c:strCache>
                <c:ptCount val="20"/>
                <c:pt idx="0">
                  <c:v>10%</c:v>
                </c:pt>
                <c:pt idx="1">
                  <c:v>20%</c:v>
                </c:pt>
                <c:pt idx="2">
                  <c:v>30%</c:v>
                </c:pt>
                <c:pt idx="3">
                  <c:v>40%</c:v>
                </c:pt>
                <c:pt idx="4">
                  <c:v>50%</c:v>
                </c:pt>
                <c:pt idx="5">
                  <c:v>60%</c:v>
                </c:pt>
                <c:pt idx="6">
                  <c:v>70%</c:v>
                </c:pt>
                <c:pt idx="7">
                  <c:v>80%</c:v>
                </c:pt>
                <c:pt idx="8">
                  <c:v>90%</c:v>
                </c:pt>
                <c:pt idx="9">
                  <c:v>100%</c:v>
                </c:pt>
                <c:pt idx="10">
                  <c:v>110%</c:v>
                </c:pt>
                <c:pt idx="11">
                  <c:v>120%</c:v>
                </c:pt>
                <c:pt idx="12">
                  <c:v>130%</c:v>
                </c:pt>
                <c:pt idx="13">
                  <c:v>140%</c:v>
                </c:pt>
                <c:pt idx="14">
                  <c:v>150%</c:v>
                </c:pt>
                <c:pt idx="15">
                  <c:v>160%</c:v>
                </c:pt>
                <c:pt idx="16">
                  <c:v>170%</c:v>
                </c:pt>
                <c:pt idx="17">
                  <c:v>180%</c:v>
                </c:pt>
                <c:pt idx="18">
                  <c:v>190%</c:v>
                </c:pt>
                <c:pt idx="19">
                  <c:v>200%</c:v>
                </c:pt>
              </c:strCache>
            </c:strRef>
          </c:cat>
          <c:val>
            <c:numRef>
              <c:f>draft_mem_goal_work!$D$3:$D$22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draft_mem_goal_work!$D$3:$D$22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C90-4F93-A48D-4A2FC73D3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8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158750</xdr:rowOff>
    </xdr:from>
    <xdr:to>
      <xdr:col>10</xdr:col>
      <xdr:colOff>120650</xdr:colOff>
      <xdr:row>26</xdr:row>
      <xdr:rowOff>41275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4A139F-1C3A-4F66-B110-29A125CBA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2</xdr:row>
      <xdr:rowOff>169333</xdr:rowOff>
    </xdr:from>
    <xdr:to>
      <xdr:col>13</xdr:col>
      <xdr:colOff>469900</xdr:colOff>
      <xdr:row>23</xdr:row>
      <xdr:rowOff>49389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1CDE7A0-3B7D-E16C-142A-E69A18712377}"/>
            </a:ext>
          </a:extLst>
        </xdr:cNvPr>
        <xdr:cNvSpPr/>
      </xdr:nvSpPr>
      <xdr:spPr>
        <a:xfrm>
          <a:off x="5753100" y="536222"/>
          <a:ext cx="2604911" cy="373238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278130</xdr:colOff>
      <xdr:row>2</xdr:row>
      <xdr:rowOff>143827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14F558-5AAF-4F7B-B7A6-98078EBB491F}"/>
            </a:ext>
          </a:extLst>
        </xdr:cNvPr>
        <xdr:cNvSpPr txBox="1"/>
      </xdr:nvSpPr>
      <xdr:spPr>
        <a:xfrm>
          <a:off x="0" y="0"/>
          <a:ext cx="13079730" cy="51212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accent5"/>
              </a:solidFill>
            </a:rPr>
            <a:t>HL7 International Membership</a:t>
          </a:r>
          <a:r>
            <a:rPr lang="en-US" sz="2400" baseline="0">
              <a:solidFill>
                <a:schemeClr val="accent5"/>
              </a:solidFill>
            </a:rPr>
            <a:t> Overview</a:t>
          </a:r>
          <a:r>
            <a:rPr lang="en-US" sz="2400">
              <a:solidFill>
                <a:schemeClr val="accent5"/>
              </a:solidFill>
            </a:rPr>
            <a:t> - 2026 </a:t>
          </a:r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21</xdr:col>
      <xdr:colOff>502355</xdr:colOff>
      <xdr:row>1</xdr:row>
      <xdr:rowOff>67028</xdr:rowOff>
    </xdr:from>
    <xdr:to>
      <xdr:col>24</xdr:col>
      <xdr:colOff>534104</xdr:colOff>
      <xdr:row>3</xdr:row>
      <xdr:rowOff>47978</xdr:rowOff>
    </xdr:to>
    <xdr:sp macro="" textlink="'Revenue Breakdown'!L7">
      <xdr:nvSpPr>
        <xdr:cNvPr id="4" name="TextBox 3">
          <a:extLst>
            <a:ext uri="{FF2B5EF4-FFF2-40B4-BE49-F238E27FC236}">
              <a16:creationId xmlns:a16="http://schemas.microsoft.com/office/drawing/2014/main" id="{17709755-1C31-46A6-3860-02CCA3E33E05}"/>
            </a:ext>
          </a:extLst>
        </xdr:cNvPr>
        <xdr:cNvSpPr txBox="1"/>
      </xdr:nvSpPr>
      <xdr:spPr>
        <a:xfrm>
          <a:off x="13244688" y="250472"/>
          <a:ext cx="1852083" cy="3478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E92F72-83B7-4D9F-BB07-40695EED7B77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$319,265</a:t>
          </a:fld>
          <a:endParaRPr lang="en-US" sz="1400" kern="1200"/>
        </a:p>
      </xdr:txBody>
    </xdr:sp>
    <xdr:clientData/>
  </xdr:twoCellAnchor>
  <xdr:twoCellAnchor>
    <xdr:from>
      <xdr:col>3</xdr:col>
      <xdr:colOff>152400</xdr:colOff>
      <xdr:row>18</xdr:row>
      <xdr:rowOff>165100</xdr:rowOff>
    </xdr:from>
    <xdr:to>
      <xdr:col>6</xdr:col>
      <xdr:colOff>514350</xdr:colOff>
      <xdr:row>20</xdr:row>
      <xdr:rowOff>152400</xdr:rowOff>
    </xdr:to>
    <xdr:sp macro="" textlink="'Revenue Breakdown'!C12">
      <xdr:nvSpPr>
        <xdr:cNvPr id="8" name="TextBox 7">
          <a:extLst>
            <a:ext uri="{FF2B5EF4-FFF2-40B4-BE49-F238E27FC236}">
              <a16:creationId xmlns:a16="http://schemas.microsoft.com/office/drawing/2014/main" id="{D8308FC7-464D-42E9-8869-806ED26D5C5D}"/>
            </a:ext>
          </a:extLst>
        </xdr:cNvPr>
        <xdr:cNvSpPr txBox="1"/>
      </xdr:nvSpPr>
      <xdr:spPr>
        <a:xfrm>
          <a:off x="1981200" y="3479800"/>
          <a:ext cx="219075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C8DB067-336C-48C5-AB15-E53A862B8DD5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$2,847,751</a:t>
          </a:fld>
          <a:endParaRPr lang="en-US" sz="18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127000</xdr:colOff>
      <xdr:row>16</xdr:row>
      <xdr:rowOff>152400</xdr:rowOff>
    </xdr:from>
    <xdr:to>
      <xdr:col>6</xdr:col>
      <xdr:colOff>533400</xdr:colOff>
      <xdr:row>18</xdr:row>
      <xdr:rowOff>76200</xdr:rowOff>
    </xdr:to>
    <xdr:sp macro="" textlink="'Revenue Breakdown'!B44">
      <xdr:nvSpPr>
        <xdr:cNvPr id="9" name="TextBox 8">
          <a:extLst>
            <a:ext uri="{FF2B5EF4-FFF2-40B4-BE49-F238E27FC236}">
              <a16:creationId xmlns:a16="http://schemas.microsoft.com/office/drawing/2014/main" id="{08E5E8AC-D48D-49EB-BCED-526D781F9D29}"/>
            </a:ext>
          </a:extLst>
        </xdr:cNvPr>
        <xdr:cNvSpPr txBox="1"/>
      </xdr:nvSpPr>
      <xdr:spPr>
        <a:xfrm>
          <a:off x="1955800" y="3098800"/>
          <a:ext cx="2235200" cy="292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3596DDF-FDF9-4237-BFCF-C18D14F4F4DB}" type="TxLink">
            <a:rPr lang="en-US" sz="1200" b="0" i="0" u="none" strike="noStrike" kern="1200">
              <a:solidFill>
                <a:srgbClr val="000000"/>
              </a:solidFill>
              <a:latin typeface="Aptos Narrow"/>
            </a:rPr>
            <a:pPr algn="ctr"/>
            <a:t>Current: $319,265, 11%</a:t>
          </a:fld>
          <a:endParaRPr lang="en-US" sz="2000" kern="1200">
            <a:noFill/>
          </a:endParaRPr>
        </a:p>
      </xdr:txBody>
    </xdr:sp>
    <xdr:clientData/>
  </xdr:twoCellAnchor>
  <xdr:twoCellAnchor>
    <xdr:from>
      <xdr:col>9</xdr:col>
      <xdr:colOff>368300</xdr:colOff>
      <xdr:row>4</xdr:row>
      <xdr:rowOff>152400</xdr:rowOff>
    </xdr:from>
    <xdr:to>
      <xdr:col>13</xdr:col>
      <xdr:colOff>374650</xdr:colOff>
      <xdr:row>6</xdr:row>
      <xdr:rowOff>139700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936DA2-D00A-42AD-92D8-9021CAC5FCD4}"/>
            </a:ext>
          </a:extLst>
        </xdr:cNvPr>
        <xdr:cNvSpPr txBox="1"/>
      </xdr:nvSpPr>
      <xdr:spPr>
        <a:xfrm>
          <a:off x="5854700" y="889000"/>
          <a:ext cx="24447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1200" cap="none" spc="0" normalizeH="0" baseline="0" noProof="0">
              <a:ln>
                <a:noFill/>
              </a:ln>
              <a:effectLst/>
              <a:uLnTx/>
              <a:uFillTx/>
              <a:latin typeface="Aptos Narrow"/>
              <a:ea typeface="+mn-ea"/>
              <a:cs typeface="+mn-cs"/>
            </a:rPr>
            <a:t>Member Metrics</a:t>
          </a:r>
        </a:p>
      </xdr:txBody>
    </xdr:sp>
    <xdr:clientData/>
  </xdr:twoCellAnchor>
  <xdr:twoCellAnchor>
    <xdr:from>
      <xdr:col>0</xdr:col>
      <xdr:colOff>63500</xdr:colOff>
      <xdr:row>23</xdr:row>
      <xdr:rowOff>57150</xdr:rowOff>
    </xdr:from>
    <xdr:to>
      <xdr:col>21</xdr:col>
      <xdr:colOff>336550</xdr:colOff>
      <xdr:row>26</xdr:row>
      <xdr:rowOff>44450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0ABF9D6-F148-45CF-9A10-F7D137659B82}"/>
            </a:ext>
          </a:extLst>
        </xdr:cNvPr>
        <xdr:cNvSpPr txBox="1"/>
      </xdr:nvSpPr>
      <xdr:spPr>
        <a:xfrm>
          <a:off x="63500" y="4292600"/>
          <a:ext cx="13074650" cy="539750"/>
        </a:xfrm>
        <a:prstGeom prst="rect">
          <a:avLst/>
        </a:prstGeom>
        <a:solidFill>
          <a:schemeClr val="accent2">
            <a:lumMod val="40000"/>
            <a:lumOff val="60000"/>
            <a:alpha val="92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>
          <a:outerShdw blurRad="50800" dist="50800" dir="5400000" algn="ctr" rotWithShape="0">
            <a:srgbClr val="000000">
              <a:alpha val="98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Notes: Revenue data is recorded for the month that a membership term started. So, if membership payment was made in December 2023, but the membership term began in January 2024, the revenue is recorded for January 2024.</a:t>
          </a:r>
        </a:p>
      </xdr:txBody>
    </xdr:sp>
    <xdr:clientData/>
  </xdr:twoCellAnchor>
  <xdr:twoCellAnchor>
    <xdr:from>
      <xdr:col>9</xdr:col>
      <xdr:colOff>388056</xdr:colOff>
      <xdr:row>7</xdr:row>
      <xdr:rowOff>99483</xdr:rowOff>
    </xdr:from>
    <xdr:to>
      <xdr:col>13</xdr:col>
      <xdr:colOff>388056</xdr:colOff>
      <xdr:row>9</xdr:row>
      <xdr:rowOff>86783</xdr:rowOff>
    </xdr:to>
    <xdr:sp macro="" textlink="'Org Revenues'!M4">
      <xdr:nvSpPr>
        <xdr:cNvPr id="20" name="TextBox 19">
          <a:extLst>
            <a:ext uri="{FF2B5EF4-FFF2-40B4-BE49-F238E27FC236}">
              <a16:creationId xmlns:a16="http://schemas.microsoft.com/office/drawing/2014/main" id="{8C484619-4721-C781-133A-784BBC019291}"/>
            </a:ext>
          </a:extLst>
        </xdr:cNvPr>
        <xdr:cNvSpPr txBox="1"/>
      </xdr:nvSpPr>
      <xdr:spPr>
        <a:xfrm>
          <a:off x="5849056" y="1383594"/>
          <a:ext cx="2427111" cy="354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287ECB3-D962-4AAC-9648-36C846B99FB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Benefactor: 2</a:t>
          </a:fld>
          <a:endParaRPr kumimoji="0" lang="en-US" sz="24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355600</xdr:colOff>
      <xdr:row>10</xdr:row>
      <xdr:rowOff>101600</xdr:rowOff>
    </xdr:from>
    <xdr:to>
      <xdr:col>13</xdr:col>
      <xdr:colOff>374650</xdr:colOff>
      <xdr:row>12</xdr:row>
      <xdr:rowOff>88900</xdr:rowOff>
    </xdr:to>
    <xdr:sp macro="" textlink="'Org Revenues'!M5">
      <xdr:nvSpPr>
        <xdr:cNvPr id="21" name="TextBox 20">
          <a:extLst>
            <a:ext uri="{FF2B5EF4-FFF2-40B4-BE49-F238E27FC236}">
              <a16:creationId xmlns:a16="http://schemas.microsoft.com/office/drawing/2014/main" id="{59900078-21F3-5072-1205-A298749C5428}"/>
            </a:ext>
          </a:extLst>
        </xdr:cNvPr>
        <xdr:cNvSpPr txBox="1"/>
      </xdr:nvSpPr>
      <xdr:spPr>
        <a:xfrm>
          <a:off x="5842000" y="19431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379C83B-E2DD-4BB4-9E10-FF54ED0A0EE4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Gold: 11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368300</xdr:colOff>
      <xdr:row>13</xdr:row>
      <xdr:rowOff>82550</xdr:rowOff>
    </xdr:from>
    <xdr:to>
      <xdr:col>13</xdr:col>
      <xdr:colOff>368300</xdr:colOff>
      <xdr:row>15</xdr:row>
      <xdr:rowOff>69850</xdr:rowOff>
    </xdr:to>
    <xdr:sp macro="" textlink="'Org Revenues'!M6">
      <xdr:nvSpPr>
        <xdr:cNvPr id="22" name="TextBox 21">
          <a:extLst>
            <a:ext uri="{FF2B5EF4-FFF2-40B4-BE49-F238E27FC236}">
              <a16:creationId xmlns:a16="http://schemas.microsoft.com/office/drawing/2014/main" id="{D54E3E48-22FB-3912-FCC7-94FEE159AFF6}"/>
            </a:ext>
          </a:extLst>
        </xdr:cNvPr>
        <xdr:cNvSpPr txBox="1"/>
      </xdr:nvSpPr>
      <xdr:spPr>
        <a:xfrm>
          <a:off x="5854700" y="2476500"/>
          <a:ext cx="24384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C24A744-DAE8-47E3-8E6E-FC89BB2A39CD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Organization: 29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381000</xdr:colOff>
      <xdr:row>16</xdr:row>
      <xdr:rowOff>63500</xdr:rowOff>
    </xdr:from>
    <xdr:to>
      <xdr:col>13</xdr:col>
      <xdr:colOff>393700</xdr:colOff>
      <xdr:row>18</xdr:row>
      <xdr:rowOff>50800</xdr:rowOff>
    </xdr:to>
    <xdr:sp macro="" textlink="'Ind Revenues'!C27">
      <xdr:nvSpPr>
        <xdr:cNvPr id="23" name="TextBox 22">
          <a:extLst>
            <a:ext uri="{FF2B5EF4-FFF2-40B4-BE49-F238E27FC236}">
              <a16:creationId xmlns:a16="http://schemas.microsoft.com/office/drawing/2014/main" id="{4BEF8E6B-6E12-2ABF-E83A-8EDE566267E2}"/>
            </a:ext>
          </a:extLst>
        </xdr:cNvPr>
        <xdr:cNvSpPr txBox="1"/>
      </xdr:nvSpPr>
      <xdr:spPr>
        <a:xfrm>
          <a:off x="5867400" y="3009900"/>
          <a:ext cx="24511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BA25D14-8BF7-4A9C-A244-18231A1FEAF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Individual: 18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387350</xdr:colOff>
      <xdr:row>19</xdr:row>
      <xdr:rowOff>19050</xdr:rowOff>
    </xdr:from>
    <xdr:to>
      <xdr:col>13</xdr:col>
      <xdr:colOff>406400</xdr:colOff>
      <xdr:row>21</xdr:row>
      <xdr:rowOff>6350</xdr:rowOff>
    </xdr:to>
    <xdr:sp macro="" textlink="Affiliate!I3">
      <xdr:nvSpPr>
        <xdr:cNvPr id="24" name="TextBox 23">
          <a:extLst>
            <a:ext uri="{FF2B5EF4-FFF2-40B4-BE49-F238E27FC236}">
              <a16:creationId xmlns:a16="http://schemas.microsoft.com/office/drawing/2014/main" id="{D2479B9D-B8C3-C9AB-2349-8043DC807BCE}"/>
            </a:ext>
          </a:extLst>
        </xdr:cNvPr>
        <xdr:cNvSpPr txBox="1"/>
      </xdr:nvSpPr>
      <xdr:spPr>
        <a:xfrm>
          <a:off x="5873750" y="35179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C4494B2-E521-4B40-A542-45F34FAE5810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Affiliate: 2</a:t>
          </a:fld>
          <a:endParaRPr kumimoji="0" lang="en-US" sz="18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486833</xdr:colOff>
      <xdr:row>2</xdr:row>
      <xdr:rowOff>155222</xdr:rowOff>
    </xdr:from>
    <xdr:to>
      <xdr:col>21</xdr:col>
      <xdr:colOff>317500</xdr:colOff>
      <xdr:row>23</xdr:row>
      <xdr:rowOff>77611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D762BD-5EB8-4A13-9E47-4FF5D858C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0.18978</cdr:x>
      <cdr:y>0.50532</cdr:y>
    </cdr:from>
    <cdr:to>
      <cdr:x>0.82573</cdr:x>
      <cdr:y>0.92178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179822" y="2173931"/>
          <a:ext cx="3953479" cy="179166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$319,265</a:t>
          </a:fld>
          <a:endParaRPr lang="en-US" sz="14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218722</xdr:colOff>
      <xdr:row>8</xdr:row>
      <xdr:rowOff>77610</xdr:rowOff>
    </xdr:from>
    <xdr:to>
      <xdr:col>9</xdr:col>
      <xdr:colOff>1029405</xdr:colOff>
      <xdr:row>26</xdr:row>
      <xdr:rowOff>96659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8A50D-5E4B-EC7E-909D-065EA63CF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853722</xdr:colOff>
      <xdr:row>28</xdr:row>
      <xdr:rowOff>168274</xdr:rowOff>
    </xdr:from>
    <xdr:to>
      <xdr:col>12</xdr:col>
      <xdr:colOff>22578</xdr:colOff>
      <xdr:row>46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B2E625-6BFD-8152-E127-FA89ABE67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952500</xdr:colOff>
      <xdr:row>55</xdr:row>
      <xdr:rowOff>31750</xdr:rowOff>
    </xdr:from>
    <xdr:to>
      <xdr:col>9</xdr:col>
      <xdr:colOff>787400</xdr:colOff>
      <xdr:row>57</xdr:row>
      <xdr:rowOff>19050</xdr:rowOff>
    </xdr:to>
    <xdr:sp macro="" textlink="$C$12">
      <xdr:nvSpPr>
        <xdr:cNvPr id="6" name="TextBox 5">
          <a:extLst>
            <a:ext uri="{FF2B5EF4-FFF2-40B4-BE49-F238E27FC236}">
              <a16:creationId xmlns:a16="http://schemas.microsoft.com/office/drawing/2014/main" id="{8D11EF5C-1E04-D5DE-1538-58ED043E91A9}"/>
            </a:ext>
          </a:extLst>
        </xdr:cNvPr>
        <xdr:cNvSpPr txBox="1"/>
      </xdr:nvSpPr>
      <xdr:spPr>
        <a:xfrm>
          <a:off x="9296400" y="8318500"/>
          <a:ext cx="219075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BE693DA-C8B5-48AF-9143-8A87AFBACF34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$2,847,751</a:t>
          </a:fld>
          <a:endParaRPr lang="en-US" sz="1400" kern="1200"/>
        </a:p>
      </xdr:txBody>
    </xdr:sp>
    <xdr:clientData/>
  </xdr:twoCellAnchor>
  <xdr:twoCellAnchor>
    <xdr:from>
      <xdr:col>7</xdr:col>
      <xdr:colOff>50800</xdr:colOff>
      <xdr:row>53</xdr:row>
      <xdr:rowOff>6350</xdr:rowOff>
    </xdr:from>
    <xdr:to>
      <xdr:col>9</xdr:col>
      <xdr:colOff>615950</xdr:colOff>
      <xdr:row>54</xdr:row>
      <xdr:rowOff>114300</xdr:rowOff>
    </xdr:to>
    <xdr:sp macro="" textlink="$B$44">
      <xdr:nvSpPr>
        <xdr:cNvPr id="7" name="TextBox 6">
          <a:extLst>
            <a:ext uri="{FF2B5EF4-FFF2-40B4-BE49-F238E27FC236}">
              <a16:creationId xmlns:a16="http://schemas.microsoft.com/office/drawing/2014/main" id="{973F9DA9-E326-2350-A6F7-8882220DFD28}"/>
            </a:ext>
          </a:extLst>
        </xdr:cNvPr>
        <xdr:cNvSpPr txBox="1"/>
      </xdr:nvSpPr>
      <xdr:spPr>
        <a:xfrm>
          <a:off x="9531350" y="7924800"/>
          <a:ext cx="17843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CE8D6E-A750-4000-9BFA-79CF2116596F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Current: $319,265, 11%</a:t>
          </a:fld>
          <a:endParaRPr lang="en-US" sz="1400" kern="1200"/>
        </a:p>
      </xdr:txBody>
    </xdr:sp>
    <xdr:clientData/>
  </xdr:twoCellAnchor>
  <xdr:twoCellAnchor>
    <xdr:from>
      <xdr:col>0</xdr:col>
      <xdr:colOff>2455333</xdr:colOff>
      <xdr:row>47</xdr:row>
      <xdr:rowOff>112889</xdr:rowOff>
    </xdr:from>
    <xdr:to>
      <xdr:col>6</xdr:col>
      <xdr:colOff>620888</xdr:colOff>
      <xdr:row>67</xdr:row>
      <xdr:rowOff>141109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93695-14C1-D2C5-6A57-ECCBB7272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$319,265</a:t>
          </a:fld>
          <a:endParaRPr lang="en-US" sz="14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0.19469</cdr:x>
      <cdr:y>0.54157</cdr:y>
    </cdr:from>
    <cdr:to>
      <cdr:x>0.83064</cdr:x>
      <cdr:y>0.95803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489076" y="2130426"/>
          <a:ext cx="4864100" cy="16383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3175</xdr:rowOff>
    </xdr:from>
    <xdr:to>
      <xdr:col>9</xdr:col>
      <xdr:colOff>127000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426D8-4881-EBBA-2AC9-8F0CF87C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7</xdr:row>
      <xdr:rowOff>15874</xdr:rowOff>
    </xdr:from>
    <xdr:to>
      <xdr:col>19</xdr:col>
      <xdr:colOff>457200</xdr:colOff>
      <xdr:row>24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70049-FD24-91A6-174A-DCE6CCB6B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</xdr:colOff>
      <xdr:row>7</xdr:row>
      <xdr:rowOff>152400</xdr:rowOff>
    </xdr:from>
    <xdr:to>
      <xdr:col>16</xdr:col>
      <xdr:colOff>368300</xdr:colOff>
      <xdr:row>9</xdr:row>
      <xdr:rowOff>57150</xdr:rowOff>
    </xdr:to>
    <xdr:sp macro="" textlink="$C$17">
      <xdr:nvSpPr>
        <xdr:cNvPr id="3" name="TextBox 2">
          <a:extLst>
            <a:ext uri="{FF2B5EF4-FFF2-40B4-BE49-F238E27FC236}">
              <a16:creationId xmlns:a16="http://schemas.microsoft.com/office/drawing/2014/main" id="{3A29942F-CE62-9979-97DE-203946C6F9E0}"/>
            </a:ext>
          </a:extLst>
        </xdr:cNvPr>
        <xdr:cNvSpPr txBox="1"/>
      </xdr:nvSpPr>
      <xdr:spPr>
        <a:xfrm>
          <a:off x="8985250" y="1441450"/>
          <a:ext cx="1562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5363D6-27A8-4F3E-B5E2-C756082F7C64}" type="TxLink">
            <a:rPr lang="en-US" sz="11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/>
            <a:t>Grand Total: $12,600</a:t>
          </a:fld>
          <a:endParaRPr lang="en-US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609600</xdr:colOff>
      <xdr:row>15</xdr:row>
      <xdr:rowOff>22225</xdr:rowOff>
    </xdr:from>
    <xdr:to>
      <xdr:col>17</xdr:col>
      <xdr:colOff>107950</xdr:colOff>
      <xdr:row>30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E09E5-DF88-8D11-B678-BC9CEB6B6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443279</xdr:colOff>
      <xdr:row>2</xdr:row>
      <xdr:rowOff>96837</xdr:rowOff>
    </xdr:from>
    <xdr:to>
      <xdr:col>13</xdr:col>
      <xdr:colOff>63501</xdr:colOff>
      <xdr:row>17</xdr:row>
      <xdr:rowOff>92441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A4D4A-1A88-EB9A-BF84-730A7B633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214699074" createdVersion="8" refreshedVersion="8" minRefreshableVersion="3" recordCount="20" xr:uid="{619B6AF4-40B3-4ADD-B0CD-1A3A6410ACAF}">
  <cacheSource type="worksheet">
    <worksheetSource ref="A1:B21" sheet="draft_mem_goal_work"/>
  </cacheSource>
  <cacheFields count="2">
    <cacheField name="pct" numFmtId="9">
      <sharedItems containsSemiMixedTypes="0" containsString="0" containsNumber="1" minValue="0.1" maxValue="2" count="20">
        <n v="0.1"/>
        <n v="0.2"/>
        <n v="0.3"/>
        <n v="0.4"/>
        <n v="0.5"/>
        <n v="0.6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</sharedItems>
    </cacheField>
    <cacheField name="total" numFmtId="0">
      <sharedItems containsSemiMixedTypes="0" containsString="0" containsNumber="1" minValue="0" maxValue="28145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87384259" createdVersion="8" refreshedVersion="8" minRefreshableVersion="3" recordCount="3" xr:uid="{18BA5DB4-C019-4CEE-9D98-AE783960781B}">
  <cacheSource type="worksheet">
    <worksheetSource name="Table10"/>
  </cacheSource>
  <cacheFields count="2">
    <cacheField name="Membership Class" numFmtId="0">
      <sharedItems count="3">
        <s v="Affiliate Memberships"/>
        <s v="Individual Memberships"/>
        <s v="Organizational Memberships"/>
      </sharedItems>
    </cacheField>
    <cacheField name="2026 Dues Total" numFmtId="0">
      <sharedItems containsSemiMixedTypes="0" containsString="0" containsNumber="1" minValue="9300" maxValue="110573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83.380696296299" createdVersion="8" refreshedVersion="8" minRefreshableVersion="3" recordCount="64" xr:uid="{6531C421-DFCF-4ADD-A59F-D7283A494ABE}">
  <cacheSource type="worksheet">
    <worksheetSource name="Yrs_of_Membership"/>
  </cacheSource>
  <cacheFields count="11">
    <cacheField name="Account Name" numFmtId="0">
      <sharedItems containsBlank="1"/>
    </cacheField>
    <cacheField name="Total" numFmtId="0">
      <sharedItems containsString="0" containsBlank="1" containsNumber="1" minValue="100" maxValue="38100"/>
    </cacheField>
    <cacheField name="Posted Date" numFmtId="14">
      <sharedItems containsNonDate="0" containsDate="1" containsString="0" containsBlank="1" minDate="2026-01-05T00:00:00" maxDate="2026-02-28T00:00:00"/>
    </cacheField>
    <cacheField name="Receipt Number" numFmtId="0">
      <sharedItems containsString="0" containsBlank="1" containsNumber="1" containsInteger="1" minValue="18359" maxValue="19083"/>
    </cacheField>
    <cacheField name="Receipt Line ID" numFmtId="0">
      <sharedItems containsString="0" containsBlank="1" containsNumber="1" containsInteger="1" minValue="44215" maxValue="45165"/>
    </cacheField>
    <cacheField name="Member Since" numFmtId="14">
      <sharedItems containsNonDate="0" containsDate="1" containsString="0" containsBlank="1" minDate="1996-01-01T00:00:00" maxDate="2026-01-02T00:00:00"/>
    </cacheField>
    <cacheField name="Account Category" numFmtId="0">
      <sharedItems containsBlank="1"/>
    </cacheField>
    <cacheField name="Billing Country" numFmtId="0">
      <sharedItems containsBlank="1"/>
    </cacheField>
    <cacheField name="Item Name" numFmtId="0">
      <sharedItems containsBlank="1"/>
    </cacheField>
    <cacheField name="Paid_Month" numFmtId="0">
      <sharedItems containsString="0" containsBlank="1" containsNumber="1" containsInteger="1" minValue="1" maxValue="2"/>
    </cacheField>
    <cacheField name="Years Member" numFmtId="0">
      <sharedItems containsBlank="1" count="6">
        <m/>
        <s v="1 Year"/>
        <s v="Over 15 Years"/>
        <s v="2 to 5 Years"/>
        <s v="6 to 10 Years"/>
        <s v="11 to 15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83.383483564816" createdVersion="8" refreshedVersion="8" minRefreshableVersion="3" recordCount="66" xr:uid="{01C1A90D-F825-4B54-A04C-37AA8FD92959}">
  <cacheSource type="worksheet">
    <worksheetSource name="Accounts_with_Mem_and_Receipts"/>
  </cacheSource>
  <cacheFields count="12">
    <cacheField name="Account Name" numFmtId="0">
      <sharedItems containsBlank="1" count="64">
        <m/>
        <s v="Acre Security"/>
        <s v="American Dental Association"/>
        <s v="Apelon, Inc."/>
        <s v="Beata Piehl Household"/>
        <s v="Becton Dickinson"/>
        <s v="Bellese Technologies"/>
        <s v="Blue Cross Blue Shield Association"/>
        <s v="CAL2CAL Corporation"/>
        <s v="CSIRO"/>
        <s v="Children's Hospital of Philadelphia"/>
        <s v="College of American Pathologists"/>
        <s v="Confidential Information - Do Not Distribute"/>
        <s v="Copyright © 2000-2026 salesforce.com, inc. All rights reserved."/>
        <s v="CyncHealth"/>
        <s v="Daniel Ries Household"/>
        <s v="Dataware Sdn Bhd"/>
        <s v="Dennis Loucks Household"/>
        <s v="Donald Kurtz Household"/>
        <s v="Epic"/>
        <s v="Firely USA"/>
        <s v="First Databank"/>
        <s v="Flatiron Health"/>
        <s v="Fresenius Vial"/>
        <s v="Glen Rigby Household"/>
        <s v="HIMSS"/>
        <s v="HL7 Ecuador"/>
        <s v="HL7 Norway"/>
        <s v="ICCBBA, Inc."/>
        <s v="ICF"/>
        <s v="Indian Health Service"/>
        <s v="John Moehrke Household"/>
        <s v="Johns Hopkins Hospital"/>
        <s v="Ken McCaslin Household"/>
        <s v="KlearTrust"/>
        <s v="MEDENT"/>
        <s v="Mark Marciante Household"/>
        <s v="Massachusetts Health Data Consortium"/>
        <s v="MedicaSoft"/>
        <s v="MyDirectives"/>
        <s v="National Association of Dental Plans"/>
        <s v="New Fields Technologies LLC"/>
        <s v="Onyx Technology LLC"/>
        <s v="Patient Centric Solutions"/>
        <s v="Professional Laboratory Management, Inc."/>
        <s v="Ready Computing LLC"/>
        <s v="Regenstrief Institute, Inc."/>
        <s v="Roche Diagnostics International Ltd."/>
        <s v="Ryan Lee Household"/>
        <s v="Ryan Weihler Household"/>
        <s v="SLI Compliance"/>
        <s v="Sam Schifman Household"/>
        <s v="SandwYch, Inc."/>
        <s v="Sandy Vance Household"/>
        <s v="Srinivasan Parthasarathy Household"/>
        <s v="Stan Rankins Household"/>
        <s v="Stedi"/>
        <s v="Surescripts"/>
        <s v="Tennessee Department of Health"/>
        <s v="Tetra Fields LLC"/>
        <s v="Toshiaki Kato Household"/>
        <s v="Univ of TX Health Science Center San Antonio"/>
        <s v="Virginia Department of Health"/>
        <s v="West Virginia Departments of Human Services, Health and Health Facilities"/>
      </sharedItems>
    </cacheField>
    <cacheField name="Total" numFmtId="0">
      <sharedItems containsString="0" containsBlank="1" containsNumber="1" minValue="100" maxValue="38100"/>
    </cacheField>
    <cacheField name="Posted Date" numFmtId="14">
      <sharedItems containsNonDate="0" containsDate="1" containsString="0" containsBlank="1" minDate="2026-01-05T00:00:00" maxDate="2026-02-28T00:00:00" count="33">
        <m/>
        <d v="2026-02-13T00:00:00"/>
        <d v="2026-02-19T00:00:00"/>
        <d v="2026-01-13T00:00:00"/>
        <d v="2026-01-11T00:00:00"/>
        <d v="2026-01-05T00:00:00"/>
        <d v="2026-02-11T00:00:00"/>
        <d v="2026-02-09T00:00:00"/>
        <d v="2026-01-12T00:00:00"/>
        <d v="2026-02-20T00:00:00"/>
        <d v="2026-01-20T00:00:00"/>
        <d v="2026-02-06T00:00:00"/>
        <d v="2026-02-16T00:00:00"/>
        <d v="2026-01-31T00:00:00"/>
        <d v="2026-01-30T00:00:00"/>
        <d v="2026-01-26T00:00:00"/>
        <d v="2026-01-08T00:00:00"/>
        <d v="2026-01-21T00:00:00"/>
        <d v="2026-02-02T00:00:00"/>
        <d v="2026-02-27T00:00:00"/>
        <d v="2026-02-26T00:00:00"/>
        <d v="2026-02-17T00:00:00"/>
        <d v="2026-01-15T00:00:00"/>
        <d v="2026-01-06T00:00:00"/>
        <d v="2026-01-29T00:00:00"/>
        <d v="2026-01-22T00:00:00"/>
        <d v="2026-01-23T00:00:00"/>
        <d v="2026-01-09T00:00:00"/>
        <d v="2026-02-18T00:00:00"/>
        <d v="2026-01-07T00:00:00"/>
        <d v="2026-02-03T00:00:00"/>
        <d v="2026-01-16T00:00:00"/>
        <d v="2026-01-28T00:00:00"/>
      </sharedItems>
      <fieldGroup par="11"/>
    </cacheField>
    <cacheField name="Receipt Number" numFmtId="0">
      <sharedItems containsString="0" containsBlank="1" containsNumber="1" containsInteger="1" minValue="18359" maxValue="19083"/>
    </cacheField>
    <cacheField name="Receipt Line ID" numFmtId="0">
      <sharedItems containsString="0" containsBlank="1" containsNumber="1" containsInteger="1" minValue="44215" maxValue="45165"/>
    </cacheField>
    <cacheField name="Member Since" numFmtId="14">
      <sharedItems containsNonDate="0" containsDate="1" containsString="0" containsBlank="1" minDate="1996-08-15T00:00:00" maxDate="2026-02-28T00:00:00"/>
    </cacheField>
    <cacheField name="Account Category" numFmtId="0">
      <sharedItems containsBlank="1"/>
    </cacheField>
    <cacheField name="Billing Country" numFmtId="0">
      <sharedItems containsBlank="1"/>
    </cacheField>
    <cacheField name="Item Name" numFmtId="0">
      <sharedItems containsBlank="1" count="7">
        <m/>
        <s v="Gold Membership"/>
        <s v="Organizational Membership"/>
        <s v="Individual Membership"/>
        <s v="Retiree Membership"/>
        <s v="Benefactor Membership"/>
        <s v="Affiliate Membership"/>
      </sharedItems>
    </cacheField>
    <cacheField name="Paid_Month" numFmtId="0">
      <sharedItems containsString="0" containsBlank="1" containsNumber="1" containsInteger="1" minValue="1" maxValue="2"/>
    </cacheField>
    <cacheField name="Days (Posted Date)" numFmtId="0" databaseField="0">
      <fieldGroup base="2">
        <rangePr groupBy="days" startDate="2026-01-05T00:00:00" endDate="2026-02-28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28/2026"/>
        </groupItems>
      </fieldGroup>
    </cacheField>
    <cacheField name="Months (Posted Date)" numFmtId="0" databaseField="0">
      <fieldGroup base="2">
        <rangePr groupBy="months" startDate="2026-01-05T00:00:00" endDate="2026-02-28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83.384929976855" createdVersion="8" refreshedVersion="8" minRefreshableVersion="3" recordCount="18" xr:uid="{C8EFC42E-61DF-4935-964B-0132AE937AF3}">
  <cacheSource type="worksheet">
    <worksheetSource name="Individual"/>
  </cacheSource>
  <cacheFields count="10">
    <cacheField name="Account Name" numFmtId="0">
      <sharedItems/>
    </cacheField>
    <cacheField name="Total" numFmtId="0">
      <sharedItems containsSemiMixedTypes="0" containsString="0" containsNumber="1" containsInteger="1" minValue="100" maxValue="775"/>
    </cacheField>
    <cacheField name="Posted Date" numFmtId="14">
      <sharedItems containsSemiMixedTypes="0" containsNonDate="0" containsDate="1" containsString="0" minDate="2026-01-05T00:00:00" maxDate="2026-02-28T00:00:00"/>
    </cacheField>
    <cacheField name="Receipt Number" numFmtId="0">
      <sharedItems containsSemiMixedTypes="0" containsString="0" containsNumber="1" containsInteger="1" minValue="18371" maxValue="19083"/>
    </cacheField>
    <cacheField name="Receipt Line ID" numFmtId="0">
      <sharedItems containsSemiMixedTypes="0" containsString="0" containsNumber="1" containsInteger="1" minValue="44227" maxValue="45165"/>
    </cacheField>
    <cacheField name="Member Since" numFmtId="14">
      <sharedItems containsSemiMixedTypes="0" containsNonDate="0" containsDate="1" containsString="0" minDate="1996-08-15T00:00:00" maxDate="2026-02-28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Individual Membership"/>
        <s v="Retiree Membership"/>
        <s v="Student Membership" u="1"/>
      </sharedItems>
    </cacheField>
    <cacheField name="Paid_Month" numFmtId="0">
      <sharedItems containsSemiMixedTypes="0" containsString="0" containsNumber="1" containsInteger="1" minValue="1" maxValue="12" count="12">
        <n v="1"/>
        <n v="2"/>
        <n v="8" u="1"/>
        <n v="9" u="1"/>
        <n v="7" u="1"/>
        <n v="11" u="1"/>
        <n v="3" u="1"/>
        <n v="6" u="1"/>
        <n v="12" u="1"/>
        <n v="10" u="1"/>
        <n v="4" u="1"/>
        <n v="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83.385376157406" backgroundQuery="1" createdVersion="8" refreshedVersion="8" minRefreshableVersion="3" recordCount="0" supportSubquery="1" supportAdvancedDrill="1" xr:uid="{6934E0F6-796E-4171-AB11-8F75B59856AC}">
  <cacheSource type="external" connectionId="5"/>
  <cacheFields count="2">
    <cacheField name="[Processed].[Paid_Month].[Paid_Month]" caption="Paid_Month" numFmtId="0" hierarchy="19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Processed].[Paid_Month].&amp;[1]"/>
            <x15:cachedUniqueName index="1" name="[Processed].[Paid_Month].&amp;[2]"/>
          </x15:cachedUniqueNames>
        </ext>
      </extLst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2" memberValueDatatype="20" unbalanced="0">
      <fieldsUsage count="2">
        <fieldUsage x="-1"/>
        <fieldUsage x="0"/>
      </fieldsUsage>
    </cacheHierarchy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83.385377199076" backgroundQuery="1" createdVersion="8" refreshedVersion="8" minRefreshableVersion="3" recordCount="0" supportSubquery="1" supportAdvancedDrill="1" xr:uid="{254D038B-BA73-4D38-8141-CCBDC6BAB1B4}">
  <cacheSource type="external" connectionId="5"/>
  <cacheFields count="2">
    <cacheField name="[Processed].[Item Name].[Item Name]" caption="Item Name" numFmtId="0" hierarchy="18" level="1">
      <sharedItems count="3">
        <s v="Benefactor Membership"/>
        <s v="Gold Membership"/>
        <s v="Organizational Membership"/>
      </sharedItems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2" memberValueDatatype="130" unbalanced="0">
      <fieldsUsage count="2">
        <fieldUsage x="-1"/>
        <fieldUsage x="0"/>
      </fieldsUsage>
    </cacheHierarchy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83.385537152775" createdVersion="8" refreshedVersion="8" minRefreshableVersion="3" recordCount="42" xr:uid="{57E158F3-5AA3-44B4-96AE-D05E0D608F4F}">
  <cacheSource type="worksheet">
    <worksheetSource name="Orgs"/>
  </cacheSource>
  <cacheFields count="10">
    <cacheField name="Account Name" numFmtId="0">
      <sharedItems/>
    </cacheField>
    <cacheField name="Total" numFmtId="0">
      <sharedItems containsSemiMixedTypes="0" containsString="0" containsNumber="1" minValue="108.79" maxValue="38100"/>
    </cacheField>
    <cacheField name="Posted Date" numFmtId="14">
      <sharedItems containsSemiMixedTypes="0" containsNonDate="0" containsDate="1" containsString="0" minDate="2026-01-05T00:00:00" maxDate="2026-02-28T00:00:00"/>
    </cacheField>
    <cacheField name="Receipt Number" numFmtId="0">
      <sharedItems containsSemiMixedTypes="0" containsString="0" containsNumber="1" containsInteger="1" minValue="18359" maxValue="19076"/>
    </cacheField>
    <cacheField name="Receipt Line ID" numFmtId="0">
      <sharedItems containsSemiMixedTypes="0" containsString="0" containsNumber="1" containsInteger="1" minValue="44215" maxValue="45158"/>
    </cacheField>
    <cacheField name="Member Since" numFmtId="14">
      <sharedItems containsSemiMixedTypes="0" containsNonDate="0" containsDate="1" containsString="0" minDate="1998-05-10T00:00:00" maxDate="2026-01-08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Gold Membership"/>
        <s v="Organizational Membership"/>
        <s v="Benefactor Membership"/>
      </sharedItems>
    </cacheField>
    <cacheField name="Paid_Month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83.385935648148" backgroundQuery="1" createdVersion="8" refreshedVersion="8" minRefreshableVersion="3" recordCount="0" supportSubquery="1" supportAdvancedDrill="1" xr:uid="{3F7D1F73-C59D-4C83-93E5-F04B253C42FE}">
  <cacheSource type="external" connectionId="5"/>
  <cacheFields count="2">
    <cacheField name="[Accounts_with_Mem_and_Receipts].[Account Category].[Account Category]" caption="Account Category" numFmtId="0" hierarchy="6" level="1">
      <sharedItems count="3">
        <s v="Consultant"/>
        <s v="Government/Professional Associations/Academic Institution"/>
        <s v="Supplier/Vendor"/>
      </sharedItems>
    </cacheField>
    <cacheField name="[Measures].[Sum of Total 2]" caption="Sum of Total 2" numFmtId="0" hierarchy="25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2" memberValueDatatype="130" unbalanced="0">
      <fieldsUsage count="2">
        <fieldUsage x="-1"/>
        <fieldUsage x="0"/>
      </fieldsUsage>
    </cacheHierarchy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81453.33"/>
  </r>
  <r>
    <x v="1"/>
    <n v="281453.33"/>
  </r>
  <r>
    <x v="2"/>
    <n v="281453.33"/>
  </r>
  <r>
    <x v="3"/>
    <n v="281453.33"/>
  </r>
  <r>
    <x v="4"/>
    <n v="281453.33"/>
  </r>
  <r>
    <x v="5"/>
    <n v="281453.33"/>
  </r>
  <r>
    <x v="6"/>
    <n v="281453.33"/>
  </r>
  <r>
    <x v="7"/>
    <n v="281453.33"/>
  </r>
  <r>
    <x v="8"/>
    <n v="281453.33"/>
  </r>
  <r>
    <x v="9"/>
    <n v="281453.33"/>
  </r>
  <r>
    <x v="10"/>
    <n v="281453.33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300"/>
  </r>
  <r>
    <x v="1"/>
    <n v="9300"/>
  </r>
  <r>
    <x v="2"/>
    <n v="110573.8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m/>
    <m/>
    <m/>
    <m/>
    <m/>
    <m/>
    <m/>
    <m/>
    <m/>
    <m/>
    <x v="0"/>
  </r>
  <r>
    <s v="Confidential Information - Do Not Distribute"/>
    <m/>
    <m/>
    <m/>
    <m/>
    <m/>
    <m/>
    <m/>
    <m/>
    <m/>
    <x v="0"/>
  </r>
  <r>
    <s v="Copyright © 2000-2026 salesforce.com, inc. All rights reserved."/>
    <m/>
    <m/>
    <m/>
    <m/>
    <m/>
    <m/>
    <m/>
    <m/>
    <m/>
    <x v="0"/>
  </r>
  <r>
    <s v="Daniel Ries Household"/>
    <n v="100"/>
    <d v="2026-02-16T00:00:00"/>
    <n v="18946"/>
    <n v="44978"/>
    <d v="2023-01-01T00:00:00"/>
    <s v=""/>
    <s v="United States"/>
    <s v="Retiree Membership"/>
    <n v="2"/>
    <x v="1"/>
  </r>
  <r>
    <s v="Ken McCaslin Household"/>
    <n v="100"/>
    <d v="2026-02-11T00:00:00"/>
    <n v="18927"/>
    <n v="44951"/>
    <d v="1996-01-01T00:00:00"/>
    <s v=""/>
    <s v="United States"/>
    <s v="Retiree Membership"/>
    <n v="2"/>
    <x v="2"/>
  </r>
  <r>
    <s v="Patient Centric Solutions"/>
    <n v="460.04"/>
    <d v="2026-01-09T00:00:00"/>
    <n v="18491"/>
    <n v="44373"/>
    <d v="2025-01-01T00:00:00"/>
    <s v="Supplier/Vendor"/>
    <s v="United States"/>
    <s v="Organizational Membership"/>
    <n v="1"/>
    <x v="1"/>
  </r>
  <r>
    <s v="Beata Piehl Household"/>
    <n v="775"/>
    <d v="2026-01-11T00:00:00"/>
    <n v="18551"/>
    <n v="44438"/>
    <d v="2024-01-01T00:00:00"/>
    <s v=""/>
    <s v=""/>
    <s v="Individual Membership"/>
    <n v="1"/>
    <x v="1"/>
  </r>
  <r>
    <s v="Bellese Technologies"/>
    <n v="775"/>
    <d v="2026-01-05T00:00:00"/>
    <n v="18371"/>
    <n v="44227"/>
    <d v="2021-01-01T00:00:00"/>
    <s v=""/>
    <s v="United States"/>
    <s v="Individual Membership"/>
    <n v="1"/>
    <x v="3"/>
  </r>
  <r>
    <s v="CSIRO"/>
    <n v="775"/>
    <d v="2026-01-12T00:00:00"/>
    <n v="18605"/>
    <n v="44503"/>
    <d v="2026-01-01T00:00:00"/>
    <s v=""/>
    <s v="Australia"/>
    <s v="Individual Membership"/>
    <n v="1"/>
    <x v="1"/>
  </r>
  <r>
    <s v="Dennis Loucks Household"/>
    <n v="775"/>
    <d v="2026-01-31T00:00:00"/>
    <n v="18840"/>
    <n v="44813"/>
    <d v="2021-01-01T00:00:00"/>
    <s v=""/>
    <s v=""/>
    <s v="Individual Membership"/>
    <n v="1"/>
    <x v="3"/>
  </r>
  <r>
    <s v="Donald Kurtz Household"/>
    <n v="775"/>
    <d v="2026-01-30T00:00:00"/>
    <n v="18833"/>
    <n v="44806"/>
    <d v="2026-01-01T00:00:00"/>
    <s v=""/>
    <s v="United States"/>
    <s v="Individual Membership"/>
    <n v="1"/>
    <x v="1"/>
  </r>
  <r>
    <s v="First Databank"/>
    <n v="775"/>
    <d v="2026-01-21T00:00:00"/>
    <n v="18708"/>
    <n v="44608"/>
    <d v="2015-01-01T00:00:00"/>
    <s v="Supplier/Vendor"/>
    <s v="United States"/>
    <s v="Individual Membership"/>
    <n v="1"/>
    <x v="4"/>
  </r>
  <r>
    <s v="Glen Rigby Household"/>
    <n v="775"/>
    <d v="2026-02-27T00:00:00"/>
    <n v="19083"/>
    <n v="45165"/>
    <d v="2026-01-01T00:00:00"/>
    <s v=""/>
    <s v="United States"/>
    <s v="Individual Membership"/>
    <n v="2"/>
    <x v="1"/>
  </r>
  <r>
    <s v="John Moehrke Household"/>
    <n v="775"/>
    <d v="2026-01-06T00:00:00"/>
    <n v="18392"/>
    <n v="44254"/>
    <d v="2026-01-01T00:00:00"/>
    <s v=""/>
    <s v="United States"/>
    <s v="Individual Membership"/>
    <n v="1"/>
    <x v="1"/>
  </r>
  <r>
    <s v="Mark Marciante Household"/>
    <n v="775"/>
    <d v="2026-02-02T00:00:00"/>
    <n v="18853"/>
    <n v="44825"/>
    <d v="2024-01-01T00:00:00"/>
    <s v=""/>
    <s v=""/>
    <s v="Individual Membership"/>
    <n v="2"/>
    <x v="1"/>
  </r>
  <r>
    <s v="Ryan Lee Household"/>
    <n v="775"/>
    <d v="2026-01-12T00:00:00"/>
    <n v="18585"/>
    <n v="44482"/>
    <d v="2026-01-01T00:00:00"/>
    <s v=""/>
    <s v="United States"/>
    <s v="Individual Membership"/>
    <n v="1"/>
    <x v="1"/>
  </r>
  <r>
    <s v="Ryan Weihler Household"/>
    <n v="775"/>
    <d v="2026-02-17T00:00:00"/>
    <n v="18965"/>
    <n v="45000"/>
    <d v="2023-01-01T00:00:00"/>
    <s v=""/>
    <s v="United States"/>
    <s v="Individual Membership"/>
    <n v="2"/>
    <x v="1"/>
  </r>
  <r>
    <s v="Sam Schifman Household"/>
    <n v="775"/>
    <d v="2026-01-21T00:00:00"/>
    <n v="18695"/>
    <n v="44595"/>
    <d v="2025-01-01T00:00:00"/>
    <s v=""/>
    <s v=""/>
    <s v="Individual Membership"/>
    <n v="1"/>
    <x v="1"/>
  </r>
  <r>
    <s v="Sandy Vance Household"/>
    <n v="775"/>
    <d v="2026-01-07T00:00:00"/>
    <n v="18418"/>
    <n v="44298"/>
    <d v="2023-01-01T00:00:00"/>
    <s v=""/>
    <s v="United States"/>
    <s v="Individual Membership"/>
    <n v="1"/>
    <x v="1"/>
  </r>
  <r>
    <s v="Srinivasan Parthasarathy Household"/>
    <n v="775"/>
    <d v="2026-02-02T00:00:00"/>
    <n v="18845"/>
    <n v="44817"/>
    <d v="2026-01-01T00:00:00"/>
    <s v=""/>
    <s v="United States"/>
    <s v="Individual Membership"/>
    <n v="2"/>
    <x v="1"/>
  </r>
  <r>
    <s v="Stan Rankins Household"/>
    <n v="775"/>
    <d v="2026-02-03T00:00:00"/>
    <n v="18862"/>
    <n v="44835"/>
    <d v="2026-01-01T00:00:00"/>
    <s v=""/>
    <s v="United States"/>
    <s v="Individual Membership"/>
    <n v="2"/>
    <x v="1"/>
  </r>
  <r>
    <s v="Toshiaki Kato Household"/>
    <n v="775"/>
    <d v="2026-01-28T00:00:00"/>
    <n v="18774"/>
    <n v="44713"/>
    <d v="2026-01-01T00:00:00"/>
    <s v=""/>
    <s v="Japan"/>
    <s v="Individual Membership"/>
    <n v="1"/>
    <x v="1"/>
  </r>
  <r>
    <s v="HL7 Ecuador"/>
    <n v="1000"/>
    <d v="2026-02-26T00:00:00"/>
    <n v="19043"/>
    <n v="45122"/>
    <d v="2024-01-01T00:00:00"/>
    <s v=""/>
    <s v="Ecuador"/>
    <s v="Affiliate Membership"/>
    <n v="2"/>
    <x v="1"/>
  </r>
  <r>
    <s v="College of American Pathologists"/>
    <n v="1545"/>
    <d v="2026-01-20T00:00:00"/>
    <n v="18678"/>
    <n v="44578"/>
    <d v="2010-01-01T00:00:00"/>
    <s v="Government/Professional Associations/Academic Institution"/>
    <s v="United States"/>
    <s v="Organizational Membership"/>
    <n v="1"/>
    <x v="5"/>
  </r>
  <r>
    <s v="Dataware Sdn Bhd"/>
    <n v="1545"/>
    <d v="2026-02-09T00:00:00"/>
    <n v="18914"/>
    <n v="44907"/>
    <d v="2012-01-01T00:00:00"/>
    <s v="Supplier/Vendor"/>
    <s v="Malaysia"/>
    <s v="Organizational Membership"/>
    <n v="2"/>
    <x v="5"/>
  </r>
  <r>
    <s v="ICCBBA, Inc."/>
    <n v="1545"/>
    <d v="2026-02-06T00:00:00"/>
    <n v="18891"/>
    <n v="44881"/>
    <d v="2000-01-01T00:00:00"/>
    <s v="Government/Professional Associations/Academic Institution"/>
    <s v="United States"/>
    <s v="Organizational Membership"/>
    <n v="2"/>
    <x v="2"/>
  </r>
  <r>
    <s v="KlearTrust"/>
    <n v="1545"/>
    <d v="2026-01-29T00:00:00"/>
    <n v="18802"/>
    <n v="44761"/>
    <d v="2024-01-01T00:00:00"/>
    <s v="Supplier/Vendor"/>
    <s v="United States"/>
    <s v="Organizational Membership"/>
    <n v="1"/>
    <x v="1"/>
  </r>
  <r>
    <s v="National Association of Dental Plans"/>
    <n v="1545"/>
    <d v="2026-01-15T00:00:00"/>
    <n v="18652"/>
    <n v="44550"/>
    <d v="2006-01-01T00:00:00"/>
    <s v="Government/Professional Associations/Academic Institution"/>
    <s v="United States"/>
    <s v="Organizational Membership"/>
    <n v="1"/>
    <x v="2"/>
  </r>
  <r>
    <s v="Professional Laboratory Management, Inc."/>
    <n v="1545"/>
    <d v="2026-01-05T00:00:00"/>
    <n v="18359"/>
    <n v="44215"/>
    <d v="2010-01-01T00:00:00"/>
    <s v="Consultant"/>
    <s v="United States"/>
    <s v="Organizational Membership"/>
    <n v="1"/>
    <x v="5"/>
  </r>
  <r>
    <s v="SLI Compliance"/>
    <n v="1545"/>
    <d v="2026-01-13T00:00:00"/>
    <n v="18620"/>
    <n v="44519"/>
    <d v="2013-01-01T00:00:00"/>
    <s v="Government/Professional Associations/Academic Institution"/>
    <s v="United States"/>
    <s v="Organizational Membership"/>
    <n v="1"/>
    <x v="4"/>
  </r>
  <r>
    <s v="SandwYch, Inc."/>
    <n v="1545"/>
    <d v="2026-01-07T00:00:00"/>
    <n v="18421"/>
    <n v="44301"/>
    <d v="2026-01-01T00:00:00"/>
    <s v="Supplier/Vendor"/>
    <s v="United States"/>
    <s v="Organizational Membership"/>
    <n v="1"/>
    <x v="1"/>
  </r>
  <r>
    <s v="Stedi"/>
    <n v="1545"/>
    <d v="2026-02-16T00:00:00"/>
    <n v="18947"/>
    <n v="44979"/>
    <d v="2021-01-01T00:00:00"/>
    <s v="Supplier/Vendor"/>
    <s v="United States"/>
    <s v="Organizational Membership"/>
    <n v="2"/>
    <x v="3"/>
  </r>
  <r>
    <s v="Tetra Fields LLC"/>
    <n v="1545"/>
    <d v="2026-01-20T00:00:00"/>
    <n v="18683"/>
    <n v="44583"/>
    <d v="2025-01-01T00:00:00"/>
    <s v="Supplier/Vendor"/>
    <s v="United States"/>
    <s v="Organizational Membership"/>
    <n v="1"/>
    <x v="1"/>
  </r>
  <r>
    <s v="American Dental Association"/>
    <n v="1620"/>
    <d v="2026-02-19T00:00:00"/>
    <n v="18996"/>
    <n v="45039"/>
    <d v="2012-01-01T00:00:00"/>
    <s v="Government/Professional Associations/Academic Institution"/>
    <s v="United States"/>
    <s v="Organizational Membership"/>
    <n v="2"/>
    <x v="5"/>
  </r>
  <r>
    <s v="Acre Security"/>
    <n v="1905"/>
    <d v="2026-02-13T00:00:00"/>
    <n v="18941"/>
    <n v="44973"/>
    <d v="2022-01-01T00:00:00"/>
    <s v="Supplier/Vendor"/>
    <s v="United States"/>
    <s v="Gold Membership"/>
    <n v="2"/>
    <x v="1"/>
  </r>
  <r>
    <s v="CAL2CAL Corporation"/>
    <n v="1905"/>
    <d v="2026-02-09T00:00:00"/>
    <n v="18906"/>
    <n v="44895"/>
    <d v="2003-01-01T00:00:00"/>
    <s v="Supplier/Vendor"/>
    <s v="United States"/>
    <s v="Gold Membership"/>
    <n v="2"/>
    <x v="2"/>
  </r>
  <r>
    <s v="Firely USA"/>
    <n v="1905"/>
    <d v="2026-01-08T00:00:00"/>
    <n v="18444"/>
    <n v="44327"/>
    <d v="2024-01-01T00:00:00"/>
    <s v="Supplier/Vendor"/>
    <s v="United States"/>
    <s v="Gold Membership"/>
    <n v="1"/>
    <x v="1"/>
  </r>
  <r>
    <s v="HIMSS"/>
    <n v="1905"/>
    <d v="2026-02-02T00:00:00"/>
    <n v="18850"/>
    <n v="44822"/>
    <d v="2009-01-01T00:00:00"/>
    <s v="Government/Professional Associations/Academic Institution"/>
    <s v="United States"/>
    <s v="Gold Membership"/>
    <n v="2"/>
    <x v="5"/>
  </r>
  <r>
    <s v="Massachusetts Health Data Consortium"/>
    <n v="1905"/>
    <d v="2026-02-17T00:00:00"/>
    <n v="18958"/>
    <n v="44993"/>
    <d v="2020-01-01T00:00:00"/>
    <s v="Government/Professional Associations/Academic Institution"/>
    <s v="United States"/>
    <s v="Gold Membership"/>
    <n v="2"/>
    <x v="3"/>
  </r>
  <r>
    <s v="MyDirectives"/>
    <n v="1905"/>
    <d v="2026-01-22T00:00:00"/>
    <n v="18717"/>
    <n v="44617"/>
    <d v="2018-01-01T00:00:00"/>
    <s v="Supplier/Vendor"/>
    <s v="United States"/>
    <s v="Gold Membership"/>
    <n v="1"/>
    <x v="3"/>
  </r>
  <r>
    <s v="Univ of TX Health Science Center San Antonio"/>
    <n v="1905"/>
    <d v="2026-02-16T00:00:00"/>
    <n v="18949"/>
    <n v="44981"/>
    <d v="2020-01-01T00:00:00"/>
    <s v="Government/Professional Associations/Academic Institution"/>
    <s v="United States"/>
    <s v="Gold Membership"/>
    <n v="2"/>
    <x v="3"/>
  </r>
  <r>
    <s v="Regenstrief Institute, Inc."/>
    <n v="2160"/>
    <d v="2026-02-18T00:00:00"/>
    <n v="18975"/>
    <n v="45010"/>
    <d v="1998-01-01T00:00:00"/>
    <s v="Provider"/>
    <s v="United States"/>
    <s v="Gold Membership"/>
    <n v="2"/>
    <x v="2"/>
  </r>
  <r>
    <s v="Apelon, Inc."/>
    <n v="2370"/>
    <d v="2026-01-13T00:00:00"/>
    <n v="18613"/>
    <n v="44511"/>
    <d v="2003-01-01T00:00:00"/>
    <s v="Supplier/Vendor"/>
    <s v="United States"/>
    <s v="Organizational Membership"/>
    <n v="1"/>
    <x v="2"/>
  </r>
  <r>
    <s v="MedicaSoft"/>
    <n v="2370"/>
    <d v="2026-01-20T00:00:00"/>
    <n v="18672"/>
    <n v="44570"/>
    <d v="2014-01-01T00:00:00"/>
    <s v="Supplier/Vendor"/>
    <s v="United States"/>
    <s v="Organizational Membership"/>
    <n v="1"/>
    <x v="4"/>
  </r>
  <r>
    <s v="Tennessee Department of Health"/>
    <n v="2680"/>
    <d v="2026-01-16T00:00:00"/>
    <n v="18656"/>
    <n v="44554"/>
    <d v="2001-01-01T00:00:00"/>
    <s v="Government/Professional Associations/Academic Institution"/>
    <s v="United States"/>
    <s v="Organizational Membership"/>
    <n v="1"/>
    <x v="2"/>
  </r>
  <r>
    <s v="Virginia Department of Health"/>
    <n v="2680"/>
    <d v="2026-01-16T00:00:00"/>
    <n v="18660"/>
    <n v="44559"/>
    <d v="2011-01-01T00:00:00"/>
    <s v="Government/Professional Associations/Academic Institution"/>
    <s v="United States"/>
    <s v="Organizational Membership"/>
    <n v="1"/>
    <x v="5"/>
  </r>
  <r>
    <s v="West Virginia Departments of Human Services, Health and Health Facilities"/>
    <n v="2680"/>
    <d v="2026-01-30T00:00:00"/>
    <n v="18826"/>
    <n v="44799"/>
    <d v="2017-01-01T00:00:00"/>
    <s v="Government/Professional Associations/Academic Institution"/>
    <s v="United States"/>
    <s v="Organizational Membership"/>
    <n v="1"/>
    <x v="4"/>
  </r>
  <r>
    <s v="New Fields Technologies LLC"/>
    <n v="2990"/>
    <d v="2026-01-23T00:00:00"/>
    <n v="18722"/>
    <n v="44622"/>
    <d v="2025-01-01T00:00:00"/>
    <s v="Supplier/Vendor"/>
    <s v="United States"/>
    <s v="Gold Membership"/>
    <n v="1"/>
    <x v="1"/>
  </r>
  <r>
    <s v="Onyx Technology LLC"/>
    <n v="2990"/>
    <d v="2026-01-09T00:00:00"/>
    <n v="18479"/>
    <n v="44361"/>
    <d v="2021-01-01T00:00:00"/>
    <s v="Supplier/Vendor"/>
    <s v="United States"/>
    <s v="Gold Membership"/>
    <n v="1"/>
    <x v="3"/>
  </r>
  <r>
    <s v="Indian Health Service"/>
    <n v="5460"/>
    <d v="2026-01-15T00:00:00"/>
    <n v="18650"/>
    <n v="44548"/>
    <d v="2009-01-01T00:00:00"/>
    <s v="Government/Professional Associations/Academic Institution"/>
    <s v="United States"/>
    <s v="Organizational Membership"/>
    <n v="1"/>
    <x v="5"/>
  </r>
  <r>
    <s v="Blue Cross Blue Shield Association"/>
    <n v="5770"/>
    <d v="2026-02-11T00:00:00"/>
    <n v="18923"/>
    <n v="44942"/>
    <d v="1999-01-01T00:00:00"/>
    <s v="Payer"/>
    <s v="United States"/>
    <s v="Organizational Membership"/>
    <n v="2"/>
    <x v="2"/>
  </r>
  <r>
    <s v="CyncHealth"/>
    <n v="7210"/>
    <d v="2026-02-06T00:00:00"/>
    <n v="18957"/>
    <n v="44992"/>
    <d v="2023-01-01T00:00:00"/>
    <s v="Provider"/>
    <s v="United States"/>
    <s v="Organizational Membership"/>
    <n v="2"/>
    <x v="1"/>
  </r>
  <r>
    <s v="HL7 Norway"/>
    <n v="8456.1"/>
    <d v="2026-02-17T00:00:00"/>
    <n v="18962"/>
    <n v="44997"/>
    <d v="2010-01-01T00:00:00"/>
    <s v=""/>
    <s v="Norway"/>
    <s v="Affiliate Membership"/>
    <n v="2"/>
    <x v="5"/>
  </r>
  <r>
    <s v="Flatiron Health"/>
    <n v="9685"/>
    <d v="2026-01-30T00:00:00"/>
    <n v="18825"/>
    <n v="44798"/>
    <d v="2015-01-01T00:00:00"/>
    <s v="Supplier/Vendor"/>
    <s v="United States"/>
    <s v="Organizational Membership"/>
    <n v="1"/>
    <x v="4"/>
  </r>
  <r>
    <s v="Children's Hospital of Philadelphia"/>
    <n v="9990"/>
    <d v="2026-02-20T00:00:00"/>
    <n v="18993"/>
    <n v="45036"/>
    <d v="2009-01-01T00:00:00"/>
    <s v="Provider"/>
    <s v="United States"/>
    <s v="Organizational Membership"/>
    <n v="2"/>
    <x v="5"/>
  </r>
  <r>
    <s v="Johns Hopkins Hospital"/>
    <n v="14420"/>
    <d v="2026-02-02T00:00:00"/>
    <n v="18849"/>
    <n v="44821"/>
    <d v="2003-01-01T00:00:00"/>
    <s v="Provider"/>
    <s v="United States"/>
    <s v="Organizational Membership"/>
    <n v="2"/>
    <x v="2"/>
  </r>
  <r>
    <s v="MEDENT"/>
    <n v="16175"/>
    <d v="2026-02-20T00:00:00"/>
    <n v="18994"/>
    <n v="45037"/>
    <d v="2010-01-01T00:00:00"/>
    <s v="Supplier/Vendor"/>
    <s v="United States"/>
    <s v="Organizational Membership"/>
    <n v="2"/>
    <x v="5"/>
  </r>
  <r>
    <s v="Ready Computing LLC"/>
    <n v="21630"/>
    <d v="2026-02-09T00:00:00"/>
    <n v="18908"/>
    <n v="44897"/>
    <d v="2015-01-01T00:00:00"/>
    <s v="Supplier/Vendor"/>
    <s v="United States"/>
    <s v="Benefactor Membership"/>
    <n v="2"/>
    <x v="4"/>
  </r>
  <r>
    <s v="Becton Dickinson"/>
    <n v="23375"/>
    <d v="2026-02-19T00:00:00"/>
    <n v="18995"/>
    <n v="45038"/>
    <d v="2015-01-01T00:00:00"/>
    <s v="Supplier/Vendor"/>
    <s v="United States"/>
    <s v="Organizational Membership"/>
    <n v="2"/>
    <x v="4"/>
  </r>
  <r>
    <s v="Fresenius Vial"/>
    <n v="23375"/>
    <d v="2026-02-02T00:00:00"/>
    <n v="18851"/>
    <n v="44823"/>
    <d v="2013-01-01T00:00:00"/>
    <s v="Supplier/Vendor"/>
    <s v="France"/>
    <s v="Organizational Membership"/>
    <n v="2"/>
    <x v="4"/>
  </r>
  <r>
    <s v="ICF"/>
    <n v="23375"/>
    <d v="2026-01-26T00:00:00"/>
    <n v="18752"/>
    <n v="44676"/>
    <d v="2012-01-01T00:00:00"/>
    <s v="Consultant"/>
    <s v="United States"/>
    <s v="Organizational Membership"/>
    <n v="1"/>
    <x v="5"/>
  </r>
  <r>
    <s v="Roche Diagnostics International Ltd."/>
    <n v="23375"/>
    <d v="2026-02-13T00:00:00"/>
    <n v="18940"/>
    <n v="44972"/>
    <d v="2013-01-01T00:00:00"/>
    <s v="Supplier/Vendor"/>
    <s v="Switzerland"/>
    <s v="Organizational Membership"/>
    <n v="2"/>
    <x v="4"/>
  </r>
  <r>
    <s v="Surescripts"/>
    <n v="23375"/>
    <d v="2026-02-27T00:00:00"/>
    <n v="19076"/>
    <n v="45158"/>
    <d v="2002-01-01T00:00:00"/>
    <s v="Supplier/Vendor"/>
    <s v="United States"/>
    <s v="Organizational Membership"/>
    <n v="2"/>
    <x v="2"/>
  </r>
  <r>
    <s v="Epic"/>
    <n v="38100"/>
    <d v="2026-01-26T00:00:00"/>
    <n v="18755"/>
    <n v="44679"/>
    <d v="1998-01-01T00:00:00"/>
    <s v="Supplier/Vendor"/>
    <s v="United States"/>
    <s v="Benefactor Membership"/>
    <n v="1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m/>
    <x v="0"/>
    <m/>
    <m/>
    <m/>
    <m/>
    <m/>
    <x v="0"/>
    <m/>
  </r>
  <r>
    <x v="0"/>
    <m/>
    <x v="0"/>
    <m/>
    <m/>
    <m/>
    <m/>
    <m/>
    <x v="0"/>
    <m/>
  </r>
  <r>
    <x v="1"/>
    <n v="1905"/>
    <x v="1"/>
    <n v="18941"/>
    <n v="44973"/>
    <d v="2022-01-10T00:00:00"/>
    <s v="Supplier/Vendor"/>
    <s v="United States"/>
    <x v="1"/>
    <n v="2"/>
  </r>
  <r>
    <x v="2"/>
    <n v="1620"/>
    <x v="2"/>
    <n v="18996"/>
    <n v="45039"/>
    <d v="2012-03-08T00:00:00"/>
    <s v="Government/Professional Associations/Academic Institution"/>
    <s v="United States"/>
    <x v="2"/>
    <n v="2"/>
  </r>
  <r>
    <x v="3"/>
    <n v="2370"/>
    <x v="3"/>
    <n v="18613"/>
    <n v="44511"/>
    <d v="2003-08-06T00:00:00"/>
    <s v="Supplier/Vendor"/>
    <s v="United States"/>
    <x v="2"/>
    <n v="1"/>
  </r>
  <r>
    <x v="4"/>
    <n v="775"/>
    <x v="4"/>
    <n v="18551"/>
    <n v="44438"/>
    <d v="2024-04-03T00:00:00"/>
    <s v=""/>
    <s v=""/>
    <x v="3"/>
    <n v="1"/>
  </r>
  <r>
    <x v="5"/>
    <n v="23375"/>
    <x v="2"/>
    <n v="18995"/>
    <n v="45038"/>
    <d v="2015-10-20T00:00:00"/>
    <s v="Supplier/Vendor"/>
    <s v="United States"/>
    <x v="2"/>
    <n v="2"/>
  </r>
  <r>
    <x v="6"/>
    <n v="775"/>
    <x v="5"/>
    <n v="18371"/>
    <n v="44227"/>
    <d v="2021-08-25T00:00:00"/>
    <s v=""/>
    <s v="United States"/>
    <x v="3"/>
    <n v="1"/>
  </r>
  <r>
    <x v="7"/>
    <n v="5770"/>
    <x v="6"/>
    <n v="18923"/>
    <n v="44942"/>
    <d v="1999-07-19T00:00:00"/>
    <s v="Payer"/>
    <s v="United States"/>
    <x v="2"/>
    <n v="2"/>
  </r>
  <r>
    <x v="8"/>
    <n v="1905"/>
    <x v="7"/>
    <n v="18906"/>
    <n v="44895"/>
    <d v="2003-04-14T00:00:00"/>
    <s v="Supplier/Vendor"/>
    <s v="United States"/>
    <x v="1"/>
    <n v="2"/>
  </r>
  <r>
    <x v="9"/>
    <n v="775"/>
    <x v="8"/>
    <n v="18605"/>
    <n v="44503"/>
    <d v="2026-01-12T00:00:00"/>
    <s v=""/>
    <s v="Australia"/>
    <x v="3"/>
    <n v="1"/>
  </r>
  <r>
    <x v="10"/>
    <n v="9990"/>
    <x v="9"/>
    <n v="18993"/>
    <n v="45036"/>
    <d v="2009-06-19T00:00:00"/>
    <s v="Provider"/>
    <s v="United States"/>
    <x v="2"/>
    <n v="2"/>
  </r>
  <r>
    <x v="11"/>
    <n v="1545"/>
    <x v="10"/>
    <n v="18678"/>
    <n v="44578"/>
    <d v="2010-01-01T00:00:00"/>
    <s v="Government/Professional Associations/Academic Institution"/>
    <s v="United States"/>
    <x v="2"/>
    <n v="1"/>
  </r>
  <r>
    <x v="12"/>
    <m/>
    <x v="0"/>
    <m/>
    <m/>
    <m/>
    <m/>
    <m/>
    <x v="0"/>
    <m/>
  </r>
  <r>
    <x v="13"/>
    <m/>
    <x v="0"/>
    <m/>
    <m/>
    <m/>
    <m/>
    <m/>
    <x v="0"/>
    <m/>
  </r>
  <r>
    <x v="14"/>
    <n v="7210"/>
    <x v="11"/>
    <n v="18957"/>
    <n v="44992"/>
    <d v="2023-08-30T00:00:00"/>
    <s v="Provider"/>
    <s v="United States"/>
    <x v="2"/>
    <n v="2"/>
  </r>
  <r>
    <x v="15"/>
    <n v="100"/>
    <x v="12"/>
    <n v="18946"/>
    <n v="44978"/>
    <d v="2023-02-02T00:00:00"/>
    <s v=""/>
    <s v="United States"/>
    <x v="4"/>
    <n v="2"/>
  </r>
  <r>
    <x v="16"/>
    <n v="1545"/>
    <x v="7"/>
    <n v="18914"/>
    <n v="44907"/>
    <d v="2012-08-16T00:00:00"/>
    <s v="Supplier/Vendor"/>
    <s v="Malaysia"/>
    <x v="2"/>
    <n v="2"/>
  </r>
  <r>
    <x v="17"/>
    <n v="775"/>
    <x v="13"/>
    <n v="18840"/>
    <n v="44813"/>
    <d v="2021-12-16T00:00:00"/>
    <s v=""/>
    <s v=""/>
    <x v="3"/>
    <n v="1"/>
  </r>
  <r>
    <x v="18"/>
    <n v="775"/>
    <x v="14"/>
    <n v="18833"/>
    <n v="44806"/>
    <d v="2026-01-30T00:00:00"/>
    <s v=""/>
    <s v="United States"/>
    <x v="3"/>
    <n v="1"/>
  </r>
  <r>
    <x v="19"/>
    <n v="38100"/>
    <x v="15"/>
    <n v="18755"/>
    <n v="44679"/>
    <d v="1998-05-10T00:00:00"/>
    <s v="Supplier/Vendor"/>
    <s v="United States"/>
    <x v="5"/>
    <n v="1"/>
  </r>
  <r>
    <x v="20"/>
    <n v="1905"/>
    <x v="16"/>
    <n v="18444"/>
    <n v="44327"/>
    <d v="2024-02-19T00:00:00"/>
    <s v="Supplier/Vendor"/>
    <s v="United States"/>
    <x v="1"/>
    <n v="1"/>
  </r>
  <r>
    <x v="21"/>
    <n v="775"/>
    <x v="17"/>
    <n v="18708"/>
    <n v="44608"/>
    <d v="2015-02-03T00:00:00"/>
    <s v="Supplier/Vendor"/>
    <s v="United States"/>
    <x v="3"/>
    <n v="1"/>
  </r>
  <r>
    <x v="22"/>
    <n v="9685"/>
    <x v="14"/>
    <n v="18825"/>
    <n v="44798"/>
    <d v="2015-05-20T00:00:00"/>
    <s v="Supplier/Vendor"/>
    <s v="United States"/>
    <x v="2"/>
    <n v="1"/>
  </r>
  <r>
    <x v="23"/>
    <n v="23375"/>
    <x v="18"/>
    <n v="18851"/>
    <n v="44823"/>
    <d v="2013-10-11T00:00:00"/>
    <s v="Supplier/Vendor"/>
    <s v="France"/>
    <x v="2"/>
    <n v="2"/>
  </r>
  <r>
    <x v="24"/>
    <n v="775"/>
    <x v="19"/>
    <n v="19083"/>
    <n v="45165"/>
    <d v="2026-02-27T00:00:00"/>
    <s v=""/>
    <s v="United States"/>
    <x v="3"/>
    <n v="2"/>
  </r>
  <r>
    <x v="25"/>
    <n v="1905"/>
    <x v="18"/>
    <n v="18850"/>
    <n v="44822"/>
    <d v="2009-09-11T00:00:00"/>
    <s v="Government/Professional Associations/Academic Institution"/>
    <s v="United States"/>
    <x v="1"/>
    <n v="2"/>
  </r>
  <r>
    <x v="26"/>
    <n v="1000"/>
    <x v="20"/>
    <n v="19043"/>
    <n v="45122"/>
    <d v="2024-06-19T00:00:00"/>
    <s v=""/>
    <s v="Ecuador"/>
    <x v="6"/>
    <n v="2"/>
  </r>
  <r>
    <x v="27"/>
    <n v="8456.1"/>
    <x v="21"/>
    <n v="18962"/>
    <n v="44997"/>
    <d v="2010-04-15T00:00:00"/>
    <s v=""/>
    <s v="Norway"/>
    <x v="6"/>
    <n v="2"/>
  </r>
  <r>
    <x v="28"/>
    <n v="1545"/>
    <x v="11"/>
    <n v="18891"/>
    <n v="44881"/>
    <d v="2000-02-14T00:00:00"/>
    <s v="Government/Professional Associations/Academic Institution"/>
    <s v="United States"/>
    <x v="2"/>
    <n v="2"/>
  </r>
  <r>
    <x v="29"/>
    <n v="23375"/>
    <x v="15"/>
    <n v="18752"/>
    <n v="44676"/>
    <d v="2012-12-13T00:00:00"/>
    <s v="Consultant"/>
    <s v="United States"/>
    <x v="2"/>
    <n v="1"/>
  </r>
  <r>
    <x v="30"/>
    <n v="5460"/>
    <x v="22"/>
    <n v="18650"/>
    <n v="44548"/>
    <d v="2009-06-25T00:00:00"/>
    <s v="Government/Professional Associations/Academic Institution"/>
    <s v="United States"/>
    <x v="2"/>
    <n v="1"/>
  </r>
  <r>
    <x v="31"/>
    <n v="775"/>
    <x v="23"/>
    <n v="18392"/>
    <n v="44254"/>
    <d v="2026-01-06T00:00:00"/>
    <s v=""/>
    <s v="United States"/>
    <x v="3"/>
    <n v="1"/>
  </r>
  <r>
    <x v="32"/>
    <n v="14420"/>
    <x v="18"/>
    <n v="18849"/>
    <n v="44821"/>
    <d v="2003-12-08T00:00:00"/>
    <s v="Provider"/>
    <s v="United States"/>
    <x v="2"/>
    <n v="2"/>
  </r>
  <r>
    <x v="33"/>
    <n v="100"/>
    <x v="6"/>
    <n v="18927"/>
    <n v="44951"/>
    <d v="1996-08-15T00:00:00"/>
    <s v=""/>
    <s v="United States"/>
    <x v="4"/>
    <n v="2"/>
  </r>
  <r>
    <x v="34"/>
    <n v="1545"/>
    <x v="24"/>
    <n v="18802"/>
    <n v="44761"/>
    <d v="2024-01-12T00:00:00"/>
    <s v="Supplier/Vendor"/>
    <s v="United States"/>
    <x v="2"/>
    <n v="1"/>
  </r>
  <r>
    <x v="35"/>
    <n v="16175"/>
    <x v="9"/>
    <n v="18994"/>
    <n v="45037"/>
    <d v="2010-01-27T00:00:00"/>
    <s v="Supplier/Vendor"/>
    <s v="United States"/>
    <x v="2"/>
    <n v="2"/>
  </r>
  <r>
    <x v="36"/>
    <n v="775"/>
    <x v="18"/>
    <n v="18853"/>
    <n v="44825"/>
    <d v="2024-02-22T00:00:00"/>
    <s v=""/>
    <s v=""/>
    <x v="3"/>
    <n v="2"/>
  </r>
  <r>
    <x v="37"/>
    <n v="1905"/>
    <x v="21"/>
    <n v="18958"/>
    <n v="44993"/>
    <d v="2020-05-15T00:00:00"/>
    <s v="Government/Professional Associations/Academic Institution"/>
    <s v="United States"/>
    <x v="1"/>
    <n v="2"/>
  </r>
  <r>
    <x v="38"/>
    <n v="2370"/>
    <x v="10"/>
    <n v="18672"/>
    <n v="44570"/>
    <d v="2014-12-15T00:00:00"/>
    <s v="Supplier/Vendor"/>
    <s v="United States"/>
    <x v="2"/>
    <n v="1"/>
  </r>
  <r>
    <x v="39"/>
    <n v="1905"/>
    <x v="25"/>
    <n v="18717"/>
    <n v="44617"/>
    <d v="2018-12-31T00:00:00"/>
    <s v="Supplier/Vendor"/>
    <s v="United States"/>
    <x v="1"/>
    <n v="1"/>
  </r>
  <r>
    <x v="40"/>
    <n v="1545"/>
    <x v="22"/>
    <n v="18652"/>
    <n v="44550"/>
    <d v="2006-01-03T00:00:00"/>
    <s v="Government/Professional Associations/Academic Institution"/>
    <s v="United States"/>
    <x v="2"/>
    <n v="1"/>
  </r>
  <r>
    <x v="41"/>
    <n v="2990"/>
    <x v="26"/>
    <n v="18722"/>
    <n v="44622"/>
    <d v="2025-01-25T00:00:00"/>
    <s v="Supplier/Vendor"/>
    <s v="United States"/>
    <x v="1"/>
    <n v="1"/>
  </r>
  <r>
    <x v="42"/>
    <n v="2990"/>
    <x v="27"/>
    <n v="18479"/>
    <n v="44361"/>
    <d v="2021-01-13T00:00:00"/>
    <s v="Supplier/Vendor"/>
    <s v="United States"/>
    <x v="1"/>
    <n v="1"/>
  </r>
  <r>
    <x v="43"/>
    <n v="460.04"/>
    <x v="27"/>
    <n v="18491"/>
    <n v="44373"/>
    <d v="2025-04-30T00:00:00"/>
    <s v="Supplier/Vendor"/>
    <s v="United States"/>
    <x v="2"/>
    <n v="1"/>
  </r>
  <r>
    <x v="43"/>
    <n v="108.79"/>
    <x v="27"/>
    <n v="18507"/>
    <n v="44390"/>
    <d v="2025-04-30T00:00:00"/>
    <s v="Supplier/Vendor"/>
    <s v="United States"/>
    <x v="1"/>
    <n v="1"/>
  </r>
  <r>
    <x v="44"/>
    <n v="1545"/>
    <x v="5"/>
    <n v="18359"/>
    <n v="44215"/>
    <d v="2010-02-16T00:00:00"/>
    <s v="Consultant"/>
    <s v="United States"/>
    <x v="2"/>
    <n v="1"/>
  </r>
  <r>
    <x v="45"/>
    <n v="21630"/>
    <x v="7"/>
    <n v="18908"/>
    <n v="44897"/>
    <d v="2015-10-27T00:00:00"/>
    <s v="Supplier/Vendor"/>
    <s v="United States"/>
    <x v="5"/>
    <n v="2"/>
  </r>
  <r>
    <x v="46"/>
    <n v="2160"/>
    <x v="28"/>
    <n v="18975"/>
    <n v="45010"/>
    <d v="1998-08-25T00:00:00"/>
    <s v="Provider"/>
    <s v="United States"/>
    <x v="1"/>
    <n v="2"/>
  </r>
  <r>
    <x v="47"/>
    <n v="23375"/>
    <x v="1"/>
    <n v="18940"/>
    <n v="44972"/>
    <d v="2013-01-28T00:00:00"/>
    <s v="Supplier/Vendor"/>
    <s v="Switzerland"/>
    <x v="2"/>
    <n v="2"/>
  </r>
  <r>
    <x v="48"/>
    <n v="775"/>
    <x v="8"/>
    <n v="18585"/>
    <n v="44482"/>
    <d v="2026-01-12T00:00:00"/>
    <s v=""/>
    <s v="United States"/>
    <x v="3"/>
    <n v="1"/>
  </r>
  <r>
    <x v="49"/>
    <n v="775"/>
    <x v="21"/>
    <n v="18965"/>
    <n v="45000"/>
    <d v="2023-03-28T00:00:00"/>
    <s v=""/>
    <s v="United States"/>
    <x v="3"/>
    <n v="2"/>
  </r>
  <r>
    <x v="50"/>
    <n v="1545"/>
    <x v="3"/>
    <n v="18620"/>
    <n v="44519"/>
    <d v="2013-02-12T00:00:00"/>
    <s v="Government/Professional Associations/Academic Institution"/>
    <s v="United States"/>
    <x v="2"/>
    <n v="1"/>
  </r>
  <r>
    <x v="51"/>
    <n v="775"/>
    <x v="17"/>
    <n v="18695"/>
    <n v="44595"/>
    <d v="2025-01-24T00:00:00"/>
    <s v=""/>
    <s v=""/>
    <x v="3"/>
    <n v="1"/>
  </r>
  <r>
    <x v="52"/>
    <n v="1545"/>
    <x v="29"/>
    <n v="18421"/>
    <n v="44301"/>
    <d v="2026-01-07T00:00:00"/>
    <s v="Supplier/Vendor"/>
    <s v="United States"/>
    <x v="2"/>
    <n v="1"/>
  </r>
  <r>
    <x v="53"/>
    <n v="775"/>
    <x v="29"/>
    <n v="18418"/>
    <n v="44298"/>
    <d v="2023-05-04T00:00:00"/>
    <s v=""/>
    <s v="United States"/>
    <x v="3"/>
    <n v="1"/>
  </r>
  <r>
    <x v="54"/>
    <n v="775"/>
    <x v="18"/>
    <n v="18845"/>
    <n v="44817"/>
    <d v="2026-02-02T00:00:00"/>
    <s v=""/>
    <s v="United States"/>
    <x v="3"/>
    <n v="2"/>
  </r>
  <r>
    <x v="55"/>
    <n v="775"/>
    <x v="30"/>
    <n v="18862"/>
    <n v="44835"/>
    <d v="2026-02-03T00:00:00"/>
    <s v=""/>
    <s v="United States"/>
    <x v="3"/>
    <n v="2"/>
  </r>
  <r>
    <x v="56"/>
    <n v="1545"/>
    <x v="12"/>
    <n v="18947"/>
    <n v="44979"/>
    <d v="2021-12-08T00:00:00"/>
    <s v="Supplier/Vendor"/>
    <s v="United States"/>
    <x v="2"/>
    <n v="2"/>
  </r>
  <r>
    <x v="57"/>
    <n v="23375"/>
    <x v="19"/>
    <n v="19076"/>
    <n v="45158"/>
    <d v="2002-12-12T00:00:00"/>
    <s v="Supplier/Vendor"/>
    <s v="United States"/>
    <x v="2"/>
    <n v="2"/>
  </r>
  <r>
    <x v="58"/>
    <n v="2680"/>
    <x v="31"/>
    <n v="18656"/>
    <n v="44554"/>
    <d v="2001-04-04T00:00:00"/>
    <s v="Government/Professional Associations/Academic Institution"/>
    <s v="United States"/>
    <x v="2"/>
    <n v="1"/>
  </r>
  <r>
    <x v="59"/>
    <n v="1545"/>
    <x v="10"/>
    <n v="18683"/>
    <n v="44583"/>
    <d v="2025-01-22T00:00:00"/>
    <s v="Supplier/Vendor"/>
    <s v="United States"/>
    <x v="2"/>
    <n v="1"/>
  </r>
  <r>
    <x v="60"/>
    <n v="775"/>
    <x v="32"/>
    <n v="18774"/>
    <n v="44713"/>
    <d v="2026-01-28T00:00:00"/>
    <s v=""/>
    <s v="Japan"/>
    <x v="3"/>
    <n v="1"/>
  </r>
  <r>
    <x v="61"/>
    <n v="1905"/>
    <x v="12"/>
    <n v="18949"/>
    <n v="44981"/>
    <d v="2020-09-21T00:00:00"/>
    <s v="Government/Professional Associations/Academic Institution"/>
    <s v="United States"/>
    <x v="1"/>
    <n v="2"/>
  </r>
  <r>
    <x v="62"/>
    <n v="2680"/>
    <x v="31"/>
    <n v="18660"/>
    <n v="44559"/>
    <d v="2011-12-20T00:00:00"/>
    <s v="Government/Professional Associations/Academic Institution"/>
    <s v="United States"/>
    <x v="2"/>
    <n v="1"/>
  </r>
  <r>
    <x v="63"/>
    <n v="2680"/>
    <x v="14"/>
    <n v="18826"/>
    <n v="44799"/>
    <d v="2017-07-26T00:00:00"/>
    <s v="Government/Professional Associations/Academic Institution"/>
    <s v="United States"/>
    <x v="2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Beata Piehl Household"/>
    <n v="775"/>
    <d v="2026-01-11T00:00:00"/>
    <n v="18551"/>
    <n v="44438"/>
    <d v="2024-04-03T00:00:00"/>
    <s v=""/>
    <s v=""/>
    <x v="0"/>
    <x v="0"/>
  </r>
  <r>
    <s v="Bellese Technologies"/>
    <n v="775"/>
    <d v="2026-01-05T00:00:00"/>
    <n v="18371"/>
    <n v="44227"/>
    <d v="2021-08-25T00:00:00"/>
    <s v=""/>
    <s v="United States"/>
    <x v="0"/>
    <x v="0"/>
  </r>
  <r>
    <s v="CSIRO"/>
    <n v="775"/>
    <d v="2026-01-12T00:00:00"/>
    <n v="18605"/>
    <n v="44503"/>
    <d v="2026-01-12T00:00:00"/>
    <s v=""/>
    <s v="Australia"/>
    <x v="0"/>
    <x v="0"/>
  </r>
  <r>
    <s v="Daniel Ries Household"/>
    <n v="100"/>
    <d v="2026-02-16T00:00:00"/>
    <n v="18946"/>
    <n v="44978"/>
    <d v="2023-02-02T00:00:00"/>
    <s v=""/>
    <s v="United States"/>
    <x v="1"/>
    <x v="1"/>
  </r>
  <r>
    <s v="Dennis Loucks Household"/>
    <n v="775"/>
    <d v="2026-01-31T00:00:00"/>
    <n v="18840"/>
    <n v="44813"/>
    <d v="2021-12-16T00:00:00"/>
    <s v=""/>
    <s v=""/>
    <x v="0"/>
    <x v="0"/>
  </r>
  <r>
    <s v="Donald Kurtz Household"/>
    <n v="775"/>
    <d v="2026-01-30T00:00:00"/>
    <n v="18833"/>
    <n v="44806"/>
    <d v="2026-01-30T00:00:00"/>
    <s v=""/>
    <s v="United States"/>
    <x v="0"/>
    <x v="0"/>
  </r>
  <r>
    <s v="First Databank"/>
    <n v="775"/>
    <d v="2026-01-21T00:00:00"/>
    <n v="18708"/>
    <n v="44608"/>
    <d v="2015-02-03T00:00:00"/>
    <s v="Supplier/Vendor"/>
    <s v="United States"/>
    <x v="0"/>
    <x v="0"/>
  </r>
  <r>
    <s v="Glen Rigby Household"/>
    <n v="775"/>
    <d v="2026-02-27T00:00:00"/>
    <n v="19083"/>
    <n v="45165"/>
    <d v="2026-02-27T00:00:00"/>
    <s v=""/>
    <s v="United States"/>
    <x v="0"/>
    <x v="1"/>
  </r>
  <r>
    <s v="John Moehrke Household"/>
    <n v="775"/>
    <d v="2026-01-06T00:00:00"/>
    <n v="18392"/>
    <n v="44254"/>
    <d v="2026-01-06T00:00:00"/>
    <s v=""/>
    <s v="United States"/>
    <x v="0"/>
    <x v="0"/>
  </r>
  <r>
    <s v="Ken McCaslin Household"/>
    <n v="100"/>
    <d v="2026-02-11T00:00:00"/>
    <n v="18927"/>
    <n v="44951"/>
    <d v="1996-08-15T00:00:00"/>
    <s v=""/>
    <s v="United States"/>
    <x v="1"/>
    <x v="1"/>
  </r>
  <r>
    <s v="Mark Marciante Household"/>
    <n v="775"/>
    <d v="2026-02-02T00:00:00"/>
    <n v="18853"/>
    <n v="44825"/>
    <d v="2024-02-22T00:00:00"/>
    <s v=""/>
    <s v=""/>
    <x v="0"/>
    <x v="1"/>
  </r>
  <r>
    <s v="Ryan Lee Household"/>
    <n v="775"/>
    <d v="2026-01-12T00:00:00"/>
    <n v="18585"/>
    <n v="44482"/>
    <d v="2026-01-12T00:00:00"/>
    <s v=""/>
    <s v="United States"/>
    <x v="0"/>
    <x v="0"/>
  </r>
  <r>
    <s v="Ryan Weihler Household"/>
    <n v="775"/>
    <d v="2026-02-17T00:00:00"/>
    <n v="18965"/>
    <n v="45000"/>
    <d v="2023-03-28T00:00:00"/>
    <s v=""/>
    <s v="United States"/>
    <x v="0"/>
    <x v="1"/>
  </r>
  <r>
    <s v="Sam Schifman Household"/>
    <n v="775"/>
    <d v="2026-01-21T00:00:00"/>
    <n v="18695"/>
    <n v="44595"/>
    <d v="2025-01-24T00:00:00"/>
    <s v=""/>
    <s v=""/>
    <x v="0"/>
    <x v="0"/>
  </r>
  <r>
    <s v="Sandy Vance Household"/>
    <n v="775"/>
    <d v="2026-01-07T00:00:00"/>
    <n v="18418"/>
    <n v="44298"/>
    <d v="2023-05-04T00:00:00"/>
    <s v=""/>
    <s v="United States"/>
    <x v="0"/>
    <x v="0"/>
  </r>
  <r>
    <s v="Srinivasan Parthasarathy Household"/>
    <n v="775"/>
    <d v="2026-02-02T00:00:00"/>
    <n v="18845"/>
    <n v="44817"/>
    <d v="2026-02-02T00:00:00"/>
    <s v=""/>
    <s v="United States"/>
    <x v="0"/>
    <x v="1"/>
  </r>
  <r>
    <s v="Stan Rankins Household"/>
    <n v="775"/>
    <d v="2026-02-03T00:00:00"/>
    <n v="18862"/>
    <n v="44835"/>
    <d v="2026-02-03T00:00:00"/>
    <s v=""/>
    <s v="United States"/>
    <x v="0"/>
    <x v="1"/>
  </r>
  <r>
    <s v="Toshiaki Kato Household"/>
    <n v="775"/>
    <d v="2026-01-28T00:00:00"/>
    <n v="18774"/>
    <n v="44713"/>
    <d v="2026-01-28T00:00:00"/>
    <s v=""/>
    <s v="Japan"/>
    <x v="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cre Security"/>
    <n v="1905"/>
    <d v="2026-02-13T00:00:00"/>
    <n v="18941"/>
    <n v="44973"/>
    <d v="2022-01-10T00:00:00"/>
    <s v="Supplier/Vendor"/>
    <s v="United States"/>
    <x v="0"/>
    <n v="2"/>
  </r>
  <r>
    <s v="American Dental Association"/>
    <n v="1620"/>
    <d v="2026-02-19T00:00:00"/>
    <n v="18996"/>
    <n v="45039"/>
    <d v="2012-03-08T00:00:00"/>
    <s v="Government/Professional Associations/Academic Institution"/>
    <s v="United States"/>
    <x v="1"/>
    <n v="2"/>
  </r>
  <r>
    <s v="Apelon, Inc."/>
    <n v="2370"/>
    <d v="2026-01-13T00:00:00"/>
    <n v="18613"/>
    <n v="44511"/>
    <d v="2003-08-06T00:00:00"/>
    <s v="Supplier/Vendor"/>
    <s v="United States"/>
    <x v="1"/>
    <n v="1"/>
  </r>
  <r>
    <s v="Becton Dickinson"/>
    <n v="23375"/>
    <d v="2026-02-19T00:00:00"/>
    <n v="18995"/>
    <n v="45038"/>
    <d v="2015-10-20T00:00:00"/>
    <s v="Supplier/Vendor"/>
    <s v="United States"/>
    <x v="1"/>
    <n v="2"/>
  </r>
  <r>
    <s v="Blue Cross Blue Shield Association"/>
    <n v="5770"/>
    <d v="2026-02-11T00:00:00"/>
    <n v="18923"/>
    <n v="44942"/>
    <d v="1999-07-19T00:00:00"/>
    <s v="Payer"/>
    <s v="United States"/>
    <x v="1"/>
    <n v="2"/>
  </r>
  <r>
    <s v="CAL2CAL Corporation"/>
    <n v="1905"/>
    <d v="2026-02-09T00:00:00"/>
    <n v="18906"/>
    <n v="44895"/>
    <d v="2003-04-14T00:00:00"/>
    <s v="Supplier/Vendor"/>
    <s v="United States"/>
    <x v="0"/>
    <n v="2"/>
  </r>
  <r>
    <s v="Children's Hospital of Philadelphia"/>
    <n v="9990"/>
    <d v="2026-02-20T00:00:00"/>
    <n v="18993"/>
    <n v="45036"/>
    <d v="2009-06-19T00:00:00"/>
    <s v="Provider"/>
    <s v="United States"/>
    <x v="1"/>
    <n v="2"/>
  </r>
  <r>
    <s v="College of American Pathologists"/>
    <n v="1545"/>
    <d v="2026-01-20T00:00:00"/>
    <n v="18678"/>
    <n v="44578"/>
    <d v="2010-01-01T00:00:00"/>
    <s v="Government/Professional Associations/Academic Institution"/>
    <s v="United States"/>
    <x v="1"/>
    <n v="1"/>
  </r>
  <r>
    <s v="CyncHealth"/>
    <n v="7210"/>
    <d v="2026-02-06T00:00:00"/>
    <n v="18957"/>
    <n v="44992"/>
    <d v="2023-08-30T00:00:00"/>
    <s v="Provider"/>
    <s v="United States"/>
    <x v="1"/>
    <n v="2"/>
  </r>
  <r>
    <s v="Dataware Sdn Bhd"/>
    <n v="1545"/>
    <d v="2026-02-09T00:00:00"/>
    <n v="18914"/>
    <n v="44907"/>
    <d v="2012-08-16T00:00:00"/>
    <s v="Supplier/Vendor"/>
    <s v="Malaysia"/>
    <x v="1"/>
    <n v="2"/>
  </r>
  <r>
    <s v="Epic"/>
    <n v="38100"/>
    <d v="2026-01-26T00:00:00"/>
    <n v="18755"/>
    <n v="44679"/>
    <d v="1998-05-10T00:00:00"/>
    <s v="Supplier/Vendor"/>
    <s v="United States"/>
    <x v="2"/>
    <n v="1"/>
  </r>
  <r>
    <s v="Firely USA"/>
    <n v="1905"/>
    <d v="2026-01-08T00:00:00"/>
    <n v="18444"/>
    <n v="44327"/>
    <d v="2024-02-19T00:00:00"/>
    <s v="Supplier/Vendor"/>
    <s v="United States"/>
    <x v="0"/>
    <n v="1"/>
  </r>
  <r>
    <s v="Flatiron Health"/>
    <n v="9685"/>
    <d v="2026-01-30T00:00:00"/>
    <n v="18825"/>
    <n v="44798"/>
    <d v="2015-05-20T00:00:00"/>
    <s v="Supplier/Vendor"/>
    <s v="United States"/>
    <x v="1"/>
    <n v="1"/>
  </r>
  <r>
    <s v="Fresenius Vial"/>
    <n v="23375"/>
    <d v="2026-02-02T00:00:00"/>
    <n v="18851"/>
    <n v="44823"/>
    <d v="2013-10-11T00:00:00"/>
    <s v="Supplier/Vendor"/>
    <s v="France"/>
    <x v="1"/>
    <n v="2"/>
  </r>
  <r>
    <s v="HIMSS"/>
    <n v="1905"/>
    <d v="2026-02-02T00:00:00"/>
    <n v="18850"/>
    <n v="44822"/>
    <d v="2009-09-11T00:00:00"/>
    <s v="Government/Professional Associations/Academic Institution"/>
    <s v="United States"/>
    <x v="0"/>
    <n v="2"/>
  </r>
  <r>
    <s v="ICCBBA, Inc."/>
    <n v="1545"/>
    <d v="2026-02-06T00:00:00"/>
    <n v="18891"/>
    <n v="44881"/>
    <d v="2000-02-14T00:00:00"/>
    <s v="Government/Professional Associations/Academic Institution"/>
    <s v="United States"/>
    <x v="1"/>
    <n v="2"/>
  </r>
  <r>
    <s v="ICF"/>
    <n v="23375"/>
    <d v="2026-01-26T00:00:00"/>
    <n v="18752"/>
    <n v="44676"/>
    <d v="2012-12-13T00:00:00"/>
    <s v="Consultant"/>
    <s v="United States"/>
    <x v="1"/>
    <n v="1"/>
  </r>
  <r>
    <s v="Indian Health Service"/>
    <n v="5460"/>
    <d v="2026-01-15T00:00:00"/>
    <n v="18650"/>
    <n v="44548"/>
    <d v="2009-06-25T00:00:00"/>
    <s v="Government/Professional Associations/Academic Institution"/>
    <s v="United States"/>
    <x v="1"/>
    <n v="1"/>
  </r>
  <r>
    <s v="Johns Hopkins Hospital"/>
    <n v="14420"/>
    <d v="2026-02-02T00:00:00"/>
    <n v="18849"/>
    <n v="44821"/>
    <d v="2003-12-08T00:00:00"/>
    <s v="Provider"/>
    <s v="United States"/>
    <x v="1"/>
    <n v="2"/>
  </r>
  <r>
    <s v="KlearTrust"/>
    <n v="1545"/>
    <d v="2026-01-29T00:00:00"/>
    <n v="18802"/>
    <n v="44761"/>
    <d v="2024-01-12T00:00:00"/>
    <s v="Supplier/Vendor"/>
    <s v="United States"/>
    <x v="1"/>
    <n v="1"/>
  </r>
  <r>
    <s v="MEDENT"/>
    <n v="16175"/>
    <d v="2026-02-20T00:00:00"/>
    <n v="18994"/>
    <n v="45037"/>
    <d v="2010-01-27T00:00:00"/>
    <s v="Supplier/Vendor"/>
    <s v="United States"/>
    <x v="1"/>
    <n v="2"/>
  </r>
  <r>
    <s v="Massachusetts Health Data Consortium"/>
    <n v="1905"/>
    <d v="2026-02-17T00:00:00"/>
    <n v="18958"/>
    <n v="44993"/>
    <d v="2020-05-15T00:00:00"/>
    <s v="Government/Professional Associations/Academic Institution"/>
    <s v="United States"/>
    <x v="0"/>
    <n v="2"/>
  </r>
  <r>
    <s v="MedicaSoft"/>
    <n v="2370"/>
    <d v="2026-01-20T00:00:00"/>
    <n v="18672"/>
    <n v="44570"/>
    <d v="2014-12-15T00:00:00"/>
    <s v="Supplier/Vendor"/>
    <s v="United States"/>
    <x v="1"/>
    <n v="1"/>
  </r>
  <r>
    <s v="MyDirectives"/>
    <n v="1905"/>
    <d v="2026-01-22T00:00:00"/>
    <n v="18717"/>
    <n v="44617"/>
    <d v="2018-12-31T00:00:00"/>
    <s v="Supplier/Vendor"/>
    <s v="United States"/>
    <x v="0"/>
    <n v="1"/>
  </r>
  <r>
    <s v="National Association of Dental Plans"/>
    <n v="1545"/>
    <d v="2026-01-15T00:00:00"/>
    <n v="18652"/>
    <n v="44550"/>
    <d v="2006-01-03T00:00:00"/>
    <s v="Government/Professional Associations/Academic Institution"/>
    <s v="United States"/>
    <x v="1"/>
    <n v="1"/>
  </r>
  <r>
    <s v="New Fields Technologies LLC"/>
    <n v="2990"/>
    <d v="2026-01-23T00:00:00"/>
    <n v="18722"/>
    <n v="44622"/>
    <d v="2025-01-25T00:00:00"/>
    <s v="Supplier/Vendor"/>
    <s v="United States"/>
    <x v="0"/>
    <n v="1"/>
  </r>
  <r>
    <s v="Onyx Technology LLC"/>
    <n v="2990"/>
    <d v="2026-01-09T00:00:00"/>
    <n v="18479"/>
    <n v="44361"/>
    <d v="2021-01-13T00:00:00"/>
    <s v="Supplier/Vendor"/>
    <s v="United States"/>
    <x v="0"/>
    <n v="1"/>
  </r>
  <r>
    <s v="Patient Centric Solutions"/>
    <n v="460.04"/>
    <d v="2026-01-09T00:00:00"/>
    <n v="18491"/>
    <n v="44373"/>
    <d v="2025-04-30T00:00:00"/>
    <s v="Supplier/Vendor"/>
    <s v="United States"/>
    <x v="1"/>
    <n v="1"/>
  </r>
  <r>
    <s v="Patient Centric Solutions"/>
    <n v="108.79"/>
    <d v="2026-01-09T00:00:00"/>
    <n v="18507"/>
    <n v="44390"/>
    <d v="2025-04-30T00:00:00"/>
    <s v="Supplier/Vendor"/>
    <s v="United States"/>
    <x v="0"/>
    <n v="1"/>
  </r>
  <r>
    <s v="Professional Laboratory Management, Inc."/>
    <n v="1545"/>
    <d v="2026-01-05T00:00:00"/>
    <n v="18359"/>
    <n v="44215"/>
    <d v="2010-02-16T00:00:00"/>
    <s v="Consultant"/>
    <s v="United States"/>
    <x v="1"/>
    <n v="1"/>
  </r>
  <r>
    <s v="Ready Computing LLC"/>
    <n v="21630"/>
    <d v="2026-02-09T00:00:00"/>
    <n v="18908"/>
    <n v="44897"/>
    <d v="2015-10-27T00:00:00"/>
    <s v="Supplier/Vendor"/>
    <s v="United States"/>
    <x v="2"/>
    <n v="2"/>
  </r>
  <r>
    <s v="Regenstrief Institute, Inc."/>
    <n v="2160"/>
    <d v="2026-02-18T00:00:00"/>
    <n v="18975"/>
    <n v="45010"/>
    <d v="1998-08-25T00:00:00"/>
    <s v="Provider"/>
    <s v="United States"/>
    <x v="0"/>
    <n v="2"/>
  </r>
  <r>
    <s v="Roche Diagnostics International Ltd."/>
    <n v="23375"/>
    <d v="2026-02-13T00:00:00"/>
    <n v="18940"/>
    <n v="44972"/>
    <d v="2013-01-28T00:00:00"/>
    <s v="Supplier/Vendor"/>
    <s v="Switzerland"/>
    <x v="1"/>
    <n v="2"/>
  </r>
  <r>
    <s v="SLI Compliance"/>
    <n v="1545"/>
    <d v="2026-01-13T00:00:00"/>
    <n v="18620"/>
    <n v="44519"/>
    <d v="2013-02-12T00:00:00"/>
    <s v="Government/Professional Associations/Academic Institution"/>
    <s v="United States"/>
    <x v="1"/>
    <n v="1"/>
  </r>
  <r>
    <s v="SandwYch, Inc."/>
    <n v="1545"/>
    <d v="2026-01-07T00:00:00"/>
    <n v="18421"/>
    <n v="44301"/>
    <d v="2026-01-07T00:00:00"/>
    <s v="Supplier/Vendor"/>
    <s v="United States"/>
    <x v="1"/>
    <n v="1"/>
  </r>
  <r>
    <s v="Stedi"/>
    <n v="1545"/>
    <d v="2026-02-16T00:00:00"/>
    <n v="18947"/>
    <n v="44979"/>
    <d v="2021-12-08T00:00:00"/>
    <s v="Supplier/Vendor"/>
    <s v="United States"/>
    <x v="1"/>
    <n v="2"/>
  </r>
  <r>
    <s v="Surescripts"/>
    <n v="23375"/>
    <d v="2026-02-27T00:00:00"/>
    <n v="19076"/>
    <n v="45158"/>
    <d v="2002-12-12T00:00:00"/>
    <s v="Supplier/Vendor"/>
    <s v="United States"/>
    <x v="1"/>
    <n v="2"/>
  </r>
  <r>
    <s v="Tennessee Department of Health"/>
    <n v="2680"/>
    <d v="2026-01-16T00:00:00"/>
    <n v="18656"/>
    <n v="44554"/>
    <d v="2001-04-04T00:00:00"/>
    <s v="Government/Professional Associations/Academic Institution"/>
    <s v="United States"/>
    <x v="1"/>
    <n v="1"/>
  </r>
  <r>
    <s v="Tetra Fields LLC"/>
    <n v="1545"/>
    <d v="2026-01-20T00:00:00"/>
    <n v="18683"/>
    <n v="44583"/>
    <d v="2025-01-22T00:00:00"/>
    <s v="Supplier/Vendor"/>
    <s v="United States"/>
    <x v="1"/>
    <n v="1"/>
  </r>
  <r>
    <s v="Univ of TX Health Science Center San Antonio"/>
    <n v="1905"/>
    <d v="2026-02-16T00:00:00"/>
    <n v="18949"/>
    <n v="44981"/>
    <d v="2020-09-21T00:00:00"/>
    <s v="Government/Professional Associations/Academic Institution"/>
    <s v="United States"/>
    <x v="0"/>
    <n v="2"/>
  </r>
  <r>
    <s v="Virginia Department of Health"/>
    <n v="2680"/>
    <d v="2026-01-16T00:00:00"/>
    <n v="18660"/>
    <n v="44559"/>
    <d v="2011-12-20T00:00:00"/>
    <s v="Government/Professional Associations/Academic Institution"/>
    <s v="United States"/>
    <x v="1"/>
    <n v="1"/>
  </r>
  <r>
    <s v="West Virginia Departments of Human Services, Health and Health Facilities"/>
    <n v="2680"/>
    <d v="2026-01-30T00:00:00"/>
    <n v="18826"/>
    <n v="44799"/>
    <d v="2017-07-26T00:00:00"/>
    <s v="Government/Professional Associations/Academic Institution"/>
    <s v="United States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96D6C-0AA7-487F-9212-34D7F6B7F9DC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J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formats count="2">
    <format dxfId="43">
      <pivotArea outline="0" collapsedLevelsAreSubtotals="1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A709-78A3-44E1-B2EE-58557666F57D}" name="PivotTable7" cacheId="7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 numFmtId="44"/>
  </dataFields>
  <formats count="2">
    <format dxfId="45">
      <pivotArea outline="0" collapsedLevelsAreSubtotals="1" fieldPosition="0"/>
    </format>
    <format dxfId="44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Accounts_with_Mem_and_Receipts">
        <x15:activeTabTopLevelEntity name="[Accounts_with_Mem_and_Receip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58221-7D53-4C27-90DB-68D12206D4C2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K14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DC05B-93CB-44B0-AA3C-A95E1040BB66}" name="PivotTable3" cacheId="5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formats count="1">
    <format dxfId="35">
      <pivotArea collapsedLevelsAreSubtotals="1" fieldPosition="0">
        <references count="1">
          <reference field="0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B87D9-A316-4771-8CB7-73C0C5518F9A}" name="PivotTable8" cacheId="5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B26" firstHeaderRow="1" firstDataRow="1" firstDataCol="1"/>
  <pivotFields count="2">
    <pivotField axis="axisRow" allDrilled="1" subtotalTop="0" showAll="0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" fld="1" baseField="0" baseItem="0" numFmtId="44"/>
  </dataFields>
  <formats count="2">
    <format dxfId="37">
      <pivotArea outline="0" collapsedLevelsAreSubtotals="1" fieldPosition="0"/>
    </format>
    <format dxfId="3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CB0AD-C62A-475A-9567-14E9C9D09E6F}" name="PivotTable10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0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88EC4-A140-4629-8D5F-169267161F7E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5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51CB-9ECD-4079-985B-A6EAB3F47C16}" name="PivotTable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0"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m="1" x="6"/>
        <item m="1" x="10"/>
        <item m="1" x="11"/>
        <item m="1" x="7"/>
        <item m="1" x="4"/>
        <item m="1" x="2"/>
        <item m="1" x="3"/>
        <item m="1" x="9"/>
        <item m="1" x="5"/>
        <item m="1" x="8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Total" fld="1" baseField="0" baseItem="0" numFmtId="44"/>
  </dataFields>
  <formats count="1">
    <format dxfId="34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C8321-BCF2-434E-B6D4-6BDA40970C3A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9" firstHeaderRow="1" firstDataRow="4" firstDataCol="1" rowPageCount="1" colPageCount="1"/>
  <pivotFields count="12">
    <pivotField axis="axisRow" showAll="0">
      <items count="65"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9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0"/>
        <item x="54"/>
        <item x="55"/>
        <item x="56"/>
        <item x="57"/>
        <item x="58"/>
        <item x="59"/>
        <item x="60"/>
        <item x="61"/>
        <item x="62"/>
        <item x="63"/>
        <item x="0"/>
        <item t="default"/>
      </items>
    </pivotField>
    <pivotField dataField="1" showAll="0"/>
    <pivotField axis="axisCol" showAll="0">
      <items count="34">
        <item x="5"/>
        <item x="23"/>
        <item x="29"/>
        <item x="16"/>
        <item x="27"/>
        <item x="4"/>
        <item x="8"/>
        <item x="3"/>
        <item x="22"/>
        <item x="31"/>
        <item x="10"/>
        <item x="17"/>
        <item x="25"/>
        <item x="26"/>
        <item x="15"/>
        <item x="32"/>
        <item x="24"/>
        <item x="14"/>
        <item x="13"/>
        <item x="18"/>
        <item x="30"/>
        <item x="11"/>
        <item x="7"/>
        <item x="6"/>
        <item x="1"/>
        <item x="12"/>
        <item x="21"/>
        <item x="28"/>
        <item x="2"/>
        <item x="9"/>
        <item x="20"/>
        <item x="19"/>
        <item x="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8">
        <item x="6"/>
        <item h="1" x="5"/>
        <item h="1" x="1"/>
        <item h="1" x="3"/>
        <item h="1" x="2"/>
        <item h="1" x="4"/>
        <item h="1" x="0"/>
        <item t="default"/>
      </items>
    </pivotField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">
    <i>
      <x v="25"/>
    </i>
    <i>
      <x v="26"/>
    </i>
    <i t="grand">
      <x/>
    </i>
  </rowItems>
  <colFields count="3">
    <field x="11"/>
    <field x="10"/>
    <field x="2"/>
  </colFields>
  <colItems count="2">
    <i>
      <x v="2"/>
    </i>
    <i t="grand">
      <x/>
    </i>
  </colItems>
  <pageFields count="1">
    <pageField fld="8" hier="-1"/>
  </pageField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9F6D-E79B-42E4-AB47-DEFBBB97001D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6:N13" firstHeaderRow="1" firstDataRow="1" firstDataCol="1"/>
  <pivotFields count="1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5"/>
        <item x="3"/>
        <item x="4"/>
        <item x="2"/>
        <item x="0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Years Member" fld="1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B12DD-807D-4FBA-9005-4678480CE21C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E23" firstHeaderRow="1" firstDataRow="1" firstDataCol="1"/>
  <pivotFields count="2">
    <pivotField axis="axisRow" dataField="1" numFmtId="9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ct" fld="0" subtotal="count" baseField="0" baseItem="0"/>
  </dataFields>
  <chartFormats count="2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39E32A-6B3F-4D4E-8379-B33A94FB1752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5621CD-01D0-4752-B01E-20D4986A55A4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74E1B6-3516-4F9C-8C85-F921BD04BA9A}" autoFormatId="16" applyNumberFormats="0" applyBorderFormats="0" applyFontFormats="0" applyPatternFormats="0" applyAlignmentFormats="0" applyWidthHeightFormats="0">
  <queryTableRefresh nextId="13">
    <queryTableFields count="11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  <queryTableField id="12" name="Years Membe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5CF60-7640-46DD-8060-F5DF19CD1E06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605841-21C6-4A3A-9671-42B381F66ACF}" name="Table10" displayName="Table10" ref="F3:G7" totalsRowCount="1">
  <autoFilter ref="F3:G6" xr:uid="{43605841-21C6-4A3A-9671-42B381F66ACF}"/>
  <tableColumns count="2">
    <tableColumn id="1" xr3:uid="{E1B23E9D-966B-4463-8E08-4C5BE7B39A1C}" name="Membership Class" totalsRowLabel="Grand Total" dataDxfId="41" totalsRowDxfId="40"/>
    <tableColumn id="2" xr3:uid="{4B9EBADE-A69E-47F4-A148-E91327D51523}" name="2026 Dues Total" totalsRowFunction="sum" dataDxfId="39" totalsRowDxfId="38" dataCellStyle="Currency" totalsRow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0785D2-41D0-425F-A7E7-F1262EAD59C7}" name="tblGauge" displayName="tblGauge" ref="B15:D38" totalsRowShown="0">
  <autoFilter ref="B15:D38" xr:uid="{A20785D2-41D0-425F-A7E7-F1262EAD59C7}"/>
  <tableColumns count="3">
    <tableColumn id="1" xr3:uid="{1E86A602-1569-42FD-A6E6-84FF4C4AE602}" name="Labels"/>
    <tableColumn id="2" xr3:uid="{956F1B96-EB00-4167-A7E3-0D0A94D0414C}" name="Values"/>
    <tableColumn id="3" xr3:uid="{5B7B24AD-D106-486F-8298-37442BFDCB1C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4B561D-3DE1-4073-8C70-585970459B4A}" name="tblSpeedo" displayName="tblSpeedo" ref="B39:C42" totalsRowShown="0">
  <autoFilter ref="B39:C42" xr:uid="{124B561D-3DE1-4073-8C70-585970459B4A}"/>
  <tableColumns count="2">
    <tableColumn id="1" xr3:uid="{C2FF714A-314E-49D7-AE45-DABAAD85226D}" name="Labels"/>
    <tableColumn id="2" xr3:uid="{79B46D6F-04AF-412E-82E9-4C093746765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CAA2A-3019-4CC4-8AA3-D44C337802CF}" name="Orgs" displayName="Orgs" ref="A1:J43" tableType="queryTable" totalsRowShown="0">
  <autoFilter ref="A1:J43" xr:uid="{773CAA2A-3019-4CC4-8AA3-D44C337802CF}"/>
  <tableColumns count="10">
    <tableColumn id="1" xr3:uid="{E76B5370-4112-4033-B309-979487D5D651}" uniqueName="1" name="Account Name" queryTableFieldId="1" dataDxfId="13"/>
    <tableColumn id="2" xr3:uid="{1D6F9AE6-5DC1-49F7-8782-34127926E9F0}" uniqueName="2" name="Total" queryTableFieldId="2"/>
    <tableColumn id="3" xr3:uid="{A191BF75-CA82-4ED7-BFE4-409FE5356D9C}" uniqueName="3" name="Posted Date" queryTableFieldId="3" dataDxfId="12"/>
    <tableColumn id="4" xr3:uid="{A3F179DB-DA41-4354-B404-E8A40F06566A}" uniqueName="4" name="Receipt Number" queryTableFieldId="4"/>
    <tableColumn id="5" xr3:uid="{0298857D-5D55-4E40-8DAD-4E0ECC432912}" uniqueName="5" name="Receipt Line ID" queryTableFieldId="5"/>
    <tableColumn id="6" xr3:uid="{84EB94B0-158A-42E8-8229-46F4189724D9}" uniqueName="6" name="Member Since" queryTableFieldId="6" dataDxfId="11"/>
    <tableColumn id="7" xr3:uid="{F5080EF2-13D6-4CF1-827D-B66B46B17BA6}" uniqueName="7" name="Account Category" queryTableFieldId="7" dataDxfId="10"/>
    <tableColumn id="8" xr3:uid="{8916CA15-871D-4A88-815C-AC351C43C54F}" uniqueName="8" name="Billing Country" queryTableFieldId="8" dataDxfId="9"/>
    <tableColumn id="9" xr3:uid="{D1E6271C-71EE-4185-B3CA-750E086D4BC6}" uniqueName="9" name="Item Name" queryTableFieldId="9" dataDxfId="8"/>
    <tableColumn id="10" xr3:uid="{5E9CF964-1DEF-4766-8A2A-AC838D7CCB71}" uniqueName="10" name="Paid_Month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C88D8-0AB0-4869-83BD-80D3CA0AD69E}" name="Individual" displayName="Individual" ref="A1:J19" tableType="queryTable" totalsRowShown="0">
  <autoFilter ref="A1:J19" xr:uid="{822C88D8-0AB0-4869-83BD-80D3CA0AD69E}"/>
  <tableColumns count="10">
    <tableColumn id="1" xr3:uid="{0A652639-F825-4C53-9F52-54EA8FC3A182}" uniqueName="1" name="Account Name" queryTableFieldId="1" dataDxfId="21"/>
    <tableColumn id="2" xr3:uid="{725D92B3-6CD2-4C2A-A995-97D9C1928297}" uniqueName="2" name="Total" queryTableFieldId="2"/>
    <tableColumn id="3" xr3:uid="{81AB5C1B-B72F-42FD-96C0-58225280C517}" uniqueName="3" name="Posted Date" queryTableFieldId="3" dataDxfId="20"/>
    <tableColumn id="4" xr3:uid="{B5F11B3D-0B3F-4AB5-8653-B1D7921F2692}" uniqueName="4" name="Receipt Number" queryTableFieldId="4"/>
    <tableColumn id="5" xr3:uid="{E4E1E67D-759D-4BDB-89CA-39994CE359EA}" uniqueName="5" name="Receipt Line ID" queryTableFieldId="5"/>
    <tableColumn id="6" xr3:uid="{6A5E8887-37AD-4A6E-ADD4-36633C979DD5}" uniqueName="6" name="Member Since" queryTableFieldId="6" dataDxfId="19"/>
    <tableColumn id="7" xr3:uid="{ACD237DA-FE0E-42F8-BB56-9534A3ADA619}" uniqueName="7" name="Account Category" queryTableFieldId="7" dataDxfId="18"/>
    <tableColumn id="8" xr3:uid="{191EAEF7-5E8A-41EA-95D1-B72B1D3A54E4}" uniqueName="8" name="Billing Country" queryTableFieldId="8" dataDxfId="17"/>
    <tableColumn id="9" xr3:uid="{ED098656-FE58-4097-83FE-EF15347A26E0}" uniqueName="9" name="Item Name" queryTableFieldId="9" dataDxfId="16"/>
    <tableColumn id="10" xr3:uid="{ECB65B2F-1281-4872-B492-860C1060170C}" uniqueName="10" name="Paid_Month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FBE7B8-77BE-44BB-9872-DD5A4D2E4E5A}" name="Yrs_of_Membership" displayName="Yrs_of_Membership" ref="A1:K65" tableType="queryTable" totalsRowShown="0">
  <autoFilter ref="A1:K65" xr:uid="{40FBE7B8-77BE-44BB-9872-DD5A4D2E4E5A}"/>
  <tableColumns count="11">
    <tableColumn id="1" xr3:uid="{A549FE1F-7DC6-4CAF-90B5-76688494F756}" uniqueName="1" name="Account Name" queryTableFieldId="1" dataDxfId="27"/>
    <tableColumn id="2" xr3:uid="{C64CD669-1D75-4D76-9379-A84CA4D633B7}" uniqueName="2" name="Total" queryTableFieldId="2"/>
    <tableColumn id="3" xr3:uid="{A32854CB-3828-4DD5-A903-94970370A90D}" uniqueName="3" name="Posted Date" queryTableFieldId="3" dataDxfId="26"/>
    <tableColumn id="4" xr3:uid="{EB795AA9-9E55-427D-A509-F41C23C7DA8B}" uniqueName="4" name="Receipt Number" queryTableFieldId="4"/>
    <tableColumn id="5" xr3:uid="{7CEA1745-3D9F-422D-9208-1848045D860B}" uniqueName="5" name="Receipt Line ID" queryTableFieldId="5"/>
    <tableColumn id="6" xr3:uid="{7C13E1B5-3485-4FB5-862E-809A2ADE3164}" uniqueName="6" name="Member Since" queryTableFieldId="6" dataDxfId="25"/>
    <tableColumn id="7" xr3:uid="{12B6136F-CBD4-47E3-974A-E3B2B5072EF1}" uniqueName="7" name="Account Category" queryTableFieldId="7" dataDxfId="24"/>
    <tableColumn id="8" xr3:uid="{BFC06638-8592-4622-AE3C-D6883A16C797}" uniqueName="8" name="Billing Country" queryTableFieldId="8" dataDxfId="23"/>
    <tableColumn id="9" xr3:uid="{44370CA2-1A63-4695-BF21-F48C5D096090}" uniqueName="9" name="Item Name" queryTableFieldId="9" dataDxfId="22"/>
    <tableColumn id="10" xr3:uid="{7095F994-6FE0-4539-B41F-60D7C19DC7AD}" uniqueName="10" name="Paid_Month" queryTableFieldId="10"/>
    <tableColumn id="12" xr3:uid="{04BBA9F9-0F2C-489F-8D32-A0B440DB5142}" uniqueName="12" name="Years Member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35BBB-6D46-4CB5-BB2B-53CE1293C4E3}" name="Accounts_with_Mem_and_Receipts" displayName="Accounts_with_Mem_and_Receipts" ref="A1:J67" tableType="queryTable" totalsRowShown="0">
  <autoFilter ref="A1:J67" xr:uid="{77F35BBB-6D46-4CB5-BB2B-53CE1293C4E3}"/>
  <tableColumns count="10">
    <tableColumn id="1" xr3:uid="{DA042C2E-F709-4840-873D-B19848EB4F96}" uniqueName="1" name="Account Name" queryTableFieldId="1" dataDxfId="33"/>
    <tableColumn id="2" xr3:uid="{69A741DC-F257-40C2-B91D-56A9AD0708E4}" uniqueName="2" name="Total" queryTableFieldId="2"/>
    <tableColumn id="3" xr3:uid="{B9AD17EF-4D79-46D2-922C-E66C05DDF247}" uniqueName="3" name="Posted Date" queryTableFieldId="3" dataDxfId="32"/>
    <tableColumn id="4" xr3:uid="{8837DB35-4DF1-44A4-8ABC-6723EF0F3665}" uniqueName="4" name="Receipt Number" queryTableFieldId="4"/>
    <tableColumn id="5" xr3:uid="{5E6DCBCD-E72A-4085-AA76-10241DEEFBAB}" uniqueName="5" name="Receipt Line ID" queryTableFieldId="5"/>
    <tableColumn id="6" xr3:uid="{9C06C63C-B1B5-4DD4-99EC-9FC7379FE8A7}" uniqueName="6" name="Member Since" queryTableFieldId="6" dataDxfId="31"/>
    <tableColumn id="7" xr3:uid="{3A413C51-D921-4E0B-B08B-25E40C57731B}" uniqueName="7" name="Account Category" queryTableFieldId="7" dataDxfId="30"/>
    <tableColumn id="8" xr3:uid="{4CD917E1-EF27-4C98-9F0B-23CB8418A848}" uniqueName="8" name="Billing Country" queryTableFieldId="8" dataDxfId="29"/>
    <tableColumn id="9" xr3:uid="{9F824C32-5E81-411D-A170-144E6B4BB618}" uniqueName="9" name="Item Name" queryTableFieldId="9" dataDxfId="28"/>
    <tableColumn id="10" xr3:uid="{E2697497-9215-4CFA-B973-F86EBEE30B9D}" uniqueName="10" name="Paid_Mont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2923-A81F-42C2-B0E6-4E162B03C5CE}">
  <dimension ref="A1"/>
  <sheetViews>
    <sheetView tabSelected="1" zoomScale="90" zoomScaleNormal="90" workbookViewId="0">
      <selection activeCell="X15" sqref="X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679B-A534-45B7-9F9E-CF4BB7C468F3}">
  <dimension ref="A1:L44"/>
  <sheetViews>
    <sheetView topLeftCell="A4" zoomScale="90" zoomScaleNormal="90" workbookViewId="0">
      <selection activeCell="F3" sqref="F3"/>
    </sheetView>
  </sheetViews>
  <sheetFormatPr defaultRowHeight="14.5" x14ac:dyDescent="0.35"/>
  <cols>
    <col min="1" max="1" width="50.6328125" bestFit="1" customWidth="1"/>
    <col min="2" max="2" width="12.453125" bestFit="1" customWidth="1"/>
    <col min="3" max="3" width="14.453125" bestFit="1" customWidth="1"/>
    <col min="6" max="6" width="24.08984375" bestFit="1" customWidth="1"/>
    <col min="7" max="7" width="16.26953125" bestFit="1" customWidth="1"/>
    <col min="10" max="11" width="24.08984375" bestFit="1" customWidth="1"/>
    <col min="12" max="12" width="20.6328125" bestFit="1" customWidth="1"/>
  </cols>
  <sheetData>
    <row r="1" spans="1:12" x14ac:dyDescent="0.35">
      <c r="F1" t="s">
        <v>45</v>
      </c>
      <c r="J1" t="s">
        <v>46</v>
      </c>
    </row>
    <row r="2" spans="1:12" x14ac:dyDescent="0.35">
      <c r="A2" t="s">
        <v>44</v>
      </c>
    </row>
    <row r="3" spans="1:12" x14ac:dyDescent="0.35">
      <c r="A3" s="2" t="s">
        <v>29</v>
      </c>
      <c r="B3" s="4" t="s">
        <v>31</v>
      </c>
      <c r="F3" s="3" t="s">
        <v>40</v>
      </c>
      <c r="G3" t="s">
        <v>86</v>
      </c>
      <c r="J3" s="2" t="s">
        <v>29</v>
      </c>
    </row>
    <row r="4" spans="1:12" x14ac:dyDescent="0.35">
      <c r="A4" s="3" t="s">
        <v>0</v>
      </c>
      <c r="B4" s="4">
        <v>24920</v>
      </c>
      <c r="F4" s="3" t="s">
        <v>41</v>
      </c>
      <c r="G4" s="7">
        <f>GETPIVOTDATA("Total",Affiliate!$B$4)</f>
        <v>9456.1</v>
      </c>
      <c r="J4" s="3" t="s">
        <v>41</v>
      </c>
    </row>
    <row r="5" spans="1:12" x14ac:dyDescent="0.35">
      <c r="A5" s="3" t="s">
        <v>11</v>
      </c>
      <c r="B5" s="4">
        <v>27015</v>
      </c>
      <c r="F5" s="3" t="s">
        <v>42</v>
      </c>
      <c r="G5" s="8">
        <f>GETPIVOTDATA("Total",'Ind Revenues'!$A$3)</f>
        <v>12600</v>
      </c>
      <c r="J5" s="3" t="s">
        <v>42</v>
      </c>
    </row>
    <row r="6" spans="1:12" x14ac:dyDescent="0.35">
      <c r="A6" s="3" t="s">
        <v>17</v>
      </c>
      <c r="B6" s="4">
        <v>206498.83000000002</v>
      </c>
      <c r="F6" s="3" t="s">
        <v>43</v>
      </c>
      <c r="G6" s="8">
        <f>GETPIVOTDATA("[Measures].[Sum of Total]",'Org Revenues'!$A$3)</f>
        <v>297208.83</v>
      </c>
      <c r="J6" s="3" t="s">
        <v>43</v>
      </c>
    </row>
    <row r="7" spans="1:12" x14ac:dyDescent="0.35">
      <c r="A7" s="3" t="s">
        <v>30</v>
      </c>
      <c r="B7" s="4">
        <v>258433.83000000002</v>
      </c>
      <c r="F7" s="3" t="s">
        <v>30</v>
      </c>
      <c r="G7" s="8">
        <f>SUBTOTAL(109,Table10[2026 Dues Total])</f>
        <v>319264.93</v>
      </c>
      <c r="J7" s="3" t="s">
        <v>30</v>
      </c>
      <c r="L7" t="str">
        <f>"Grand Total "&amp;TEXT(Table10[[#Totals],[2026 Dues Total]],"$#,###")</f>
        <v>Grand Total $319,265</v>
      </c>
    </row>
    <row r="10" spans="1:12" x14ac:dyDescent="0.35">
      <c r="C10" t="str">
        <f>"Grand Total "&amp;TEXT(GETPIVOTDATA("[Measures].[Sum of Total 2]",$A$3),"$#,###")</f>
        <v>Grand Total $258,434</v>
      </c>
      <c r="K10" s="2" t="s">
        <v>29</v>
      </c>
    </row>
    <row r="11" spans="1:12" x14ac:dyDescent="0.35">
      <c r="K11" s="3" t="s">
        <v>41</v>
      </c>
    </row>
    <row r="12" spans="1:12" x14ac:dyDescent="0.35">
      <c r="A12" s="3" t="s">
        <v>53</v>
      </c>
      <c r="B12" s="10">
        <v>2847751</v>
      </c>
      <c r="C12" s="6" t="str">
        <f>CONCATENATE(A12," ",TEXT(B12,"$#,###,###"))</f>
        <v>Goal:  $2,847,751</v>
      </c>
      <c r="E12" s="12">
        <f>C40/B12</f>
        <v>5.6055626001009218E-2</v>
      </c>
      <c r="K12" s="3" t="s">
        <v>42</v>
      </c>
    </row>
    <row r="13" spans="1:12" x14ac:dyDescent="0.35">
      <c r="B13" s="11">
        <f>B12/10</f>
        <v>284775.09999999998</v>
      </c>
      <c r="C13" s="11">
        <f>B13/10</f>
        <v>28477.51</v>
      </c>
      <c r="K13" s="3" t="s">
        <v>43</v>
      </c>
    </row>
    <row r="14" spans="1:12" x14ac:dyDescent="0.35">
      <c r="K14" s="3" t="s">
        <v>30</v>
      </c>
    </row>
    <row r="15" spans="1:12" x14ac:dyDescent="0.35">
      <c r="B15" t="s">
        <v>47</v>
      </c>
      <c r="C15" t="s">
        <v>48</v>
      </c>
      <c r="D15" t="s">
        <v>62</v>
      </c>
    </row>
    <row r="16" spans="1:12" x14ac:dyDescent="0.35">
      <c r="B16" s="9">
        <v>0.1</v>
      </c>
      <c r="C16" s="11">
        <v>284775.09999999998</v>
      </c>
      <c r="D16">
        <v>10</v>
      </c>
    </row>
    <row r="17" spans="2:4" x14ac:dyDescent="0.35">
      <c r="B17" s="9">
        <v>0.2</v>
      </c>
      <c r="C17" s="11">
        <v>284775.09999999998</v>
      </c>
      <c r="D17">
        <v>10</v>
      </c>
    </row>
    <row r="18" spans="2:4" x14ac:dyDescent="0.35">
      <c r="B18" s="9">
        <v>0.3</v>
      </c>
      <c r="C18" s="11">
        <v>284775.09999999998</v>
      </c>
      <c r="D18">
        <v>10</v>
      </c>
    </row>
    <row r="19" spans="2:4" x14ac:dyDescent="0.35">
      <c r="B19" s="9">
        <v>0.4</v>
      </c>
      <c r="C19" s="11">
        <v>284775.09999999998</v>
      </c>
      <c r="D19">
        <v>10</v>
      </c>
    </row>
    <row r="20" spans="2:4" x14ac:dyDescent="0.35">
      <c r="B20" s="9">
        <v>0.5</v>
      </c>
      <c r="C20" s="11">
        <v>284775.09999999998</v>
      </c>
      <c r="D20">
        <v>10</v>
      </c>
    </row>
    <row r="21" spans="2:4" x14ac:dyDescent="0.35">
      <c r="B21" s="9">
        <v>0.6</v>
      </c>
      <c r="C21" s="11">
        <v>284775.09999999998</v>
      </c>
      <c r="D21">
        <v>10</v>
      </c>
    </row>
    <row r="22" spans="2:4" x14ac:dyDescent="0.35">
      <c r="B22" s="9">
        <v>0.7</v>
      </c>
      <c r="C22" s="11">
        <v>284775.09999999998</v>
      </c>
      <c r="D22">
        <v>10</v>
      </c>
    </row>
    <row r="23" spans="2:4" x14ac:dyDescent="0.35">
      <c r="B23" s="9">
        <v>0.8</v>
      </c>
      <c r="C23" s="11">
        <v>284775.09999999998</v>
      </c>
      <c r="D23">
        <v>10</v>
      </c>
    </row>
    <row r="24" spans="2:4" x14ac:dyDescent="0.35">
      <c r="B24" s="9">
        <v>0.9</v>
      </c>
      <c r="C24" s="11">
        <v>284775.09999999998</v>
      </c>
      <c r="D24">
        <v>10</v>
      </c>
    </row>
    <row r="25" spans="2:4" x14ac:dyDescent="0.35">
      <c r="B25" s="9">
        <v>1</v>
      </c>
      <c r="C25" s="11">
        <v>284775.09999999998</v>
      </c>
      <c r="D25">
        <v>10</v>
      </c>
    </row>
    <row r="26" spans="2:4" x14ac:dyDescent="0.35">
      <c r="B26" s="9">
        <v>1.1000000000000001</v>
      </c>
      <c r="C26" s="11">
        <v>284775.09999999998</v>
      </c>
      <c r="D26">
        <v>10</v>
      </c>
    </row>
    <row r="27" spans="2:4" x14ac:dyDescent="0.35">
      <c r="B27" s="9">
        <v>1.2</v>
      </c>
      <c r="C27">
        <v>0</v>
      </c>
      <c r="D27">
        <v>10</v>
      </c>
    </row>
    <row r="28" spans="2:4" x14ac:dyDescent="0.35">
      <c r="B28" s="9">
        <v>1.3</v>
      </c>
      <c r="C28">
        <v>0</v>
      </c>
      <c r="D28">
        <v>10</v>
      </c>
    </row>
    <row r="29" spans="2:4" x14ac:dyDescent="0.35">
      <c r="B29" s="9">
        <v>1.4</v>
      </c>
      <c r="C29">
        <v>0</v>
      </c>
      <c r="D29">
        <v>10</v>
      </c>
    </row>
    <row r="30" spans="2:4" x14ac:dyDescent="0.35">
      <c r="B30" s="9">
        <v>1.5</v>
      </c>
      <c r="C30">
        <v>0</v>
      </c>
      <c r="D30">
        <v>10</v>
      </c>
    </row>
    <row r="31" spans="2:4" x14ac:dyDescent="0.35">
      <c r="B31" s="9">
        <v>1.6</v>
      </c>
      <c r="C31">
        <v>0</v>
      </c>
      <c r="D31">
        <v>10</v>
      </c>
    </row>
    <row r="32" spans="2:4" x14ac:dyDescent="0.35">
      <c r="B32" s="9">
        <v>1.7</v>
      </c>
      <c r="C32">
        <v>0</v>
      </c>
      <c r="D32">
        <v>10</v>
      </c>
    </row>
    <row r="33" spans="2:4" x14ac:dyDescent="0.35">
      <c r="B33" s="9">
        <v>1.8</v>
      </c>
      <c r="C33">
        <v>0</v>
      </c>
      <c r="D33">
        <v>10</v>
      </c>
    </row>
    <row r="34" spans="2:4" x14ac:dyDescent="0.35">
      <c r="B34" s="9">
        <v>1.9</v>
      </c>
      <c r="C34">
        <v>0</v>
      </c>
      <c r="D34">
        <v>10</v>
      </c>
    </row>
    <row r="35" spans="2:4" x14ac:dyDescent="0.35">
      <c r="B35" s="9">
        <v>2</v>
      </c>
      <c r="C35">
        <v>0</v>
      </c>
      <c r="D35">
        <v>10</v>
      </c>
    </row>
    <row r="36" spans="2:4" x14ac:dyDescent="0.35">
      <c r="B36" s="9"/>
    </row>
    <row r="37" spans="2:4" x14ac:dyDescent="0.35">
      <c r="B37" s="9"/>
    </row>
    <row r="38" spans="2:4" x14ac:dyDescent="0.35">
      <c r="B38" s="9"/>
    </row>
    <row r="39" spans="2:4" x14ac:dyDescent="0.35">
      <c r="B39" t="s">
        <v>47</v>
      </c>
      <c r="C39" t="s">
        <v>49</v>
      </c>
    </row>
    <row r="40" spans="2:4" x14ac:dyDescent="0.35">
      <c r="B40" t="s">
        <v>50</v>
      </c>
      <c r="C40" s="5">
        <f>G7/2</f>
        <v>159632.465</v>
      </c>
    </row>
    <row r="41" spans="2:4" x14ac:dyDescent="0.35">
      <c r="B41" t="s">
        <v>51</v>
      </c>
      <c r="C41">
        <v>30000</v>
      </c>
    </row>
    <row r="42" spans="2:4" x14ac:dyDescent="0.35">
      <c r="B42" t="s">
        <v>52</v>
      </c>
      <c r="C42" s="10">
        <f>C26-B12</f>
        <v>-2562975.9</v>
      </c>
    </row>
    <row r="44" spans="2:4" x14ac:dyDescent="0.35">
      <c r="B44" t="str">
        <f>CONCATENATE("Current: ",TEXT(2*C40,"$#,###"),", ",TEXT(2*E12,"0%"))</f>
        <v>Current: $319,265, 11%</v>
      </c>
    </row>
  </sheetData>
  <phoneticPr fontId="2" type="noConversion"/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CAA6-2DD0-4837-A4EE-84ECAC325805}">
  <dimension ref="A3:M26"/>
  <sheetViews>
    <sheetView workbookViewId="0">
      <selection activeCell="K3" sqref="K3"/>
    </sheetView>
  </sheetViews>
  <sheetFormatPr defaultRowHeight="14.5" x14ac:dyDescent="0.35"/>
  <cols>
    <col min="1" max="1" width="23.1796875" bestFit="1" customWidth="1"/>
    <col min="2" max="2" width="14.90625" customWidth="1"/>
    <col min="3" max="3" width="17" bestFit="1" customWidth="1"/>
    <col min="11" max="11" width="23.1796875" bestFit="1" customWidth="1"/>
    <col min="12" max="12" width="17.54296875" bestFit="1" customWidth="1"/>
  </cols>
  <sheetData>
    <row r="3" spans="1:13" x14ac:dyDescent="0.35">
      <c r="A3" s="2" t="s">
        <v>29</v>
      </c>
      <c r="B3" t="s">
        <v>31</v>
      </c>
      <c r="K3" s="2" t="s">
        <v>29</v>
      </c>
      <c r="L3" t="s">
        <v>54</v>
      </c>
    </row>
    <row r="4" spans="1:13" x14ac:dyDescent="0.35">
      <c r="A4" s="3" t="s">
        <v>21</v>
      </c>
      <c r="B4" s="5">
        <v>59730</v>
      </c>
      <c r="K4" s="3" t="s">
        <v>21</v>
      </c>
      <c r="L4" s="21">
        <v>2</v>
      </c>
      <c r="M4" t="str">
        <f>"Benefactor: "&amp;GETPIVOTDATA("Item Name",$K$3,"Item Name","Benefactor Membership")</f>
        <v>Benefactor: 2</v>
      </c>
    </row>
    <row r="5" spans="1:13" x14ac:dyDescent="0.35">
      <c r="A5" s="3" t="s">
        <v>13</v>
      </c>
      <c r="B5" s="5">
        <v>21583.79</v>
      </c>
      <c r="K5" s="3" t="s">
        <v>13</v>
      </c>
      <c r="L5" s="21">
        <v>11</v>
      </c>
      <c r="M5" t="str">
        <f>"Gold: "&amp;GETPIVOTDATA("Item Name",$K$4,"Item Name","Gold Membership")</f>
        <v>Gold: 11</v>
      </c>
    </row>
    <row r="6" spans="1:13" x14ac:dyDescent="0.35">
      <c r="A6" s="3" t="s">
        <v>18</v>
      </c>
      <c r="B6" s="5">
        <v>215895.04000000001</v>
      </c>
      <c r="K6" s="3" t="s">
        <v>18</v>
      </c>
      <c r="L6" s="21">
        <v>29</v>
      </c>
      <c r="M6" t="str">
        <f>"Organization: "&amp;GETPIVOTDATA("Item Name",$K$3,"Item Name","Organizational Membership")</f>
        <v>Organization: 29</v>
      </c>
    </row>
    <row r="7" spans="1:13" x14ac:dyDescent="0.35">
      <c r="A7" s="3" t="s">
        <v>30</v>
      </c>
      <c r="B7" s="21">
        <v>297208.83</v>
      </c>
      <c r="K7" s="3" t="s">
        <v>30</v>
      </c>
      <c r="L7" s="21">
        <v>42</v>
      </c>
    </row>
    <row r="21" spans="1:2" x14ac:dyDescent="0.35">
      <c r="A21" t="s">
        <v>39</v>
      </c>
    </row>
    <row r="23" spans="1:2" x14ac:dyDescent="0.35">
      <c r="A23" s="2" t="s">
        <v>29</v>
      </c>
      <c r="B23" s="4" t="s">
        <v>31</v>
      </c>
    </row>
    <row r="24" spans="1:2" x14ac:dyDescent="0.35">
      <c r="A24" s="3">
        <v>1</v>
      </c>
      <c r="B24" s="4">
        <v>110573.83</v>
      </c>
    </row>
    <row r="25" spans="1:2" x14ac:dyDescent="0.35">
      <c r="A25" s="3">
        <v>2</v>
      </c>
      <c r="B25" s="4">
        <v>186635</v>
      </c>
    </row>
    <row r="26" spans="1:2" x14ac:dyDescent="0.35">
      <c r="A26" s="3" t="s">
        <v>30</v>
      </c>
      <c r="B26" s="4">
        <v>297208.83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A594-FB02-473F-9541-C982C5FAF7E6}">
  <dimension ref="A1:J43"/>
  <sheetViews>
    <sheetView workbookViewId="0">
      <selection activeCell="A15" sqref="A15"/>
    </sheetView>
  </sheetViews>
  <sheetFormatPr defaultRowHeight="14.5" x14ac:dyDescent="0.35"/>
  <cols>
    <col min="1" max="1" width="61.816406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 t="s">
        <v>87</v>
      </c>
      <c r="B2">
        <v>1905</v>
      </c>
      <c r="C2" s="1">
        <v>46066</v>
      </c>
      <c r="D2">
        <v>18941</v>
      </c>
      <c r="E2">
        <v>44973</v>
      </c>
      <c r="F2" s="1">
        <v>44571</v>
      </c>
      <c r="G2" s="21" t="s">
        <v>17</v>
      </c>
      <c r="H2" s="21" t="s">
        <v>12</v>
      </c>
      <c r="I2" s="21" t="s">
        <v>13</v>
      </c>
      <c r="J2">
        <v>2</v>
      </c>
    </row>
    <row r="3" spans="1:10" x14ac:dyDescent="0.35">
      <c r="A3" s="21" t="s">
        <v>88</v>
      </c>
      <c r="B3">
        <v>1620</v>
      </c>
      <c r="C3" s="1">
        <v>46072</v>
      </c>
      <c r="D3">
        <v>18996</v>
      </c>
      <c r="E3">
        <v>45039</v>
      </c>
      <c r="F3" s="1">
        <v>40976</v>
      </c>
      <c r="G3" s="21" t="s">
        <v>11</v>
      </c>
      <c r="H3" s="21" t="s">
        <v>12</v>
      </c>
      <c r="I3" s="21" t="s">
        <v>18</v>
      </c>
      <c r="J3">
        <v>2</v>
      </c>
    </row>
    <row r="4" spans="1:10" x14ac:dyDescent="0.35">
      <c r="A4" s="21" t="s">
        <v>64</v>
      </c>
      <c r="B4">
        <v>2370</v>
      </c>
      <c r="C4" s="1">
        <v>46035</v>
      </c>
      <c r="D4">
        <v>18613</v>
      </c>
      <c r="E4">
        <v>44511</v>
      </c>
      <c r="F4" s="1">
        <v>37839</v>
      </c>
      <c r="G4" s="21" t="s">
        <v>17</v>
      </c>
      <c r="H4" s="21" t="s">
        <v>12</v>
      </c>
      <c r="I4" s="21" t="s">
        <v>18</v>
      </c>
      <c r="J4">
        <v>1</v>
      </c>
    </row>
    <row r="5" spans="1:10" x14ac:dyDescent="0.35">
      <c r="A5" s="21" t="s">
        <v>89</v>
      </c>
      <c r="B5">
        <v>23375</v>
      </c>
      <c r="C5" s="1">
        <v>46072</v>
      </c>
      <c r="D5">
        <v>18995</v>
      </c>
      <c r="E5">
        <v>45038</v>
      </c>
      <c r="F5" s="1">
        <v>42297</v>
      </c>
      <c r="G5" s="21" t="s">
        <v>17</v>
      </c>
      <c r="H5" s="21" t="s">
        <v>12</v>
      </c>
      <c r="I5" s="21" t="s">
        <v>18</v>
      </c>
      <c r="J5">
        <v>2</v>
      </c>
    </row>
    <row r="6" spans="1:10" x14ac:dyDescent="0.35">
      <c r="A6" s="21" t="s">
        <v>90</v>
      </c>
      <c r="B6">
        <v>5770</v>
      </c>
      <c r="C6" s="1">
        <v>46064</v>
      </c>
      <c r="D6">
        <v>18923</v>
      </c>
      <c r="E6">
        <v>44942</v>
      </c>
      <c r="F6" s="1">
        <v>36360</v>
      </c>
      <c r="G6" s="21" t="s">
        <v>91</v>
      </c>
      <c r="H6" s="21" t="s">
        <v>12</v>
      </c>
      <c r="I6" s="21" t="s">
        <v>18</v>
      </c>
      <c r="J6">
        <v>2</v>
      </c>
    </row>
    <row r="7" spans="1:10" x14ac:dyDescent="0.35">
      <c r="A7" s="21" t="s">
        <v>92</v>
      </c>
      <c r="B7">
        <v>1905</v>
      </c>
      <c r="C7" s="1">
        <v>46062</v>
      </c>
      <c r="D7">
        <v>18906</v>
      </c>
      <c r="E7">
        <v>44895</v>
      </c>
      <c r="F7" s="1">
        <v>37725</v>
      </c>
      <c r="G7" s="21" t="s">
        <v>17</v>
      </c>
      <c r="H7" s="21" t="s">
        <v>12</v>
      </c>
      <c r="I7" s="21" t="s">
        <v>13</v>
      </c>
      <c r="J7">
        <v>2</v>
      </c>
    </row>
    <row r="8" spans="1:10" x14ac:dyDescent="0.35">
      <c r="A8" s="21" t="s">
        <v>93</v>
      </c>
      <c r="B8">
        <v>9990</v>
      </c>
      <c r="C8" s="1">
        <v>46073</v>
      </c>
      <c r="D8">
        <v>18993</v>
      </c>
      <c r="E8">
        <v>45036</v>
      </c>
      <c r="F8" s="1">
        <v>39983</v>
      </c>
      <c r="G8" s="21" t="s">
        <v>94</v>
      </c>
      <c r="H8" s="21" t="s">
        <v>12</v>
      </c>
      <c r="I8" s="21" t="s">
        <v>18</v>
      </c>
      <c r="J8">
        <v>2</v>
      </c>
    </row>
    <row r="9" spans="1:10" x14ac:dyDescent="0.35">
      <c r="A9" s="21" t="s">
        <v>70</v>
      </c>
      <c r="B9">
        <v>1545</v>
      </c>
      <c r="C9" s="1">
        <v>46042</v>
      </c>
      <c r="D9">
        <v>18678</v>
      </c>
      <c r="E9">
        <v>44578</v>
      </c>
      <c r="F9" s="1">
        <v>40179</v>
      </c>
      <c r="G9" s="21" t="s">
        <v>11</v>
      </c>
      <c r="H9" s="21" t="s">
        <v>12</v>
      </c>
      <c r="I9" s="21" t="s">
        <v>18</v>
      </c>
      <c r="J9">
        <v>1</v>
      </c>
    </row>
    <row r="10" spans="1:10" x14ac:dyDescent="0.35">
      <c r="A10" s="21" t="s">
        <v>97</v>
      </c>
      <c r="B10">
        <v>7210</v>
      </c>
      <c r="C10" s="1">
        <v>46059</v>
      </c>
      <c r="D10">
        <v>18957</v>
      </c>
      <c r="E10">
        <v>44992</v>
      </c>
      <c r="F10" s="1">
        <v>45168</v>
      </c>
      <c r="G10" s="21" t="s">
        <v>94</v>
      </c>
      <c r="H10" s="21" t="s">
        <v>12</v>
      </c>
      <c r="I10" s="21" t="s">
        <v>18</v>
      </c>
      <c r="J10">
        <v>2</v>
      </c>
    </row>
    <row r="11" spans="1:10" x14ac:dyDescent="0.35">
      <c r="A11" s="21" t="s">
        <v>100</v>
      </c>
      <c r="B11">
        <v>1545</v>
      </c>
      <c r="C11" s="1">
        <v>46062</v>
      </c>
      <c r="D11">
        <v>18914</v>
      </c>
      <c r="E11">
        <v>44907</v>
      </c>
      <c r="F11" s="1">
        <v>41137</v>
      </c>
      <c r="G11" s="21" t="s">
        <v>17</v>
      </c>
      <c r="H11" s="21" t="s">
        <v>101</v>
      </c>
      <c r="I11" s="21" t="s">
        <v>18</v>
      </c>
      <c r="J11">
        <v>2</v>
      </c>
    </row>
    <row r="12" spans="1:10" x14ac:dyDescent="0.35">
      <c r="A12" s="21" t="s">
        <v>73</v>
      </c>
      <c r="B12">
        <v>38100</v>
      </c>
      <c r="C12" s="1">
        <v>46048</v>
      </c>
      <c r="D12">
        <v>18755</v>
      </c>
      <c r="E12">
        <v>44679</v>
      </c>
      <c r="F12" s="1">
        <v>35925</v>
      </c>
      <c r="G12" s="21" t="s">
        <v>17</v>
      </c>
      <c r="H12" s="21" t="s">
        <v>12</v>
      </c>
      <c r="I12" s="21" t="s">
        <v>21</v>
      </c>
      <c r="J12">
        <v>1</v>
      </c>
    </row>
    <row r="13" spans="1:10" x14ac:dyDescent="0.35">
      <c r="A13" s="21" t="s">
        <v>24</v>
      </c>
      <c r="B13">
        <v>1905</v>
      </c>
      <c r="C13" s="1">
        <v>46030</v>
      </c>
      <c r="D13">
        <v>18444</v>
      </c>
      <c r="E13">
        <v>44327</v>
      </c>
      <c r="F13" s="1">
        <v>45341</v>
      </c>
      <c r="G13" s="21" t="s">
        <v>17</v>
      </c>
      <c r="H13" s="21" t="s">
        <v>12</v>
      </c>
      <c r="I13" s="21" t="s">
        <v>13</v>
      </c>
      <c r="J13">
        <v>1</v>
      </c>
    </row>
    <row r="14" spans="1:10" x14ac:dyDescent="0.35">
      <c r="A14" s="21" t="s">
        <v>26</v>
      </c>
      <c r="B14">
        <v>9685</v>
      </c>
      <c r="C14" s="1">
        <v>46052</v>
      </c>
      <c r="D14">
        <v>18825</v>
      </c>
      <c r="E14">
        <v>44798</v>
      </c>
      <c r="F14" s="1">
        <v>42144</v>
      </c>
      <c r="G14" s="21" t="s">
        <v>17</v>
      </c>
      <c r="H14" s="21" t="s">
        <v>12</v>
      </c>
      <c r="I14" s="21" t="s">
        <v>18</v>
      </c>
      <c r="J14">
        <v>1</v>
      </c>
    </row>
    <row r="15" spans="1:10" x14ac:dyDescent="0.35">
      <c r="A15" s="21" t="s">
        <v>102</v>
      </c>
      <c r="B15">
        <v>23375</v>
      </c>
      <c r="C15" s="1">
        <v>46055</v>
      </c>
      <c r="D15">
        <v>18851</v>
      </c>
      <c r="E15">
        <v>44823</v>
      </c>
      <c r="F15" s="1">
        <v>41558</v>
      </c>
      <c r="G15" s="21" t="s">
        <v>17</v>
      </c>
      <c r="H15" s="21" t="s">
        <v>103</v>
      </c>
      <c r="I15" s="21" t="s">
        <v>18</v>
      </c>
      <c r="J15">
        <v>2</v>
      </c>
    </row>
    <row r="16" spans="1:10" x14ac:dyDescent="0.35">
      <c r="A16" s="21" t="s">
        <v>105</v>
      </c>
      <c r="B16">
        <v>1905</v>
      </c>
      <c r="C16" s="1">
        <v>46055</v>
      </c>
      <c r="D16">
        <v>18850</v>
      </c>
      <c r="E16">
        <v>44822</v>
      </c>
      <c r="F16" s="1">
        <v>40067</v>
      </c>
      <c r="G16" s="21" t="s">
        <v>11</v>
      </c>
      <c r="H16" s="21" t="s">
        <v>12</v>
      </c>
      <c r="I16" s="21" t="s">
        <v>13</v>
      </c>
      <c r="J16">
        <v>2</v>
      </c>
    </row>
    <row r="17" spans="1:10" x14ac:dyDescent="0.35">
      <c r="A17" s="21" t="s">
        <v>111</v>
      </c>
      <c r="B17">
        <v>1545</v>
      </c>
      <c r="C17" s="1">
        <v>46059</v>
      </c>
      <c r="D17">
        <v>18891</v>
      </c>
      <c r="E17">
        <v>44881</v>
      </c>
      <c r="F17" s="1">
        <v>36570</v>
      </c>
      <c r="G17" s="21" t="s">
        <v>11</v>
      </c>
      <c r="H17" s="21" t="s">
        <v>12</v>
      </c>
      <c r="I17" s="21" t="s">
        <v>18</v>
      </c>
      <c r="J17">
        <v>2</v>
      </c>
    </row>
    <row r="18" spans="1:10" x14ac:dyDescent="0.35">
      <c r="A18" s="21" t="s">
        <v>75</v>
      </c>
      <c r="B18">
        <v>23375</v>
      </c>
      <c r="C18" s="1">
        <v>46048</v>
      </c>
      <c r="D18">
        <v>18752</v>
      </c>
      <c r="E18">
        <v>44676</v>
      </c>
      <c r="F18" s="1">
        <v>41256</v>
      </c>
      <c r="G18" s="21" t="s">
        <v>0</v>
      </c>
      <c r="H18" s="21" t="s">
        <v>12</v>
      </c>
      <c r="I18" s="21" t="s">
        <v>18</v>
      </c>
      <c r="J18">
        <v>1</v>
      </c>
    </row>
    <row r="19" spans="1:10" x14ac:dyDescent="0.35">
      <c r="A19" s="21" t="s">
        <v>27</v>
      </c>
      <c r="B19">
        <v>5460</v>
      </c>
      <c r="C19" s="1">
        <v>46037</v>
      </c>
      <c r="D19">
        <v>18650</v>
      </c>
      <c r="E19">
        <v>44548</v>
      </c>
      <c r="F19" s="1">
        <v>39989</v>
      </c>
      <c r="G19" s="21" t="s">
        <v>11</v>
      </c>
      <c r="H19" s="21" t="s">
        <v>12</v>
      </c>
      <c r="I19" s="21" t="s">
        <v>18</v>
      </c>
      <c r="J19">
        <v>1</v>
      </c>
    </row>
    <row r="20" spans="1:10" x14ac:dyDescent="0.35">
      <c r="A20" s="21" t="s">
        <v>112</v>
      </c>
      <c r="B20">
        <v>14420</v>
      </c>
      <c r="C20" s="1">
        <v>46055</v>
      </c>
      <c r="D20">
        <v>18849</v>
      </c>
      <c r="E20">
        <v>44821</v>
      </c>
      <c r="F20" s="1">
        <v>37963</v>
      </c>
      <c r="G20" s="21" t="s">
        <v>94</v>
      </c>
      <c r="H20" s="21" t="s">
        <v>12</v>
      </c>
      <c r="I20" s="21" t="s">
        <v>18</v>
      </c>
      <c r="J20">
        <v>2</v>
      </c>
    </row>
    <row r="21" spans="1:10" x14ac:dyDescent="0.35">
      <c r="A21" s="21" t="s">
        <v>22</v>
      </c>
      <c r="B21">
        <v>1545</v>
      </c>
      <c r="C21" s="1">
        <v>46051</v>
      </c>
      <c r="D21">
        <v>18802</v>
      </c>
      <c r="E21">
        <v>44761</v>
      </c>
      <c r="F21" s="1">
        <v>45303</v>
      </c>
      <c r="G21" s="21" t="s">
        <v>17</v>
      </c>
      <c r="H21" s="21" t="s">
        <v>12</v>
      </c>
      <c r="I21" s="21" t="s">
        <v>18</v>
      </c>
      <c r="J21">
        <v>1</v>
      </c>
    </row>
    <row r="22" spans="1:10" x14ac:dyDescent="0.35">
      <c r="A22" s="21" t="s">
        <v>114</v>
      </c>
      <c r="B22">
        <v>16175</v>
      </c>
      <c r="C22" s="1">
        <v>46073</v>
      </c>
      <c r="D22">
        <v>18994</v>
      </c>
      <c r="E22">
        <v>45037</v>
      </c>
      <c r="F22" s="1">
        <v>40205</v>
      </c>
      <c r="G22" s="21" t="s">
        <v>17</v>
      </c>
      <c r="H22" s="21" t="s">
        <v>12</v>
      </c>
      <c r="I22" s="21" t="s">
        <v>18</v>
      </c>
      <c r="J22">
        <v>2</v>
      </c>
    </row>
    <row r="23" spans="1:10" x14ac:dyDescent="0.35">
      <c r="A23" s="21" t="s">
        <v>116</v>
      </c>
      <c r="B23">
        <v>1905</v>
      </c>
      <c r="C23" s="1">
        <v>46070</v>
      </c>
      <c r="D23">
        <v>18958</v>
      </c>
      <c r="E23">
        <v>44993</v>
      </c>
      <c r="F23" s="1">
        <v>43966</v>
      </c>
      <c r="G23" s="21" t="s">
        <v>11</v>
      </c>
      <c r="H23" s="21" t="s">
        <v>12</v>
      </c>
      <c r="I23" s="21" t="s">
        <v>13</v>
      </c>
      <c r="J23">
        <v>2</v>
      </c>
    </row>
    <row r="24" spans="1:10" x14ac:dyDescent="0.35">
      <c r="A24" s="21" t="s">
        <v>63</v>
      </c>
      <c r="B24">
        <v>2370</v>
      </c>
      <c r="C24" s="1">
        <v>46042</v>
      </c>
      <c r="D24">
        <v>18672</v>
      </c>
      <c r="E24">
        <v>44570</v>
      </c>
      <c r="F24" s="1">
        <v>41988</v>
      </c>
      <c r="G24" s="21" t="s">
        <v>17</v>
      </c>
      <c r="H24" s="21" t="s">
        <v>12</v>
      </c>
      <c r="I24" s="21" t="s">
        <v>18</v>
      </c>
      <c r="J24">
        <v>1</v>
      </c>
    </row>
    <row r="25" spans="1:10" x14ac:dyDescent="0.35">
      <c r="A25" s="21" t="s">
        <v>77</v>
      </c>
      <c r="B25">
        <v>1905</v>
      </c>
      <c r="C25" s="1">
        <v>46044</v>
      </c>
      <c r="D25">
        <v>18717</v>
      </c>
      <c r="E25">
        <v>44617</v>
      </c>
      <c r="F25" s="1">
        <v>43465</v>
      </c>
      <c r="G25" s="21" t="s">
        <v>17</v>
      </c>
      <c r="H25" s="21" t="s">
        <v>12</v>
      </c>
      <c r="I25" s="21" t="s">
        <v>13</v>
      </c>
      <c r="J25">
        <v>1</v>
      </c>
    </row>
    <row r="26" spans="1:10" x14ac:dyDescent="0.35">
      <c r="A26" s="21" t="s">
        <v>14</v>
      </c>
      <c r="B26">
        <v>1545</v>
      </c>
      <c r="C26" s="1">
        <v>46037</v>
      </c>
      <c r="D26">
        <v>18652</v>
      </c>
      <c r="E26">
        <v>44550</v>
      </c>
      <c r="F26" s="1">
        <v>38720</v>
      </c>
      <c r="G26" s="21" t="s">
        <v>11</v>
      </c>
      <c r="H26" s="21" t="s">
        <v>12</v>
      </c>
      <c r="I26" s="21" t="s">
        <v>18</v>
      </c>
      <c r="J26">
        <v>1</v>
      </c>
    </row>
    <row r="27" spans="1:10" x14ac:dyDescent="0.35">
      <c r="A27" s="21" t="s">
        <v>56</v>
      </c>
      <c r="B27">
        <v>2990</v>
      </c>
      <c r="C27" s="1">
        <v>46045</v>
      </c>
      <c r="D27">
        <v>18722</v>
      </c>
      <c r="E27">
        <v>44622</v>
      </c>
      <c r="F27" s="1">
        <v>45682</v>
      </c>
      <c r="G27" s="21" t="s">
        <v>17</v>
      </c>
      <c r="H27" s="21" t="s">
        <v>12</v>
      </c>
      <c r="I27" s="21" t="s">
        <v>13</v>
      </c>
      <c r="J27">
        <v>1</v>
      </c>
    </row>
    <row r="28" spans="1:10" x14ac:dyDescent="0.35">
      <c r="A28" s="21" t="s">
        <v>78</v>
      </c>
      <c r="B28">
        <v>2990</v>
      </c>
      <c r="C28" s="1">
        <v>46031</v>
      </c>
      <c r="D28">
        <v>18479</v>
      </c>
      <c r="E28">
        <v>44361</v>
      </c>
      <c r="F28" s="1">
        <v>44209</v>
      </c>
      <c r="G28" s="21" t="s">
        <v>17</v>
      </c>
      <c r="H28" s="21" t="s">
        <v>12</v>
      </c>
      <c r="I28" s="21" t="s">
        <v>13</v>
      </c>
      <c r="J28">
        <v>1</v>
      </c>
    </row>
    <row r="29" spans="1:10" x14ac:dyDescent="0.35">
      <c r="A29" s="21" t="s">
        <v>67</v>
      </c>
      <c r="B29">
        <v>460.04</v>
      </c>
      <c r="C29" s="1">
        <v>46031</v>
      </c>
      <c r="D29">
        <v>18491</v>
      </c>
      <c r="E29">
        <v>44373</v>
      </c>
      <c r="F29" s="1">
        <v>45777</v>
      </c>
      <c r="G29" s="21" t="s">
        <v>17</v>
      </c>
      <c r="H29" s="21" t="s">
        <v>12</v>
      </c>
      <c r="I29" s="21" t="s">
        <v>18</v>
      </c>
      <c r="J29">
        <v>1</v>
      </c>
    </row>
    <row r="30" spans="1:10" x14ac:dyDescent="0.35">
      <c r="A30" s="21" t="s">
        <v>67</v>
      </c>
      <c r="B30">
        <v>108.79</v>
      </c>
      <c r="C30" s="1">
        <v>46031</v>
      </c>
      <c r="D30">
        <v>18507</v>
      </c>
      <c r="E30">
        <v>44390</v>
      </c>
      <c r="F30" s="1">
        <v>45777</v>
      </c>
      <c r="G30" s="21" t="s">
        <v>17</v>
      </c>
      <c r="H30" s="21" t="s">
        <v>12</v>
      </c>
      <c r="I30" s="21" t="s">
        <v>13</v>
      </c>
      <c r="J30">
        <v>1</v>
      </c>
    </row>
    <row r="31" spans="1:10" x14ac:dyDescent="0.35">
      <c r="A31" s="21" t="s">
        <v>19</v>
      </c>
      <c r="B31">
        <v>1545</v>
      </c>
      <c r="C31" s="1">
        <v>46027</v>
      </c>
      <c r="D31">
        <v>18359</v>
      </c>
      <c r="E31">
        <v>44215</v>
      </c>
      <c r="F31" s="1">
        <v>40225</v>
      </c>
      <c r="G31" s="21" t="s">
        <v>0</v>
      </c>
      <c r="H31" s="21" t="s">
        <v>12</v>
      </c>
      <c r="I31" s="21" t="s">
        <v>18</v>
      </c>
      <c r="J31">
        <v>1</v>
      </c>
    </row>
    <row r="32" spans="1:10" x14ac:dyDescent="0.35">
      <c r="A32" s="21" t="s">
        <v>117</v>
      </c>
      <c r="B32">
        <v>21630</v>
      </c>
      <c r="C32" s="1">
        <v>46062</v>
      </c>
      <c r="D32">
        <v>18908</v>
      </c>
      <c r="E32">
        <v>44897</v>
      </c>
      <c r="F32" s="1">
        <v>42304</v>
      </c>
      <c r="G32" s="21" t="s">
        <v>17</v>
      </c>
      <c r="H32" s="21" t="s">
        <v>12</v>
      </c>
      <c r="I32" s="21" t="s">
        <v>21</v>
      </c>
      <c r="J32">
        <v>2</v>
      </c>
    </row>
    <row r="33" spans="1:10" x14ac:dyDescent="0.35">
      <c r="A33" s="21" t="s">
        <v>118</v>
      </c>
      <c r="B33">
        <v>2160</v>
      </c>
      <c r="C33" s="1">
        <v>46071</v>
      </c>
      <c r="D33">
        <v>18975</v>
      </c>
      <c r="E33">
        <v>45010</v>
      </c>
      <c r="F33" s="1">
        <v>36032</v>
      </c>
      <c r="G33" s="21" t="s">
        <v>94</v>
      </c>
      <c r="H33" s="21" t="s">
        <v>12</v>
      </c>
      <c r="I33" s="21" t="s">
        <v>13</v>
      </c>
      <c r="J33">
        <v>2</v>
      </c>
    </row>
    <row r="34" spans="1:10" x14ac:dyDescent="0.35">
      <c r="A34" s="21" t="s">
        <v>119</v>
      </c>
      <c r="B34">
        <v>23375</v>
      </c>
      <c r="C34" s="1">
        <v>46066</v>
      </c>
      <c r="D34">
        <v>18940</v>
      </c>
      <c r="E34">
        <v>44972</v>
      </c>
      <c r="F34" s="1">
        <v>41302</v>
      </c>
      <c r="G34" s="21" t="s">
        <v>17</v>
      </c>
      <c r="H34" s="21" t="s">
        <v>120</v>
      </c>
      <c r="I34" s="21" t="s">
        <v>18</v>
      </c>
      <c r="J34">
        <v>2</v>
      </c>
    </row>
    <row r="35" spans="1:10" x14ac:dyDescent="0.35">
      <c r="A35" s="21" t="s">
        <v>23</v>
      </c>
      <c r="B35">
        <v>1545</v>
      </c>
      <c r="C35" s="1">
        <v>46035</v>
      </c>
      <c r="D35">
        <v>18620</v>
      </c>
      <c r="E35">
        <v>44519</v>
      </c>
      <c r="F35" s="1">
        <v>41317</v>
      </c>
      <c r="G35" s="21" t="s">
        <v>11</v>
      </c>
      <c r="H35" s="21" t="s">
        <v>12</v>
      </c>
      <c r="I35" s="21" t="s">
        <v>18</v>
      </c>
      <c r="J35">
        <v>1</v>
      </c>
    </row>
    <row r="36" spans="1:10" x14ac:dyDescent="0.35">
      <c r="A36" s="21" t="s">
        <v>80</v>
      </c>
      <c r="B36">
        <v>1545</v>
      </c>
      <c r="C36" s="1">
        <v>46029</v>
      </c>
      <c r="D36">
        <v>18421</v>
      </c>
      <c r="E36">
        <v>44301</v>
      </c>
      <c r="F36" s="1">
        <v>46029</v>
      </c>
      <c r="G36" s="21" t="s">
        <v>17</v>
      </c>
      <c r="H36" s="21" t="s">
        <v>12</v>
      </c>
      <c r="I36" s="21" t="s">
        <v>18</v>
      </c>
      <c r="J36">
        <v>1</v>
      </c>
    </row>
    <row r="37" spans="1:10" x14ac:dyDescent="0.35">
      <c r="A37" s="21" t="s">
        <v>123</v>
      </c>
      <c r="B37">
        <v>1545</v>
      </c>
      <c r="C37" s="1">
        <v>46069</v>
      </c>
      <c r="D37">
        <v>18947</v>
      </c>
      <c r="E37">
        <v>44979</v>
      </c>
      <c r="F37" s="1">
        <v>44538</v>
      </c>
      <c r="G37" s="21" t="s">
        <v>17</v>
      </c>
      <c r="H37" s="21" t="s">
        <v>12</v>
      </c>
      <c r="I37" s="21" t="s">
        <v>18</v>
      </c>
      <c r="J37">
        <v>2</v>
      </c>
    </row>
    <row r="38" spans="1:10" x14ac:dyDescent="0.35">
      <c r="A38" s="21" t="s">
        <v>124</v>
      </c>
      <c r="B38">
        <v>23375</v>
      </c>
      <c r="C38" s="1">
        <v>46080</v>
      </c>
      <c r="D38">
        <v>19076</v>
      </c>
      <c r="E38">
        <v>45158</v>
      </c>
      <c r="F38" s="1">
        <v>37602</v>
      </c>
      <c r="G38" s="21" t="s">
        <v>17</v>
      </c>
      <c r="H38" s="21" t="s">
        <v>12</v>
      </c>
      <c r="I38" s="21" t="s">
        <v>18</v>
      </c>
      <c r="J38">
        <v>2</v>
      </c>
    </row>
    <row r="39" spans="1:10" x14ac:dyDescent="0.35">
      <c r="A39" s="21" t="s">
        <v>25</v>
      </c>
      <c r="B39">
        <v>2680</v>
      </c>
      <c r="C39" s="1">
        <v>46038</v>
      </c>
      <c r="D39">
        <v>18656</v>
      </c>
      <c r="E39">
        <v>44554</v>
      </c>
      <c r="F39" s="1">
        <v>36985</v>
      </c>
      <c r="G39" s="21" t="s">
        <v>11</v>
      </c>
      <c r="H39" s="21" t="s">
        <v>12</v>
      </c>
      <c r="I39" s="21" t="s">
        <v>18</v>
      </c>
      <c r="J39">
        <v>1</v>
      </c>
    </row>
    <row r="40" spans="1:10" x14ac:dyDescent="0.35">
      <c r="A40" s="21" t="s">
        <v>58</v>
      </c>
      <c r="B40">
        <v>1545</v>
      </c>
      <c r="C40" s="1">
        <v>46042</v>
      </c>
      <c r="D40">
        <v>18683</v>
      </c>
      <c r="E40">
        <v>44583</v>
      </c>
      <c r="F40" s="1">
        <v>45679</v>
      </c>
      <c r="G40" s="21" t="s">
        <v>17</v>
      </c>
      <c r="H40" s="21" t="s">
        <v>12</v>
      </c>
      <c r="I40" s="21" t="s">
        <v>18</v>
      </c>
      <c r="J40">
        <v>1</v>
      </c>
    </row>
    <row r="41" spans="1:10" x14ac:dyDescent="0.35">
      <c r="A41" s="21" t="s">
        <v>125</v>
      </c>
      <c r="B41">
        <v>1905</v>
      </c>
      <c r="C41" s="1">
        <v>46069</v>
      </c>
      <c r="D41">
        <v>18949</v>
      </c>
      <c r="E41">
        <v>44981</v>
      </c>
      <c r="F41" s="1">
        <v>44095</v>
      </c>
      <c r="G41" s="21" t="s">
        <v>11</v>
      </c>
      <c r="H41" s="21" t="s">
        <v>12</v>
      </c>
      <c r="I41" s="21" t="s">
        <v>13</v>
      </c>
      <c r="J41">
        <v>2</v>
      </c>
    </row>
    <row r="42" spans="1:10" x14ac:dyDescent="0.35">
      <c r="A42" s="21" t="s">
        <v>84</v>
      </c>
      <c r="B42">
        <v>2680</v>
      </c>
      <c r="C42" s="1">
        <v>46038</v>
      </c>
      <c r="D42">
        <v>18660</v>
      </c>
      <c r="E42">
        <v>44559</v>
      </c>
      <c r="F42" s="1">
        <v>40897</v>
      </c>
      <c r="G42" s="21" t="s">
        <v>11</v>
      </c>
      <c r="H42" s="21" t="s">
        <v>12</v>
      </c>
      <c r="I42" s="21" t="s">
        <v>18</v>
      </c>
      <c r="J42">
        <v>1</v>
      </c>
    </row>
    <row r="43" spans="1:10" x14ac:dyDescent="0.35">
      <c r="A43" s="21" t="s">
        <v>85</v>
      </c>
      <c r="B43">
        <v>2680</v>
      </c>
      <c r="C43" s="1">
        <v>46052</v>
      </c>
      <c r="D43">
        <v>18826</v>
      </c>
      <c r="E43">
        <v>44799</v>
      </c>
      <c r="F43" s="1">
        <v>42942</v>
      </c>
      <c r="G43" s="21" t="s">
        <v>11</v>
      </c>
      <c r="H43" s="21" t="s">
        <v>12</v>
      </c>
      <c r="I43" s="21" t="s">
        <v>18</v>
      </c>
      <c r="J4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50FD-1B3E-42C1-A05C-8210968609D2}">
  <dimension ref="A3:C27"/>
  <sheetViews>
    <sheetView workbookViewId="0">
      <selection activeCell="B24" sqref="B24"/>
    </sheetView>
  </sheetViews>
  <sheetFormatPr defaultRowHeight="14.5" x14ac:dyDescent="0.35"/>
  <cols>
    <col min="1" max="1" width="12.453125" bestFit="1" customWidth="1"/>
    <col min="2" max="2" width="11.1796875" bestFit="1" customWidth="1"/>
  </cols>
  <sheetData>
    <row r="3" spans="1:3" x14ac:dyDescent="0.35">
      <c r="A3" s="2" t="s">
        <v>29</v>
      </c>
      <c r="B3" t="s">
        <v>31</v>
      </c>
    </row>
    <row r="4" spans="1:3" x14ac:dyDescent="0.35">
      <c r="A4" s="3">
        <v>1</v>
      </c>
      <c r="B4" s="4">
        <v>8525</v>
      </c>
    </row>
    <row r="5" spans="1:3" x14ac:dyDescent="0.35">
      <c r="A5" s="3">
        <v>2</v>
      </c>
      <c r="B5" s="4">
        <v>4075</v>
      </c>
    </row>
    <row r="6" spans="1:3" x14ac:dyDescent="0.35">
      <c r="A6" s="3" t="s">
        <v>30</v>
      </c>
      <c r="B6" s="4">
        <v>12600</v>
      </c>
    </row>
    <row r="16" spans="1:3" x14ac:dyDescent="0.35">
      <c r="C16">
        <f>GETPIVOTDATA("Total",$A$3)</f>
        <v>12600</v>
      </c>
    </row>
    <row r="17" spans="1:3" x14ac:dyDescent="0.35">
      <c r="C17" t="str">
        <f>"Grand Total: $"&amp;TEXT(GETPIVOTDATA("Total",$A$3),"#,###")</f>
        <v>Grand Total: $12,600</v>
      </c>
    </row>
    <row r="22" spans="1:3" x14ac:dyDescent="0.35">
      <c r="A22" s="2" t="s">
        <v>29</v>
      </c>
      <c r="B22" t="s">
        <v>54</v>
      </c>
    </row>
    <row r="23" spans="1:3" x14ac:dyDescent="0.35">
      <c r="A23" s="3" t="s">
        <v>16</v>
      </c>
      <c r="B23" s="21">
        <v>16</v>
      </c>
    </row>
    <row r="24" spans="1:3" x14ac:dyDescent="0.35">
      <c r="A24" s="3" t="s">
        <v>99</v>
      </c>
      <c r="B24" s="21">
        <v>2</v>
      </c>
    </row>
    <row r="25" spans="1:3" x14ac:dyDescent="0.35">
      <c r="A25" s="3" t="s">
        <v>30</v>
      </c>
      <c r="B25" s="21">
        <v>18</v>
      </c>
    </row>
    <row r="27" spans="1:3" x14ac:dyDescent="0.35">
      <c r="C27" t="str">
        <f>CONCATENATE("Individual: ",GETPIVOTDATA("Item Name",$A$22))</f>
        <v>Individual: 18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0264-9DB1-4BB5-BB8C-E3311B49F6F5}">
  <dimension ref="A1:J19"/>
  <sheetViews>
    <sheetView workbookViewId="0">
      <selection activeCell="A9" sqref="A9"/>
    </sheetView>
  </sheetViews>
  <sheetFormatPr defaultRowHeight="14.5" x14ac:dyDescent="0.35"/>
  <cols>
    <col min="1" max="1" width="30.269531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17.81640625" bestFit="1" customWidth="1"/>
    <col min="8" max="8" width="15.453125" bestFit="1" customWidth="1"/>
    <col min="9" max="9" width="19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 t="s">
        <v>28</v>
      </c>
      <c r="B2">
        <v>775</v>
      </c>
      <c r="C2" s="1">
        <v>46033</v>
      </c>
      <c r="D2">
        <v>18551</v>
      </c>
      <c r="E2">
        <v>44438</v>
      </c>
      <c r="F2" s="1">
        <v>45385</v>
      </c>
      <c r="G2" s="21" t="s">
        <v>15</v>
      </c>
      <c r="H2" s="21" t="s">
        <v>15</v>
      </c>
      <c r="I2" s="21" t="s">
        <v>16</v>
      </c>
      <c r="J2">
        <v>1</v>
      </c>
    </row>
    <row r="3" spans="1:10" x14ac:dyDescent="0.35">
      <c r="A3" s="21" t="s">
        <v>55</v>
      </c>
      <c r="B3">
        <v>775</v>
      </c>
      <c r="C3" s="1">
        <v>46027</v>
      </c>
      <c r="D3">
        <v>18371</v>
      </c>
      <c r="E3">
        <v>44227</v>
      </c>
      <c r="F3" s="1">
        <v>44433</v>
      </c>
      <c r="G3" s="21" t="s">
        <v>15</v>
      </c>
      <c r="H3" s="21" t="s">
        <v>12</v>
      </c>
      <c r="I3" s="21" t="s">
        <v>16</v>
      </c>
      <c r="J3">
        <v>1</v>
      </c>
    </row>
    <row r="4" spans="1:10" x14ac:dyDescent="0.35">
      <c r="A4" s="21" t="s">
        <v>69</v>
      </c>
      <c r="B4">
        <v>775</v>
      </c>
      <c r="C4" s="1">
        <v>46034</v>
      </c>
      <c r="D4">
        <v>18605</v>
      </c>
      <c r="E4">
        <v>44503</v>
      </c>
      <c r="F4" s="1">
        <v>46034</v>
      </c>
      <c r="G4" s="21" t="s">
        <v>15</v>
      </c>
      <c r="H4" s="21" t="s">
        <v>20</v>
      </c>
      <c r="I4" s="21" t="s">
        <v>16</v>
      </c>
      <c r="J4">
        <v>1</v>
      </c>
    </row>
    <row r="5" spans="1:10" x14ac:dyDescent="0.35">
      <c r="A5" s="21" t="s">
        <v>98</v>
      </c>
      <c r="B5">
        <v>100</v>
      </c>
      <c r="C5" s="1">
        <v>46069</v>
      </c>
      <c r="D5">
        <v>18946</v>
      </c>
      <c r="E5">
        <v>44978</v>
      </c>
      <c r="F5" s="1">
        <v>44959</v>
      </c>
      <c r="G5" s="21" t="s">
        <v>15</v>
      </c>
      <c r="H5" s="21" t="s">
        <v>12</v>
      </c>
      <c r="I5" s="21" t="s">
        <v>99</v>
      </c>
      <c r="J5">
        <v>2</v>
      </c>
    </row>
    <row r="6" spans="1:10" x14ac:dyDescent="0.35">
      <c r="A6" s="21" t="s">
        <v>71</v>
      </c>
      <c r="B6">
        <v>775</v>
      </c>
      <c r="C6" s="1">
        <v>46053</v>
      </c>
      <c r="D6">
        <v>18840</v>
      </c>
      <c r="E6">
        <v>44813</v>
      </c>
      <c r="F6" s="1">
        <v>44546</v>
      </c>
      <c r="G6" s="21" t="s">
        <v>15</v>
      </c>
      <c r="H6" s="21" t="s">
        <v>15</v>
      </c>
      <c r="I6" s="21" t="s">
        <v>16</v>
      </c>
      <c r="J6">
        <v>1</v>
      </c>
    </row>
    <row r="7" spans="1:10" x14ac:dyDescent="0.35">
      <c r="A7" s="21" t="s">
        <v>72</v>
      </c>
      <c r="B7">
        <v>775</v>
      </c>
      <c r="C7" s="1">
        <v>46052</v>
      </c>
      <c r="D7">
        <v>18833</v>
      </c>
      <c r="E7">
        <v>44806</v>
      </c>
      <c r="F7" s="1">
        <v>46052</v>
      </c>
      <c r="G7" s="21" t="s">
        <v>15</v>
      </c>
      <c r="H7" s="21" t="s">
        <v>12</v>
      </c>
      <c r="I7" s="21" t="s">
        <v>16</v>
      </c>
      <c r="J7">
        <v>1</v>
      </c>
    </row>
    <row r="8" spans="1:10" x14ac:dyDescent="0.35">
      <c r="A8" s="21" t="s">
        <v>74</v>
      </c>
      <c r="B8">
        <v>775</v>
      </c>
      <c r="C8" s="1">
        <v>46043</v>
      </c>
      <c r="D8">
        <v>18708</v>
      </c>
      <c r="E8">
        <v>44608</v>
      </c>
      <c r="F8" s="1">
        <v>42038</v>
      </c>
      <c r="G8" s="21" t="s">
        <v>17</v>
      </c>
      <c r="H8" s="21" t="s">
        <v>12</v>
      </c>
      <c r="I8" s="21" t="s">
        <v>16</v>
      </c>
      <c r="J8">
        <v>1</v>
      </c>
    </row>
    <row r="9" spans="1:10" x14ac:dyDescent="0.35">
      <c r="A9" s="21" t="s">
        <v>104</v>
      </c>
      <c r="B9">
        <v>775</v>
      </c>
      <c r="C9" s="1">
        <v>46080</v>
      </c>
      <c r="D9">
        <v>19083</v>
      </c>
      <c r="E9">
        <v>45165</v>
      </c>
      <c r="F9" s="1">
        <v>46080</v>
      </c>
      <c r="G9" s="21" t="s">
        <v>15</v>
      </c>
      <c r="H9" s="21" t="s">
        <v>12</v>
      </c>
      <c r="I9" s="21" t="s">
        <v>16</v>
      </c>
      <c r="J9">
        <v>2</v>
      </c>
    </row>
    <row r="10" spans="1:10" x14ac:dyDescent="0.35">
      <c r="A10" s="21" t="s">
        <v>76</v>
      </c>
      <c r="B10">
        <v>775</v>
      </c>
      <c r="C10" s="1">
        <v>46028</v>
      </c>
      <c r="D10">
        <v>18392</v>
      </c>
      <c r="E10">
        <v>44254</v>
      </c>
      <c r="F10" s="1">
        <v>46028</v>
      </c>
      <c r="G10" s="21" t="s">
        <v>15</v>
      </c>
      <c r="H10" s="21" t="s">
        <v>12</v>
      </c>
      <c r="I10" s="21" t="s">
        <v>16</v>
      </c>
      <c r="J10">
        <v>1</v>
      </c>
    </row>
    <row r="11" spans="1:10" x14ac:dyDescent="0.35">
      <c r="A11" s="21" t="s">
        <v>113</v>
      </c>
      <c r="B11">
        <v>100</v>
      </c>
      <c r="C11" s="1">
        <v>46064</v>
      </c>
      <c r="D11">
        <v>18927</v>
      </c>
      <c r="E11">
        <v>44951</v>
      </c>
      <c r="F11" s="1">
        <v>35292</v>
      </c>
      <c r="G11" s="21" t="s">
        <v>15</v>
      </c>
      <c r="H11" s="21" t="s">
        <v>12</v>
      </c>
      <c r="I11" s="21" t="s">
        <v>99</v>
      </c>
      <c r="J11">
        <v>2</v>
      </c>
    </row>
    <row r="12" spans="1:10" x14ac:dyDescent="0.35">
      <c r="A12" s="21" t="s">
        <v>115</v>
      </c>
      <c r="B12">
        <v>775</v>
      </c>
      <c r="C12" s="1">
        <v>46055</v>
      </c>
      <c r="D12">
        <v>18853</v>
      </c>
      <c r="E12">
        <v>44825</v>
      </c>
      <c r="F12" s="1">
        <v>45344</v>
      </c>
      <c r="G12" s="21" t="s">
        <v>15</v>
      </c>
      <c r="H12" s="21" t="s">
        <v>15</v>
      </c>
      <c r="I12" s="21" t="s">
        <v>16</v>
      </c>
      <c r="J12">
        <v>2</v>
      </c>
    </row>
    <row r="13" spans="1:10" x14ac:dyDescent="0.35">
      <c r="A13" s="21" t="s">
        <v>79</v>
      </c>
      <c r="B13">
        <v>775</v>
      </c>
      <c r="C13" s="1">
        <v>46034</v>
      </c>
      <c r="D13">
        <v>18585</v>
      </c>
      <c r="E13">
        <v>44482</v>
      </c>
      <c r="F13" s="1">
        <v>46034</v>
      </c>
      <c r="G13" s="21" t="s">
        <v>15</v>
      </c>
      <c r="H13" s="21" t="s">
        <v>12</v>
      </c>
      <c r="I13" s="21" t="s">
        <v>16</v>
      </c>
      <c r="J13">
        <v>1</v>
      </c>
    </row>
    <row r="14" spans="1:10" x14ac:dyDescent="0.35">
      <c r="A14" s="21" t="s">
        <v>121</v>
      </c>
      <c r="B14">
        <v>775</v>
      </c>
      <c r="C14" s="1">
        <v>46070</v>
      </c>
      <c r="D14">
        <v>18965</v>
      </c>
      <c r="E14">
        <v>45000</v>
      </c>
      <c r="F14" s="1">
        <v>45013</v>
      </c>
      <c r="G14" s="21" t="s">
        <v>15</v>
      </c>
      <c r="H14" s="21" t="s">
        <v>12</v>
      </c>
      <c r="I14" s="21" t="s">
        <v>16</v>
      </c>
      <c r="J14">
        <v>2</v>
      </c>
    </row>
    <row r="15" spans="1:10" x14ac:dyDescent="0.35">
      <c r="A15" s="21" t="s">
        <v>57</v>
      </c>
      <c r="B15">
        <v>775</v>
      </c>
      <c r="C15" s="1">
        <v>46043</v>
      </c>
      <c r="D15">
        <v>18695</v>
      </c>
      <c r="E15">
        <v>44595</v>
      </c>
      <c r="F15" s="1">
        <v>45681</v>
      </c>
      <c r="G15" s="21" t="s">
        <v>15</v>
      </c>
      <c r="H15" s="21" t="s">
        <v>15</v>
      </c>
      <c r="I15" s="21" t="s">
        <v>16</v>
      </c>
      <c r="J15">
        <v>1</v>
      </c>
    </row>
    <row r="16" spans="1:10" x14ac:dyDescent="0.35">
      <c r="A16" s="21" t="s">
        <v>81</v>
      </c>
      <c r="B16">
        <v>775</v>
      </c>
      <c r="C16" s="1">
        <v>46029</v>
      </c>
      <c r="D16">
        <v>18418</v>
      </c>
      <c r="E16">
        <v>44298</v>
      </c>
      <c r="F16" s="1">
        <v>45050</v>
      </c>
      <c r="G16" s="21" t="s">
        <v>15</v>
      </c>
      <c r="H16" s="21" t="s">
        <v>12</v>
      </c>
      <c r="I16" s="21" t="s">
        <v>16</v>
      </c>
      <c r="J16">
        <v>1</v>
      </c>
    </row>
    <row r="17" spans="1:10" x14ac:dyDescent="0.35">
      <c r="A17" s="21" t="s">
        <v>82</v>
      </c>
      <c r="B17">
        <v>775</v>
      </c>
      <c r="C17" s="1">
        <v>46055</v>
      </c>
      <c r="D17">
        <v>18845</v>
      </c>
      <c r="E17">
        <v>44817</v>
      </c>
      <c r="F17" s="1">
        <v>46055</v>
      </c>
      <c r="G17" s="21" t="s">
        <v>15</v>
      </c>
      <c r="H17" s="21" t="s">
        <v>12</v>
      </c>
      <c r="I17" s="21" t="s">
        <v>16</v>
      </c>
      <c r="J17">
        <v>2</v>
      </c>
    </row>
    <row r="18" spans="1:10" x14ac:dyDescent="0.35">
      <c r="A18" s="21" t="s">
        <v>122</v>
      </c>
      <c r="B18">
        <v>775</v>
      </c>
      <c r="C18" s="1">
        <v>46056</v>
      </c>
      <c r="D18">
        <v>18862</v>
      </c>
      <c r="E18">
        <v>44835</v>
      </c>
      <c r="F18" s="1">
        <v>46056</v>
      </c>
      <c r="G18" s="21" t="s">
        <v>15</v>
      </c>
      <c r="H18" s="21" t="s">
        <v>12</v>
      </c>
      <c r="I18" s="21" t="s">
        <v>16</v>
      </c>
      <c r="J18">
        <v>2</v>
      </c>
    </row>
    <row r="19" spans="1:10" x14ac:dyDescent="0.35">
      <c r="A19" s="21" t="s">
        <v>83</v>
      </c>
      <c r="B19">
        <v>775</v>
      </c>
      <c r="C19" s="1">
        <v>46050</v>
      </c>
      <c r="D19">
        <v>18774</v>
      </c>
      <c r="E19">
        <v>44713</v>
      </c>
      <c r="F19" s="1">
        <v>46050</v>
      </c>
      <c r="G19" s="21" t="s">
        <v>15</v>
      </c>
      <c r="H19" s="21" t="s">
        <v>68</v>
      </c>
      <c r="I19" s="21" t="s">
        <v>16</v>
      </c>
      <c r="J19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3974-A8E8-4844-A4CA-EBDCF32C2A01}">
  <dimension ref="B1:I9"/>
  <sheetViews>
    <sheetView workbookViewId="0">
      <selection activeCell="B3" sqref="B3"/>
    </sheetView>
  </sheetViews>
  <sheetFormatPr defaultRowHeight="14.5" x14ac:dyDescent="0.35"/>
  <cols>
    <col min="1" max="1" width="15.453125" bestFit="1" customWidth="1"/>
    <col min="2" max="2" width="12.453125" bestFit="1" customWidth="1"/>
    <col min="3" max="3" width="19.81640625" bestFit="1" customWidth="1"/>
    <col min="4" max="5" width="10.36328125" bestFit="1" customWidth="1"/>
    <col min="6" max="6" width="8.81640625" bestFit="1" customWidth="1"/>
    <col min="7" max="7" width="24.6328125" bestFit="1" customWidth="1"/>
    <col min="8" max="8" width="12.1796875" bestFit="1" customWidth="1"/>
    <col min="9" max="9" width="9.90625" bestFit="1" customWidth="1"/>
    <col min="10" max="10" width="8.81640625" bestFit="1" customWidth="1"/>
    <col min="11" max="11" width="10.36328125" bestFit="1" customWidth="1"/>
    <col min="12" max="12" width="9.26953125" bestFit="1" customWidth="1"/>
    <col min="13" max="13" width="11.08984375" bestFit="1" customWidth="1"/>
    <col min="14" max="22" width="9.26953125" bestFit="1" customWidth="1"/>
    <col min="23" max="23" width="31" bestFit="1" customWidth="1"/>
    <col min="24" max="24" width="15.6328125" bestFit="1" customWidth="1"/>
    <col min="25" max="26" width="4.81640625" bestFit="1" customWidth="1"/>
    <col min="27" max="27" width="7.81640625" bestFit="1" customWidth="1"/>
    <col min="28" max="30" width="4.81640625" bestFit="1" customWidth="1"/>
    <col min="31" max="31" width="7.81640625" bestFit="1" customWidth="1"/>
    <col min="32" max="43" width="5.81640625" bestFit="1" customWidth="1"/>
    <col min="44" max="44" width="10.36328125" bestFit="1" customWidth="1"/>
    <col min="45" max="45" width="11" bestFit="1" customWidth="1"/>
    <col min="46" max="46" width="13.81640625" bestFit="1" customWidth="1"/>
    <col min="47" max="47" width="10" bestFit="1" customWidth="1"/>
    <col min="48" max="48" width="12.7265625" bestFit="1" customWidth="1"/>
    <col min="49" max="49" width="10" bestFit="1" customWidth="1"/>
    <col min="50" max="50" width="12.7265625" bestFit="1" customWidth="1"/>
    <col min="51" max="51" width="10" bestFit="1" customWidth="1"/>
    <col min="52" max="52" width="12.7265625" bestFit="1" customWidth="1"/>
    <col min="53" max="53" width="11" bestFit="1" customWidth="1"/>
    <col min="54" max="54" width="13.81640625" bestFit="1" customWidth="1"/>
    <col min="55" max="55" width="11" bestFit="1" customWidth="1"/>
    <col min="56" max="56" width="13.81640625" bestFit="1" customWidth="1"/>
    <col min="57" max="57" width="11" bestFit="1" customWidth="1"/>
    <col min="58" max="58" width="13.81640625" bestFit="1" customWidth="1"/>
    <col min="59" max="59" width="11" bestFit="1" customWidth="1"/>
    <col min="60" max="60" width="13.81640625" bestFit="1" customWidth="1"/>
    <col min="61" max="61" width="11" bestFit="1" customWidth="1"/>
    <col min="62" max="62" width="13.81640625" bestFit="1" customWidth="1"/>
    <col min="63" max="63" width="11" bestFit="1" customWidth="1"/>
    <col min="64" max="64" width="13.81640625" bestFit="1" customWidth="1"/>
    <col min="65" max="65" width="11" bestFit="1" customWidth="1"/>
    <col min="66" max="66" width="13.81640625" bestFit="1" customWidth="1"/>
    <col min="67" max="67" width="11" bestFit="1" customWidth="1"/>
    <col min="68" max="68" width="13.81640625" bestFit="1" customWidth="1"/>
    <col min="69" max="69" width="11" bestFit="1" customWidth="1"/>
    <col min="70" max="70" width="13.81640625" bestFit="1" customWidth="1"/>
    <col min="71" max="71" width="11" bestFit="1" customWidth="1"/>
    <col min="72" max="72" width="13.81640625" bestFit="1" customWidth="1"/>
    <col min="73" max="73" width="11" bestFit="1" customWidth="1"/>
    <col min="74" max="74" width="13.81640625" bestFit="1" customWidth="1"/>
    <col min="75" max="75" width="11" bestFit="1" customWidth="1"/>
    <col min="76" max="76" width="13.81640625" bestFit="1" customWidth="1"/>
    <col min="77" max="77" width="11" bestFit="1" customWidth="1"/>
    <col min="78" max="78" width="13.81640625" bestFit="1" customWidth="1"/>
    <col min="79" max="79" width="11" bestFit="1" customWidth="1"/>
    <col min="80" max="80" width="13.81640625" bestFit="1" customWidth="1"/>
    <col min="81" max="81" width="10" bestFit="1" customWidth="1"/>
    <col min="82" max="82" width="12.7265625" bestFit="1" customWidth="1"/>
    <col min="83" max="83" width="10" bestFit="1" customWidth="1"/>
    <col min="84" max="84" width="12.7265625" bestFit="1" customWidth="1"/>
    <col min="85" max="85" width="10" bestFit="1" customWidth="1"/>
    <col min="86" max="86" width="12.7265625" bestFit="1" customWidth="1"/>
    <col min="87" max="87" width="10" bestFit="1" customWidth="1"/>
    <col min="88" max="88" width="12.7265625" bestFit="1" customWidth="1"/>
    <col min="89" max="89" width="10" bestFit="1" customWidth="1"/>
    <col min="90" max="90" width="12.7265625" bestFit="1" customWidth="1"/>
    <col min="91" max="91" width="11" bestFit="1" customWidth="1"/>
    <col min="92" max="92" width="13.81640625" bestFit="1" customWidth="1"/>
    <col min="93" max="93" width="11" bestFit="1" customWidth="1"/>
    <col min="94" max="94" width="13.81640625" bestFit="1" customWidth="1"/>
    <col min="95" max="95" width="11" bestFit="1" customWidth="1"/>
    <col min="96" max="96" width="13.81640625" bestFit="1" customWidth="1"/>
    <col min="97" max="97" width="11" bestFit="1" customWidth="1"/>
    <col min="98" max="98" width="13.81640625" bestFit="1" customWidth="1"/>
    <col min="99" max="99" width="11" bestFit="1" customWidth="1"/>
    <col min="100" max="100" width="13.81640625" bestFit="1" customWidth="1"/>
    <col min="101" max="101" width="11" bestFit="1" customWidth="1"/>
    <col min="102" max="102" width="13.81640625" bestFit="1" customWidth="1"/>
    <col min="103" max="103" width="11" bestFit="1" customWidth="1"/>
    <col min="104" max="104" width="13.81640625" bestFit="1" customWidth="1"/>
    <col min="105" max="105" width="11" bestFit="1" customWidth="1"/>
    <col min="106" max="106" width="13.81640625" bestFit="1" customWidth="1"/>
    <col min="107" max="107" width="11" bestFit="1" customWidth="1"/>
    <col min="108" max="108" width="13.81640625" bestFit="1" customWidth="1"/>
    <col min="109" max="109" width="11" bestFit="1" customWidth="1"/>
    <col min="110" max="110" width="13.81640625" bestFit="1" customWidth="1"/>
    <col min="111" max="111" width="11" bestFit="1" customWidth="1"/>
    <col min="112" max="112" width="13.81640625" bestFit="1" customWidth="1"/>
    <col min="113" max="113" width="11" bestFit="1" customWidth="1"/>
    <col min="114" max="114" width="13.81640625" bestFit="1" customWidth="1"/>
    <col min="115" max="115" width="11" bestFit="1" customWidth="1"/>
    <col min="116" max="116" width="13.81640625" bestFit="1" customWidth="1"/>
    <col min="117" max="117" width="11" bestFit="1" customWidth="1"/>
    <col min="118" max="118" width="13.81640625" bestFit="1" customWidth="1"/>
    <col min="119" max="119" width="11" bestFit="1" customWidth="1"/>
    <col min="120" max="120" width="13.81640625" bestFit="1" customWidth="1"/>
    <col min="121" max="121" width="11" bestFit="1" customWidth="1"/>
    <col min="122" max="122" width="13.81640625" bestFit="1" customWidth="1"/>
    <col min="123" max="123" width="11" bestFit="1" customWidth="1"/>
    <col min="124" max="124" width="13.81640625" bestFit="1" customWidth="1"/>
    <col min="125" max="125" width="10.36328125" bestFit="1" customWidth="1"/>
  </cols>
  <sheetData>
    <row r="1" spans="2:9" x14ac:dyDescent="0.35">
      <c r="B1" s="2" t="s">
        <v>9</v>
      </c>
      <c r="C1" t="s">
        <v>108</v>
      </c>
    </row>
    <row r="3" spans="2:9" x14ac:dyDescent="0.35">
      <c r="B3" s="2" t="s">
        <v>31</v>
      </c>
      <c r="C3" s="2" t="s">
        <v>66</v>
      </c>
      <c r="G3" t="str">
        <f>"Affiliate Dues Total: "&amp;TEXT(GETPIVOTDATA("Total",$B$4),"$#,###")</f>
        <v>Affiliate Dues Total: $9,456</v>
      </c>
      <c r="H3" s="6">
        <f>GETPIVOTDATA("Total",$B$4)</f>
        <v>9456.1</v>
      </c>
      <c r="I3" t="str">
        <f>CONCATENATE("Affiliate: ",COUNTIF(B:B,"HL7*"))</f>
        <v>Affiliate: 2</v>
      </c>
    </row>
    <row r="4" spans="2:9" x14ac:dyDescent="0.35">
      <c r="C4" t="s">
        <v>65</v>
      </c>
      <c r="D4" t="s">
        <v>30</v>
      </c>
    </row>
    <row r="6" spans="2:9" x14ac:dyDescent="0.35">
      <c r="B6" s="2" t="s">
        <v>29</v>
      </c>
    </row>
    <row r="7" spans="2:9" x14ac:dyDescent="0.35">
      <c r="B7" s="3" t="s">
        <v>106</v>
      </c>
      <c r="C7" s="21">
        <v>1000</v>
      </c>
      <c r="D7" s="21">
        <v>1000</v>
      </c>
    </row>
    <row r="8" spans="2:9" x14ac:dyDescent="0.35">
      <c r="B8" s="3" t="s">
        <v>109</v>
      </c>
      <c r="C8" s="21">
        <v>8456.1</v>
      </c>
      <c r="D8" s="21">
        <v>8456.1</v>
      </c>
    </row>
    <row r="9" spans="2:9" x14ac:dyDescent="0.35">
      <c r="B9" s="3" t="s">
        <v>30</v>
      </c>
      <c r="C9" s="21">
        <v>9456.1</v>
      </c>
      <c r="D9" s="21">
        <v>9456.1</v>
      </c>
    </row>
  </sheetData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DAF-B02C-40CF-B141-F7BABE9F7DA3}">
  <dimension ref="A1:N65"/>
  <sheetViews>
    <sheetView topLeftCell="G1" workbookViewId="0">
      <selection activeCell="M9" sqref="M9"/>
    </sheetView>
  </sheetViews>
  <sheetFormatPr defaultRowHeight="14.5" x14ac:dyDescent="0.35"/>
  <cols>
    <col min="1" max="1" width="61.816406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  <col min="11" max="11" width="14.90625" bestFit="1" customWidth="1"/>
    <col min="12" max="12" width="20.81640625" bestFit="1" customWidth="1"/>
    <col min="13" max="13" width="12.453125" bestFit="1" customWidth="1"/>
    <col min="14" max="14" width="20.2695312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32</v>
      </c>
    </row>
    <row r="2" spans="1:14" x14ac:dyDescent="0.35">
      <c r="A2" s="21"/>
      <c r="C2" s="1"/>
      <c r="F2" s="1"/>
      <c r="G2" s="21"/>
      <c r="H2" s="21"/>
      <c r="I2" s="21"/>
    </row>
    <row r="3" spans="1:14" x14ac:dyDescent="0.35">
      <c r="A3" s="21" t="s">
        <v>95</v>
      </c>
      <c r="C3" s="1"/>
      <c r="F3" s="1"/>
      <c r="G3" s="21"/>
      <c r="H3" s="21"/>
      <c r="I3" s="21"/>
    </row>
    <row r="4" spans="1:14" x14ac:dyDescent="0.35">
      <c r="A4" s="21" t="s">
        <v>96</v>
      </c>
      <c r="C4" s="1"/>
      <c r="F4" s="1"/>
      <c r="G4" s="21"/>
      <c r="H4" s="21"/>
      <c r="I4" s="21"/>
    </row>
    <row r="5" spans="1:14" x14ac:dyDescent="0.35">
      <c r="A5" s="21" t="s">
        <v>98</v>
      </c>
      <c r="B5">
        <v>100</v>
      </c>
      <c r="C5" s="1">
        <v>46069</v>
      </c>
      <c r="D5">
        <v>18946</v>
      </c>
      <c r="E5">
        <v>44978</v>
      </c>
      <c r="F5" s="1">
        <v>44927</v>
      </c>
      <c r="G5" s="21" t="s">
        <v>15</v>
      </c>
      <c r="H5" s="21" t="s">
        <v>12</v>
      </c>
      <c r="I5" s="21" t="s">
        <v>99</v>
      </c>
      <c r="J5">
        <v>2</v>
      </c>
      <c r="K5" t="s">
        <v>33</v>
      </c>
    </row>
    <row r="6" spans="1:14" x14ac:dyDescent="0.35">
      <c r="A6" s="21" t="s">
        <v>113</v>
      </c>
      <c r="B6">
        <v>100</v>
      </c>
      <c r="C6" s="1">
        <v>46064</v>
      </c>
      <c r="D6">
        <v>18927</v>
      </c>
      <c r="E6">
        <v>44951</v>
      </c>
      <c r="F6" s="1">
        <v>35065</v>
      </c>
      <c r="G6" s="21" t="s">
        <v>15</v>
      </c>
      <c r="H6" s="21" t="s">
        <v>12</v>
      </c>
      <c r="I6" s="21" t="s">
        <v>99</v>
      </c>
      <c r="J6">
        <v>2</v>
      </c>
      <c r="K6" t="s">
        <v>34</v>
      </c>
      <c r="M6" s="2" t="s">
        <v>29</v>
      </c>
      <c r="N6" t="s">
        <v>38</v>
      </c>
    </row>
    <row r="7" spans="1:14" x14ac:dyDescent="0.35">
      <c r="A7" s="21" t="s">
        <v>67</v>
      </c>
      <c r="B7">
        <v>460.04</v>
      </c>
      <c r="C7" s="1">
        <v>46031</v>
      </c>
      <c r="D7">
        <v>18491</v>
      </c>
      <c r="E7">
        <v>44373</v>
      </c>
      <c r="F7" s="1">
        <v>45658</v>
      </c>
      <c r="G7" s="21" t="s">
        <v>17</v>
      </c>
      <c r="H7" s="21" t="s">
        <v>12</v>
      </c>
      <c r="I7" s="21" t="s">
        <v>18</v>
      </c>
      <c r="J7">
        <v>1</v>
      </c>
      <c r="K7" t="s">
        <v>33</v>
      </c>
      <c r="M7" s="3" t="s">
        <v>33</v>
      </c>
      <c r="N7" s="21">
        <v>23</v>
      </c>
    </row>
    <row r="8" spans="1:14" x14ac:dyDescent="0.35">
      <c r="A8" s="21" t="s">
        <v>28</v>
      </c>
      <c r="B8">
        <v>775</v>
      </c>
      <c r="C8" s="1">
        <v>46033</v>
      </c>
      <c r="D8">
        <v>18551</v>
      </c>
      <c r="E8">
        <v>44438</v>
      </c>
      <c r="F8" s="1">
        <v>45292</v>
      </c>
      <c r="G8" s="21" t="s">
        <v>15</v>
      </c>
      <c r="H8" s="21" t="s">
        <v>15</v>
      </c>
      <c r="I8" s="21" t="s">
        <v>16</v>
      </c>
      <c r="J8">
        <v>1</v>
      </c>
      <c r="K8" t="s">
        <v>33</v>
      </c>
      <c r="M8" s="3" t="s">
        <v>36</v>
      </c>
      <c r="N8" s="21">
        <v>11</v>
      </c>
    </row>
    <row r="9" spans="1:14" x14ac:dyDescent="0.35">
      <c r="A9" s="21" t="s">
        <v>55</v>
      </c>
      <c r="B9">
        <v>775</v>
      </c>
      <c r="C9" s="1">
        <v>46027</v>
      </c>
      <c r="D9">
        <v>18371</v>
      </c>
      <c r="E9">
        <v>44227</v>
      </c>
      <c r="F9" s="1">
        <v>44197</v>
      </c>
      <c r="G9" s="21" t="s">
        <v>15</v>
      </c>
      <c r="H9" s="21" t="s">
        <v>12</v>
      </c>
      <c r="I9" s="21" t="s">
        <v>16</v>
      </c>
      <c r="J9">
        <v>1</v>
      </c>
      <c r="K9" t="s">
        <v>37</v>
      </c>
      <c r="M9" s="3" t="s">
        <v>37</v>
      </c>
      <c r="N9" s="21">
        <v>7</v>
      </c>
    </row>
    <row r="10" spans="1:14" x14ac:dyDescent="0.35">
      <c r="A10" s="21" t="s">
        <v>69</v>
      </c>
      <c r="B10">
        <v>775</v>
      </c>
      <c r="C10" s="1">
        <v>46034</v>
      </c>
      <c r="D10">
        <v>18605</v>
      </c>
      <c r="E10">
        <v>44503</v>
      </c>
      <c r="F10" s="1">
        <v>46023</v>
      </c>
      <c r="G10" s="21" t="s">
        <v>15</v>
      </c>
      <c r="H10" s="21" t="s">
        <v>20</v>
      </c>
      <c r="I10" s="21" t="s">
        <v>16</v>
      </c>
      <c r="J10">
        <v>1</v>
      </c>
      <c r="K10" t="s">
        <v>33</v>
      </c>
      <c r="M10" s="3" t="s">
        <v>35</v>
      </c>
      <c r="N10" s="21">
        <v>9</v>
      </c>
    </row>
    <row r="11" spans="1:14" x14ac:dyDescent="0.35">
      <c r="A11" s="21" t="s">
        <v>71</v>
      </c>
      <c r="B11">
        <v>775</v>
      </c>
      <c r="C11" s="1">
        <v>46053</v>
      </c>
      <c r="D11">
        <v>18840</v>
      </c>
      <c r="E11">
        <v>44813</v>
      </c>
      <c r="F11" s="1">
        <v>44197</v>
      </c>
      <c r="G11" s="21" t="s">
        <v>15</v>
      </c>
      <c r="H11" s="21" t="s">
        <v>15</v>
      </c>
      <c r="I11" s="21" t="s">
        <v>16</v>
      </c>
      <c r="J11">
        <v>1</v>
      </c>
      <c r="K11" t="s">
        <v>37</v>
      </c>
      <c r="M11" s="3" t="s">
        <v>34</v>
      </c>
      <c r="N11" s="21">
        <v>11</v>
      </c>
    </row>
    <row r="12" spans="1:14" x14ac:dyDescent="0.35">
      <c r="A12" s="21" t="s">
        <v>72</v>
      </c>
      <c r="B12">
        <v>775</v>
      </c>
      <c r="C12" s="1">
        <v>46052</v>
      </c>
      <c r="D12">
        <v>18833</v>
      </c>
      <c r="E12">
        <v>44806</v>
      </c>
      <c r="F12" s="1">
        <v>46023</v>
      </c>
      <c r="G12" s="21" t="s">
        <v>15</v>
      </c>
      <c r="H12" s="21" t="s">
        <v>12</v>
      </c>
      <c r="I12" s="21" t="s">
        <v>16</v>
      </c>
      <c r="J12">
        <v>1</v>
      </c>
      <c r="K12" t="s">
        <v>33</v>
      </c>
      <c r="M12" s="3" t="s">
        <v>126</v>
      </c>
      <c r="N12" s="21"/>
    </row>
    <row r="13" spans="1:14" x14ac:dyDescent="0.35">
      <c r="A13" s="21" t="s">
        <v>74</v>
      </c>
      <c r="B13">
        <v>775</v>
      </c>
      <c r="C13" s="1">
        <v>46043</v>
      </c>
      <c r="D13">
        <v>18708</v>
      </c>
      <c r="E13">
        <v>44608</v>
      </c>
      <c r="F13" s="1">
        <v>42005</v>
      </c>
      <c r="G13" s="21" t="s">
        <v>17</v>
      </c>
      <c r="H13" s="21" t="s">
        <v>12</v>
      </c>
      <c r="I13" s="21" t="s">
        <v>16</v>
      </c>
      <c r="J13">
        <v>1</v>
      </c>
      <c r="K13" t="s">
        <v>35</v>
      </c>
      <c r="M13" s="3" t="s">
        <v>30</v>
      </c>
      <c r="N13" s="21">
        <v>61</v>
      </c>
    </row>
    <row r="14" spans="1:14" x14ac:dyDescent="0.35">
      <c r="A14" s="21" t="s">
        <v>104</v>
      </c>
      <c r="B14">
        <v>775</v>
      </c>
      <c r="C14" s="1">
        <v>46080</v>
      </c>
      <c r="D14">
        <v>19083</v>
      </c>
      <c r="E14">
        <v>45165</v>
      </c>
      <c r="F14" s="1">
        <v>46023</v>
      </c>
      <c r="G14" s="21" t="s">
        <v>15</v>
      </c>
      <c r="H14" s="21" t="s">
        <v>12</v>
      </c>
      <c r="I14" s="21" t="s">
        <v>16</v>
      </c>
      <c r="J14">
        <v>2</v>
      </c>
      <c r="K14" t="s">
        <v>33</v>
      </c>
    </row>
    <row r="15" spans="1:14" x14ac:dyDescent="0.35">
      <c r="A15" s="21" t="s">
        <v>76</v>
      </c>
      <c r="B15">
        <v>775</v>
      </c>
      <c r="C15" s="1">
        <v>46028</v>
      </c>
      <c r="D15">
        <v>18392</v>
      </c>
      <c r="E15">
        <v>44254</v>
      </c>
      <c r="F15" s="1">
        <v>46023</v>
      </c>
      <c r="G15" s="21" t="s">
        <v>15</v>
      </c>
      <c r="H15" s="21" t="s">
        <v>12</v>
      </c>
      <c r="I15" s="21" t="s">
        <v>16</v>
      </c>
      <c r="J15">
        <v>1</v>
      </c>
      <c r="K15" t="s">
        <v>33</v>
      </c>
    </row>
    <row r="16" spans="1:14" x14ac:dyDescent="0.35">
      <c r="A16" s="21" t="s">
        <v>115</v>
      </c>
      <c r="B16">
        <v>775</v>
      </c>
      <c r="C16" s="1">
        <v>46055</v>
      </c>
      <c r="D16">
        <v>18853</v>
      </c>
      <c r="E16">
        <v>44825</v>
      </c>
      <c r="F16" s="1">
        <v>45292</v>
      </c>
      <c r="G16" s="21" t="s">
        <v>15</v>
      </c>
      <c r="H16" s="21" t="s">
        <v>15</v>
      </c>
      <c r="I16" s="21" t="s">
        <v>16</v>
      </c>
      <c r="J16">
        <v>2</v>
      </c>
      <c r="K16" t="s">
        <v>33</v>
      </c>
    </row>
    <row r="17" spans="1:11" x14ac:dyDescent="0.35">
      <c r="A17" s="21" t="s">
        <v>79</v>
      </c>
      <c r="B17">
        <v>775</v>
      </c>
      <c r="C17" s="1">
        <v>46034</v>
      </c>
      <c r="D17">
        <v>18585</v>
      </c>
      <c r="E17">
        <v>44482</v>
      </c>
      <c r="F17" s="1">
        <v>46023</v>
      </c>
      <c r="G17" s="21" t="s">
        <v>15</v>
      </c>
      <c r="H17" s="21" t="s">
        <v>12</v>
      </c>
      <c r="I17" s="21" t="s">
        <v>16</v>
      </c>
      <c r="J17">
        <v>1</v>
      </c>
      <c r="K17" t="s">
        <v>33</v>
      </c>
    </row>
    <row r="18" spans="1:11" x14ac:dyDescent="0.35">
      <c r="A18" s="21" t="s">
        <v>121</v>
      </c>
      <c r="B18">
        <v>775</v>
      </c>
      <c r="C18" s="1">
        <v>46070</v>
      </c>
      <c r="D18">
        <v>18965</v>
      </c>
      <c r="E18">
        <v>45000</v>
      </c>
      <c r="F18" s="1">
        <v>44927</v>
      </c>
      <c r="G18" s="21" t="s">
        <v>15</v>
      </c>
      <c r="H18" s="21" t="s">
        <v>12</v>
      </c>
      <c r="I18" s="21" t="s">
        <v>16</v>
      </c>
      <c r="J18">
        <v>2</v>
      </c>
      <c r="K18" t="s">
        <v>33</v>
      </c>
    </row>
    <row r="19" spans="1:11" x14ac:dyDescent="0.35">
      <c r="A19" s="21" t="s">
        <v>57</v>
      </c>
      <c r="B19">
        <v>775</v>
      </c>
      <c r="C19" s="1">
        <v>46043</v>
      </c>
      <c r="D19">
        <v>18695</v>
      </c>
      <c r="E19">
        <v>44595</v>
      </c>
      <c r="F19" s="1">
        <v>45658</v>
      </c>
      <c r="G19" s="21" t="s">
        <v>15</v>
      </c>
      <c r="H19" s="21" t="s">
        <v>15</v>
      </c>
      <c r="I19" s="21" t="s">
        <v>16</v>
      </c>
      <c r="J19">
        <v>1</v>
      </c>
      <c r="K19" t="s">
        <v>33</v>
      </c>
    </row>
    <row r="20" spans="1:11" x14ac:dyDescent="0.35">
      <c r="A20" s="21" t="s">
        <v>81</v>
      </c>
      <c r="B20">
        <v>775</v>
      </c>
      <c r="C20" s="1">
        <v>46029</v>
      </c>
      <c r="D20">
        <v>18418</v>
      </c>
      <c r="E20">
        <v>44298</v>
      </c>
      <c r="F20" s="1">
        <v>44927</v>
      </c>
      <c r="G20" s="21" t="s">
        <v>15</v>
      </c>
      <c r="H20" s="21" t="s">
        <v>12</v>
      </c>
      <c r="I20" s="21" t="s">
        <v>16</v>
      </c>
      <c r="J20">
        <v>1</v>
      </c>
      <c r="K20" t="s">
        <v>33</v>
      </c>
    </row>
    <row r="21" spans="1:11" x14ac:dyDescent="0.35">
      <c r="A21" s="21" t="s">
        <v>82</v>
      </c>
      <c r="B21">
        <v>775</v>
      </c>
      <c r="C21" s="1">
        <v>46055</v>
      </c>
      <c r="D21">
        <v>18845</v>
      </c>
      <c r="E21">
        <v>44817</v>
      </c>
      <c r="F21" s="1">
        <v>46023</v>
      </c>
      <c r="G21" s="21" t="s">
        <v>15</v>
      </c>
      <c r="H21" s="21" t="s">
        <v>12</v>
      </c>
      <c r="I21" s="21" t="s">
        <v>16</v>
      </c>
      <c r="J21">
        <v>2</v>
      </c>
      <c r="K21" t="s">
        <v>33</v>
      </c>
    </row>
    <row r="22" spans="1:11" x14ac:dyDescent="0.35">
      <c r="A22" s="21" t="s">
        <v>122</v>
      </c>
      <c r="B22">
        <v>775</v>
      </c>
      <c r="C22" s="1">
        <v>46056</v>
      </c>
      <c r="D22">
        <v>18862</v>
      </c>
      <c r="E22">
        <v>44835</v>
      </c>
      <c r="F22" s="1">
        <v>46023</v>
      </c>
      <c r="G22" s="21" t="s">
        <v>15</v>
      </c>
      <c r="H22" s="21" t="s">
        <v>12</v>
      </c>
      <c r="I22" s="21" t="s">
        <v>16</v>
      </c>
      <c r="J22">
        <v>2</v>
      </c>
      <c r="K22" t="s">
        <v>33</v>
      </c>
    </row>
    <row r="23" spans="1:11" x14ac:dyDescent="0.35">
      <c r="A23" s="21" t="s">
        <v>83</v>
      </c>
      <c r="B23">
        <v>775</v>
      </c>
      <c r="C23" s="1">
        <v>46050</v>
      </c>
      <c r="D23">
        <v>18774</v>
      </c>
      <c r="E23">
        <v>44713</v>
      </c>
      <c r="F23" s="1">
        <v>46023</v>
      </c>
      <c r="G23" s="21" t="s">
        <v>15</v>
      </c>
      <c r="H23" s="21" t="s">
        <v>68</v>
      </c>
      <c r="I23" s="21" t="s">
        <v>16</v>
      </c>
      <c r="J23">
        <v>1</v>
      </c>
      <c r="K23" t="s">
        <v>33</v>
      </c>
    </row>
    <row r="24" spans="1:11" x14ac:dyDescent="0.35">
      <c r="A24" s="21" t="s">
        <v>106</v>
      </c>
      <c r="B24">
        <v>1000</v>
      </c>
      <c r="C24" s="1">
        <v>46079</v>
      </c>
      <c r="D24">
        <v>19043</v>
      </c>
      <c r="E24">
        <v>45122</v>
      </c>
      <c r="F24" s="1">
        <v>45292</v>
      </c>
      <c r="G24" s="21" t="s">
        <v>15</v>
      </c>
      <c r="H24" s="21" t="s">
        <v>107</v>
      </c>
      <c r="I24" s="21" t="s">
        <v>108</v>
      </c>
      <c r="J24">
        <v>2</v>
      </c>
      <c r="K24" t="s">
        <v>33</v>
      </c>
    </row>
    <row r="25" spans="1:11" x14ac:dyDescent="0.35">
      <c r="A25" s="21" t="s">
        <v>70</v>
      </c>
      <c r="B25">
        <v>1545</v>
      </c>
      <c r="C25" s="1">
        <v>46042</v>
      </c>
      <c r="D25">
        <v>18678</v>
      </c>
      <c r="E25">
        <v>44578</v>
      </c>
      <c r="F25" s="1">
        <v>40179</v>
      </c>
      <c r="G25" s="21" t="s">
        <v>11</v>
      </c>
      <c r="H25" s="21" t="s">
        <v>12</v>
      </c>
      <c r="I25" s="21" t="s">
        <v>18</v>
      </c>
      <c r="J25">
        <v>1</v>
      </c>
      <c r="K25" t="s">
        <v>36</v>
      </c>
    </row>
    <row r="26" spans="1:11" x14ac:dyDescent="0.35">
      <c r="A26" s="21" t="s">
        <v>100</v>
      </c>
      <c r="B26">
        <v>1545</v>
      </c>
      <c r="C26" s="1">
        <v>46062</v>
      </c>
      <c r="D26">
        <v>18914</v>
      </c>
      <c r="E26">
        <v>44907</v>
      </c>
      <c r="F26" s="1">
        <v>40909</v>
      </c>
      <c r="G26" s="21" t="s">
        <v>17</v>
      </c>
      <c r="H26" s="21" t="s">
        <v>101</v>
      </c>
      <c r="I26" s="21" t="s">
        <v>18</v>
      </c>
      <c r="J26">
        <v>2</v>
      </c>
      <c r="K26" t="s">
        <v>36</v>
      </c>
    </row>
    <row r="27" spans="1:11" x14ac:dyDescent="0.35">
      <c r="A27" s="21" t="s">
        <v>111</v>
      </c>
      <c r="B27">
        <v>1545</v>
      </c>
      <c r="C27" s="1">
        <v>46059</v>
      </c>
      <c r="D27">
        <v>18891</v>
      </c>
      <c r="E27">
        <v>44881</v>
      </c>
      <c r="F27" s="1">
        <v>36526</v>
      </c>
      <c r="G27" s="21" t="s">
        <v>11</v>
      </c>
      <c r="H27" s="21" t="s">
        <v>12</v>
      </c>
      <c r="I27" s="21" t="s">
        <v>18</v>
      </c>
      <c r="J27">
        <v>2</v>
      </c>
      <c r="K27" t="s">
        <v>34</v>
      </c>
    </row>
    <row r="28" spans="1:11" x14ac:dyDescent="0.35">
      <c r="A28" s="21" t="s">
        <v>22</v>
      </c>
      <c r="B28">
        <v>1545</v>
      </c>
      <c r="C28" s="1">
        <v>46051</v>
      </c>
      <c r="D28">
        <v>18802</v>
      </c>
      <c r="E28">
        <v>44761</v>
      </c>
      <c r="F28" s="1">
        <v>45292</v>
      </c>
      <c r="G28" s="21" t="s">
        <v>17</v>
      </c>
      <c r="H28" s="21" t="s">
        <v>12</v>
      </c>
      <c r="I28" s="21" t="s">
        <v>18</v>
      </c>
      <c r="J28">
        <v>1</v>
      </c>
      <c r="K28" t="s">
        <v>33</v>
      </c>
    </row>
    <row r="29" spans="1:11" x14ac:dyDescent="0.35">
      <c r="A29" s="21" t="s">
        <v>14</v>
      </c>
      <c r="B29">
        <v>1545</v>
      </c>
      <c r="C29" s="1">
        <v>46037</v>
      </c>
      <c r="D29">
        <v>18652</v>
      </c>
      <c r="E29">
        <v>44550</v>
      </c>
      <c r="F29" s="1">
        <v>38718</v>
      </c>
      <c r="G29" s="21" t="s">
        <v>11</v>
      </c>
      <c r="H29" s="21" t="s">
        <v>12</v>
      </c>
      <c r="I29" s="21" t="s">
        <v>18</v>
      </c>
      <c r="J29">
        <v>1</v>
      </c>
      <c r="K29" t="s">
        <v>34</v>
      </c>
    </row>
    <row r="30" spans="1:11" x14ac:dyDescent="0.35">
      <c r="A30" s="21" t="s">
        <v>19</v>
      </c>
      <c r="B30">
        <v>1545</v>
      </c>
      <c r="C30" s="1">
        <v>46027</v>
      </c>
      <c r="D30">
        <v>18359</v>
      </c>
      <c r="E30">
        <v>44215</v>
      </c>
      <c r="F30" s="1">
        <v>40179</v>
      </c>
      <c r="G30" s="21" t="s">
        <v>0</v>
      </c>
      <c r="H30" s="21" t="s">
        <v>12</v>
      </c>
      <c r="I30" s="21" t="s">
        <v>18</v>
      </c>
      <c r="J30">
        <v>1</v>
      </c>
      <c r="K30" t="s">
        <v>36</v>
      </c>
    </row>
    <row r="31" spans="1:11" x14ac:dyDescent="0.35">
      <c r="A31" s="21" t="s">
        <v>23</v>
      </c>
      <c r="B31">
        <v>1545</v>
      </c>
      <c r="C31" s="1">
        <v>46035</v>
      </c>
      <c r="D31">
        <v>18620</v>
      </c>
      <c r="E31">
        <v>44519</v>
      </c>
      <c r="F31" s="1">
        <v>41275</v>
      </c>
      <c r="G31" s="21" t="s">
        <v>11</v>
      </c>
      <c r="H31" s="21" t="s">
        <v>12</v>
      </c>
      <c r="I31" s="21" t="s">
        <v>18</v>
      </c>
      <c r="J31">
        <v>1</v>
      </c>
      <c r="K31" t="s">
        <v>35</v>
      </c>
    </row>
    <row r="32" spans="1:11" x14ac:dyDescent="0.35">
      <c r="A32" s="21" t="s">
        <v>80</v>
      </c>
      <c r="B32">
        <v>1545</v>
      </c>
      <c r="C32" s="1">
        <v>46029</v>
      </c>
      <c r="D32">
        <v>18421</v>
      </c>
      <c r="E32">
        <v>44301</v>
      </c>
      <c r="F32" s="1">
        <v>46023</v>
      </c>
      <c r="G32" s="21" t="s">
        <v>17</v>
      </c>
      <c r="H32" s="21" t="s">
        <v>12</v>
      </c>
      <c r="I32" s="21" t="s">
        <v>18</v>
      </c>
      <c r="J32">
        <v>1</v>
      </c>
      <c r="K32" t="s">
        <v>33</v>
      </c>
    </row>
    <row r="33" spans="1:11" x14ac:dyDescent="0.35">
      <c r="A33" s="21" t="s">
        <v>123</v>
      </c>
      <c r="B33">
        <v>1545</v>
      </c>
      <c r="C33" s="1">
        <v>46069</v>
      </c>
      <c r="D33">
        <v>18947</v>
      </c>
      <c r="E33">
        <v>44979</v>
      </c>
      <c r="F33" s="1">
        <v>44197</v>
      </c>
      <c r="G33" s="21" t="s">
        <v>17</v>
      </c>
      <c r="H33" s="21" t="s">
        <v>12</v>
      </c>
      <c r="I33" s="21" t="s">
        <v>18</v>
      </c>
      <c r="J33">
        <v>2</v>
      </c>
      <c r="K33" t="s">
        <v>37</v>
      </c>
    </row>
    <row r="34" spans="1:11" x14ac:dyDescent="0.35">
      <c r="A34" s="21" t="s">
        <v>58</v>
      </c>
      <c r="B34">
        <v>1545</v>
      </c>
      <c r="C34" s="1">
        <v>46042</v>
      </c>
      <c r="D34">
        <v>18683</v>
      </c>
      <c r="E34">
        <v>44583</v>
      </c>
      <c r="F34" s="1">
        <v>45658</v>
      </c>
      <c r="G34" s="21" t="s">
        <v>17</v>
      </c>
      <c r="H34" s="21" t="s">
        <v>12</v>
      </c>
      <c r="I34" s="21" t="s">
        <v>18</v>
      </c>
      <c r="J34">
        <v>1</v>
      </c>
      <c r="K34" t="s">
        <v>33</v>
      </c>
    </row>
    <row r="35" spans="1:11" x14ac:dyDescent="0.35">
      <c r="A35" s="21" t="s">
        <v>88</v>
      </c>
      <c r="B35">
        <v>1620</v>
      </c>
      <c r="C35" s="1">
        <v>46072</v>
      </c>
      <c r="D35">
        <v>18996</v>
      </c>
      <c r="E35">
        <v>45039</v>
      </c>
      <c r="F35" s="1">
        <v>40909</v>
      </c>
      <c r="G35" s="21" t="s">
        <v>11</v>
      </c>
      <c r="H35" s="21" t="s">
        <v>12</v>
      </c>
      <c r="I35" s="21" t="s">
        <v>18</v>
      </c>
      <c r="J35">
        <v>2</v>
      </c>
      <c r="K35" t="s">
        <v>36</v>
      </c>
    </row>
    <row r="36" spans="1:11" x14ac:dyDescent="0.35">
      <c r="A36" s="21" t="s">
        <v>87</v>
      </c>
      <c r="B36">
        <v>1905</v>
      </c>
      <c r="C36" s="1">
        <v>46066</v>
      </c>
      <c r="D36">
        <v>18941</v>
      </c>
      <c r="E36">
        <v>44973</v>
      </c>
      <c r="F36" s="1">
        <v>44562</v>
      </c>
      <c r="G36" s="21" t="s">
        <v>17</v>
      </c>
      <c r="H36" s="21" t="s">
        <v>12</v>
      </c>
      <c r="I36" s="21" t="s">
        <v>13</v>
      </c>
      <c r="J36">
        <v>2</v>
      </c>
      <c r="K36" t="s">
        <v>33</v>
      </c>
    </row>
    <row r="37" spans="1:11" x14ac:dyDescent="0.35">
      <c r="A37" s="21" t="s">
        <v>92</v>
      </c>
      <c r="B37">
        <v>1905</v>
      </c>
      <c r="C37" s="1">
        <v>46062</v>
      </c>
      <c r="D37">
        <v>18906</v>
      </c>
      <c r="E37">
        <v>44895</v>
      </c>
      <c r="F37" s="1">
        <v>37622</v>
      </c>
      <c r="G37" s="21" t="s">
        <v>17</v>
      </c>
      <c r="H37" s="21" t="s">
        <v>12</v>
      </c>
      <c r="I37" s="21" t="s">
        <v>13</v>
      </c>
      <c r="J37">
        <v>2</v>
      </c>
      <c r="K37" t="s">
        <v>34</v>
      </c>
    </row>
    <row r="38" spans="1:11" x14ac:dyDescent="0.35">
      <c r="A38" s="21" t="s">
        <v>24</v>
      </c>
      <c r="B38">
        <v>1905</v>
      </c>
      <c r="C38" s="1">
        <v>46030</v>
      </c>
      <c r="D38">
        <v>18444</v>
      </c>
      <c r="E38">
        <v>44327</v>
      </c>
      <c r="F38" s="1">
        <v>45292</v>
      </c>
      <c r="G38" s="21" t="s">
        <v>17</v>
      </c>
      <c r="H38" s="21" t="s">
        <v>12</v>
      </c>
      <c r="I38" s="21" t="s">
        <v>13</v>
      </c>
      <c r="J38">
        <v>1</v>
      </c>
      <c r="K38" t="s">
        <v>33</v>
      </c>
    </row>
    <row r="39" spans="1:11" x14ac:dyDescent="0.35">
      <c r="A39" s="21" t="s">
        <v>105</v>
      </c>
      <c r="B39">
        <v>1905</v>
      </c>
      <c r="C39" s="1">
        <v>46055</v>
      </c>
      <c r="D39">
        <v>18850</v>
      </c>
      <c r="E39">
        <v>44822</v>
      </c>
      <c r="F39" s="1">
        <v>39814</v>
      </c>
      <c r="G39" s="21" t="s">
        <v>11</v>
      </c>
      <c r="H39" s="21" t="s">
        <v>12</v>
      </c>
      <c r="I39" s="21" t="s">
        <v>13</v>
      </c>
      <c r="J39">
        <v>2</v>
      </c>
      <c r="K39" t="s">
        <v>36</v>
      </c>
    </row>
    <row r="40" spans="1:11" x14ac:dyDescent="0.35">
      <c r="A40" s="21" t="s">
        <v>116</v>
      </c>
      <c r="B40">
        <v>1905</v>
      </c>
      <c r="C40" s="1">
        <v>46070</v>
      </c>
      <c r="D40">
        <v>18958</v>
      </c>
      <c r="E40">
        <v>44993</v>
      </c>
      <c r="F40" s="1">
        <v>43831</v>
      </c>
      <c r="G40" s="21" t="s">
        <v>11</v>
      </c>
      <c r="H40" s="21" t="s">
        <v>12</v>
      </c>
      <c r="I40" s="21" t="s">
        <v>13</v>
      </c>
      <c r="J40">
        <v>2</v>
      </c>
      <c r="K40" t="s">
        <v>37</v>
      </c>
    </row>
    <row r="41" spans="1:11" x14ac:dyDescent="0.35">
      <c r="A41" s="21" t="s">
        <v>77</v>
      </c>
      <c r="B41">
        <v>1905</v>
      </c>
      <c r="C41" s="1">
        <v>46044</v>
      </c>
      <c r="D41">
        <v>18717</v>
      </c>
      <c r="E41">
        <v>44617</v>
      </c>
      <c r="F41" s="1">
        <v>43101</v>
      </c>
      <c r="G41" s="21" t="s">
        <v>17</v>
      </c>
      <c r="H41" s="21" t="s">
        <v>12</v>
      </c>
      <c r="I41" s="21" t="s">
        <v>13</v>
      </c>
      <c r="J41">
        <v>1</v>
      </c>
      <c r="K41" t="s">
        <v>37</v>
      </c>
    </row>
    <row r="42" spans="1:11" x14ac:dyDescent="0.35">
      <c r="A42" s="21" t="s">
        <v>125</v>
      </c>
      <c r="B42">
        <v>1905</v>
      </c>
      <c r="C42" s="1">
        <v>46069</v>
      </c>
      <c r="D42">
        <v>18949</v>
      </c>
      <c r="E42">
        <v>44981</v>
      </c>
      <c r="F42" s="1">
        <v>43831</v>
      </c>
      <c r="G42" s="21" t="s">
        <v>11</v>
      </c>
      <c r="H42" s="21" t="s">
        <v>12</v>
      </c>
      <c r="I42" s="21" t="s">
        <v>13</v>
      </c>
      <c r="J42">
        <v>2</v>
      </c>
      <c r="K42" t="s">
        <v>37</v>
      </c>
    </row>
    <row r="43" spans="1:11" x14ac:dyDescent="0.35">
      <c r="A43" s="21" t="s">
        <v>118</v>
      </c>
      <c r="B43">
        <v>2160</v>
      </c>
      <c r="C43" s="1">
        <v>46071</v>
      </c>
      <c r="D43">
        <v>18975</v>
      </c>
      <c r="E43">
        <v>45010</v>
      </c>
      <c r="F43" s="1">
        <v>35796</v>
      </c>
      <c r="G43" s="21" t="s">
        <v>94</v>
      </c>
      <c r="H43" s="21" t="s">
        <v>12</v>
      </c>
      <c r="I43" s="21" t="s">
        <v>13</v>
      </c>
      <c r="J43">
        <v>2</v>
      </c>
      <c r="K43" t="s">
        <v>34</v>
      </c>
    </row>
    <row r="44" spans="1:11" x14ac:dyDescent="0.35">
      <c r="A44" s="21" t="s">
        <v>64</v>
      </c>
      <c r="B44">
        <v>2370</v>
      </c>
      <c r="C44" s="1">
        <v>46035</v>
      </c>
      <c r="D44">
        <v>18613</v>
      </c>
      <c r="E44">
        <v>44511</v>
      </c>
      <c r="F44" s="1">
        <v>37622</v>
      </c>
      <c r="G44" s="21" t="s">
        <v>17</v>
      </c>
      <c r="H44" s="21" t="s">
        <v>12</v>
      </c>
      <c r="I44" s="21" t="s">
        <v>18</v>
      </c>
      <c r="J44">
        <v>1</v>
      </c>
      <c r="K44" t="s">
        <v>34</v>
      </c>
    </row>
    <row r="45" spans="1:11" x14ac:dyDescent="0.35">
      <c r="A45" s="21" t="s">
        <v>63</v>
      </c>
      <c r="B45">
        <v>2370</v>
      </c>
      <c r="C45" s="1">
        <v>46042</v>
      </c>
      <c r="D45">
        <v>18672</v>
      </c>
      <c r="E45">
        <v>44570</v>
      </c>
      <c r="F45" s="1">
        <v>41640</v>
      </c>
      <c r="G45" s="21" t="s">
        <v>17</v>
      </c>
      <c r="H45" s="21" t="s">
        <v>12</v>
      </c>
      <c r="I45" s="21" t="s">
        <v>18</v>
      </c>
      <c r="J45">
        <v>1</v>
      </c>
      <c r="K45" t="s">
        <v>35</v>
      </c>
    </row>
    <row r="46" spans="1:11" x14ac:dyDescent="0.35">
      <c r="A46" s="21" t="s">
        <v>25</v>
      </c>
      <c r="B46">
        <v>2680</v>
      </c>
      <c r="C46" s="1">
        <v>46038</v>
      </c>
      <c r="D46">
        <v>18656</v>
      </c>
      <c r="E46">
        <v>44554</v>
      </c>
      <c r="F46" s="1">
        <v>36892</v>
      </c>
      <c r="G46" s="21" t="s">
        <v>11</v>
      </c>
      <c r="H46" s="21" t="s">
        <v>12</v>
      </c>
      <c r="I46" s="21" t="s">
        <v>18</v>
      </c>
      <c r="J46">
        <v>1</v>
      </c>
      <c r="K46" t="s">
        <v>34</v>
      </c>
    </row>
    <row r="47" spans="1:11" x14ac:dyDescent="0.35">
      <c r="A47" s="21" t="s">
        <v>84</v>
      </c>
      <c r="B47">
        <v>2680</v>
      </c>
      <c r="C47" s="1">
        <v>46038</v>
      </c>
      <c r="D47">
        <v>18660</v>
      </c>
      <c r="E47">
        <v>44559</v>
      </c>
      <c r="F47" s="1">
        <v>40544</v>
      </c>
      <c r="G47" s="21" t="s">
        <v>11</v>
      </c>
      <c r="H47" s="21" t="s">
        <v>12</v>
      </c>
      <c r="I47" s="21" t="s">
        <v>18</v>
      </c>
      <c r="J47">
        <v>1</v>
      </c>
      <c r="K47" t="s">
        <v>36</v>
      </c>
    </row>
    <row r="48" spans="1:11" x14ac:dyDescent="0.35">
      <c r="A48" s="21" t="s">
        <v>85</v>
      </c>
      <c r="B48">
        <v>2680</v>
      </c>
      <c r="C48" s="1">
        <v>46052</v>
      </c>
      <c r="D48">
        <v>18826</v>
      </c>
      <c r="E48">
        <v>44799</v>
      </c>
      <c r="F48" s="1">
        <v>42736</v>
      </c>
      <c r="G48" s="21" t="s">
        <v>11</v>
      </c>
      <c r="H48" s="21" t="s">
        <v>12</v>
      </c>
      <c r="I48" s="21" t="s">
        <v>18</v>
      </c>
      <c r="J48">
        <v>1</v>
      </c>
      <c r="K48" t="s">
        <v>35</v>
      </c>
    </row>
    <row r="49" spans="1:11" x14ac:dyDescent="0.35">
      <c r="A49" s="21" t="s">
        <v>56</v>
      </c>
      <c r="B49">
        <v>2990</v>
      </c>
      <c r="C49" s="1">
        <v>46045</v>
      </c>
      <c r="D49">
        <v>18722</v>
      </c>
      <c r="E49">
        <v>44622</v>
      </c>
      <c r="F49" s="1">
        <v>45658</v>
      </c>
      <c r="G49" s="21" t="s">
        <v>17</v>
      </c>
      <c r="H49" s="21" t="s">
        <v>12</v>
      </c>
      <c r="I49" s="21" t="s">
        <v>13</v>
      </c>
      <c r="J49">
        <v>1</v>
      </c>
      <c r="K49" t="s">
        <v>33</v>
      </c>
    </row>
    <row r="50" spans="1:11" x14ac:dyDescent="0.35">
      <c r="A50" s="21" t="s">
        <v>78</v>
      </c>
      <c r="B50">
        <v>2990</v>
      </c>
      <c r="C50" s="1">
        <v>46031</v>
      </c>
      <c r="D50">
        <v>18479</v>
      </c>
      <c r="E50">
        <v>44361</v>
      </c>
      <c r="F50" s="1">
        <v>44197</v>
      </c>
      <c r="G50" s="21" t="s">
        <v>17</v>
      </c>
      <c r="H50" s="21" t="s">
        <v>12</v>
      </c>
      <c r="I50" s="21" t="s">
        <v>13</v>
      </c>
      <c r="J50">
        <v>1</v>
      </c>
      <c r="K50" t="s">
        <v>37</v>
      </c>
    </row>
    <row r="51" spans="1:11" x14ac:dyDescent="0.35">
      <c r="A51" s="21" t="s">
        <v>27</v>
      </c>
      <c r="B51">
        <v>5460</v>
      </c>
      <c r="C51" s="1">
        <v>46037</v>
      </c>
      <c r="D51">
        <v>18650</v>
      </c>
      <c r="E51">
        <v>44548</v>
      </c>
      <c r="F51" s="1">
        <v>39814</v>
      </c>
      <c r="G51" s="21" t="s">
        <v>11</v>
      </c>
      <c r="H51" s="21" t="s">
        <v>12</v>
      </c>
      <c r="I51" s="21" t="s">
        <v>18</v>
      </c>
      <c r="J51">
        <v>1</v>
      </c>
      <c r="K51" t="s">
        <v>36</v>
      </c>
    </row>
    <row r="52" spans="1:11" x14ac:dyDescent="0.35">
      <c r="A52" s="21" t="s">
        <v>90</v>
      </c>
      <c r="B52">
        <v>5770</v>
      </c>
      <c r="C52" s="1">
        <v>46064</v>
      </c>
      <c r="D52">
        <v>18923</v>
      </c>
      <c r="E52">
        <v>44942</v>
      </c>
      <c r="F52" s="1">
        <v>36161</v>
      </c>
      <c r="G52" s="21" t="s">
        <v>91</v>
      </c>
      <c r="H52" s="21" t="s">
        <v>12</v>
      </c>
      <c r="I52" s="21" t="s">
        <v>18</v>
      </c>
      <c r="J52">
        <v>2</v>
      </c>
      <c r="K52" t="s">
        <v>34</v>
      </c>
    </row>
    <row r="53" spans="1:11" x14ac:dyDescent="0.35">
      <c r="A53" s="21" t="s">
        <v>97</v>
      </c>
      <c r="B53">
        <v>7210</v>
      </c>
      <c r="C53" s="1">
        <v>46059</v>
      </c>
      <c r="D53">
        <v>18957</v>
      </c>
      <c r="E53">
        <v>44992</v>
      </c>
      <c r="F53" s="1">
        <v>44927</v>
      </c>
      <c r="G53" s="21" t="s">
        <v>94</v>
      </c>
      <c r="H53" s="21" t="s">
        <v>12</v>
      </c>
      <c r="I53" s="21" t="s">
        <v>18</v>
      </c>
      <c r="J53">
        <v>2</v>
      </c>
      <c r="K53" t="s">
        <v>33</v>
      </c>
    </row>
    <row r="54" spans="1:11" x14ac:dyDescent="0.35">
      <c r="A54" s="21" t="s">
        <v>109</v>
      </c>
      <c r="B54">
        <v>8456.1</v>
      </c>
      <c r="C54" s="1">
        <v>46070</v>
      </c>
      <c r="D54">
        <v>18962</v>
      </c>
      <c r="E54">
        <v>44997</v>
      </c>
      <c r="F54" s="1">
        <v>40179</v>
      </c>
      <c r="G54" s="21" t="s">
        <v>15</v>
      </c>
      <c r="H54" s="21" t="s">
        <v>110</v>
      </c>
      <c r="I54" s="21" t="s">
        <v>108</v>
      </c>
      <c r="J54">
        <v>2</v>
      </c>
      <c r="K54" t="s">
        <v>36</v>
      </c>
    </row>
    <row r="55" spans="1:11" x14ac:dyDescent="0.35">
      <c r="A55" s="21" t="s">
        <v>26</v>
      </c>
      <c r="B55">
        <v>9685</v>
      </c>
      <c r="C55" s="1">
        <v>46052</v>
      </c>
      <c r="D55">
        <v>18825</v>
      </c>
      <c r="E55">
        <v>44798</v>
      </c>
      <c r="F55" s="1">
        <v>42005</v>
      </c>
      <c r="G55" s="21" t="s">
        <v>17</v>
      </c>
      <c r="H55" s="21" t="s">
        <v>12</v>
      </c>
      <c r="I55" s="21" t="s">
        <v>18</v>
      </c>
      <c r="J55">
        <v>1</v>
      </c>
      <c r="K55" t="s">
        <v>35</v>
      </c>
    </row>
    <row r="56" spans="1:11" x14ac:dyDescent="0.35">
      <c r="A56" s="21" t="s">
        <v>93</v>
      </c>
      <c r="B56">
        <v>9990</v>
      </c>
      <c r="C56" s="1">
        <v>46073</v>
      </c>
      <c r="D56">
        <v>18993</v>
      </c>
      <c r="E56">
        <v>45036</v>
      </c>
      <c r="F56" s="1">
        <v>39814</v>
      </c>
      <c r="G56" s="21" t="s">
        <v>94</v>
      </c>
      <c r="H56" s="21" t="s">
        <v>12</v>
      </c>
      <c r="I56" s="21" t="s">
        <v>18</v>
      </c>
      <c r="J56">
        <v>2</v>
      </c>
      <c r="K56" t="s">
        <v>36</v>
      </c>
    </row>
    <row r="57" spans="1:11" x14ac:dyDescent="0.35">
      <c r="A57" s="21" t="s">
        <v>112</v>
      </c>
      <c r="B57">
        <v>14420</v>
      </c>
      <c r="C57" s="1">
        <v>46055</v>
      </c>
      <c r="D57">
        <v>18849</v>
      </c>
      <c r="E57">
        <v>44821</v>
      </c>
      <c r="F57" s="1">
        <v>37622</v>
      </c>
      <c r="G57" s="21" t="s">
        <v>94</v>
      </c>
      <c r="H57" s="21" t="s">
        <v>12</v>
      </c>
      <c r="I57" s="21" t="s">
        <v>18</v>
      </c>
      <c r="J57">
        <v>2</v>
      </c>
      <c r="K57" t="s">
        <v>34</v>
      </c>
    </row>
    <row r="58" spans="1:11" x14ac:dyDescent="0.35">
      <c r="A58" s="21" t="s">
        <v>114</v>
      </c>
      <c r="B58">
        <v>16175</v>
      </c>
      <c r="C58" s="1">
        <v>46073</v>
      </c>
      <c r="D58">
        <v>18994</v>
      </c>
      <c r="E58">
        <v>45037</v>
      </c>
      <c r="F58" s="1">
        <v>40179</v>
      </c>
      <c r="G58" s="21" t="s">
        <v>17</v>
      </c>
      <c r="H58" s="21" t="s">
        <v>12</v>
      </c>
      <c r="I58" s="21" t="s">
        <v>18</v>
      </c>
      <c r="J58">
        <v>2</v>
      </c>
      <c r="K58" t="s">
        <v>36</v>
      </c>
    </row>
    <row r="59" spans="1:11" x14ac:dyDescent="0.35">
      <c r="A59" s="21" t="s">
        <v>117</v>
      </c>
      <c r="B59">
        <v>21630</v>
      </c>
      <c r="C59" s="1">
        <v>46062</v>
      </c>
      <c r="D59">
        <v>18908</v>
      </c>
      <c r="E59">
        <v>44897</v>
      </c>
      <c r="F59" s="1">
        <v>42005</v>
      </c>
      <c r="G59" s="21" t="s">
        <v>17</v>
      </c>
      <c r="H59" s="21" t="s">
        <v>12</v>
      </c>
      <c r="I59" s="21" t="s">
        <v>21</v>
      </c>
      <c r="J59">
        <v>2</v>
      </c>
      <c r="K59" t="s">
        <v>35</v>
      </c>
    </row>
    <row r="60" spans="1:11" x14ac:dyDescent="0.35">
      <c r="A60" s="21" t="s">
        <v>89</v>
      </c>
      <c r="B60">
        <v>23375</v>
      </c>
      <c r="C60" s="1">
        <v>46072</v>
      </c>
      <c r="D60">
        <v>18995</v>
      </c>
      <c r="E60">
        <v>45038</v>
      </c>
      <c r="F60" s="1">
        <v>42005</v>
      </c>
      <c r="G60" s="21" t="s">
        <v>17</v>
      </c>
      <c r="H60" s="21" t="s">
        <v>12</v>
      </c>
      <c r="I60" s="21" t="s">
        <v>18</v>
      </c>
      <c r="J60">
        <v>2</v>
      </c>
      <c r="K60" t="s">
        <v>35</v>
      </c>
    </row>
    <row r="61" spans="1:11" x14ac:dyDescent="0.35">
      <c r="A61" s="21" t="s">
        <v>102</v>
      </c>
      <c r="B61">
        <v>23375</v>
      </c>
      <c r="C61" s="1">
        <v>46055</v>
      </c>
      <c r="D61">
        <v>18851</v>
      </c>
      <c r="E61">
        <v>44823</v>
      </c>
      <c r="F61" s="1">
        <v>41275</v>
      </c>
      <c r="G61" s="21" t="s">
        <v>17</v>
      </c>
      <c r="H61" s="21" t="s">
        <v>103</v>
      </c>
      <c r="I61" s="21" t="s">
        <v>18</v>
      </c>
      <c r="J61">
        <v>2</v>
      </c>
      <c r="K61" t="s">
        <v>35</v>
      </c>
    </row>
    <row r="62" spans="1:11" x14ac:dyDescent="0.35">
      <c r="A62" s="21" t="s">
        <v>75</v>
      </c>
      <c r="B62">
        <v>23375</v>
      </c>
      <c r="C62" s="1">
        <v>46048</v>
      </c>
      <c r="D62">
        <v>18752</v>
      </c>
      <c r="E62">
        <v>44676</v>
      </c>
      <c r="F62" s="1">
        <v>40909</v>
      </c>
      <c r="G62" s="21" t="s">
        <v>0</v>
      </c>
      <c r="H62" s="21" t="s">
        <v>12</v>
      </c>
      <c r="I62" s="21" t="s">
        <v>18</v>
      </c>
      <c r="J62">
        <v>1</v>
      </c>
      <c r="K62" t="s">
        <v>36</v>
      </c>
    </row>
    <row r="63" spans="1:11" x14ac:dyDescent="0.35">
      <c r="A63" s="21" t="s">
        <v>119</v>
      </c>
      <c r="B63">
        <v>23375</v>
      </c>
      <c r="C63" s="1">
        <v>46066</v>
      </c>
      <c r="D63">
        <v>18940</v>
      </c>
      <c r="E63">
        <v>44972</v>
      </c>
      <c r="F63" s="1">
        <v>41275</v>
      </c>
      <c r="G63" s="21" t="s">
        <v>17</v>
      </c>
      <c r="H63" s="21" t="s">
        <v>120</v>
      </c>
      <c r="I63" s="21" t="s">
        <v>18</v>
      </c>
      <c r="J63">
        <v>2</v>
      </c>
      <c r="K63" t="s">
        <v>35</v>
      </c>
    </row>
    <row r="64" spans="1:11" x14ac:dyDescent="0.35">
      <c r="A64" s="21" t="s">
        <v>124</v>
      </c>
      <c r="B64">
        <v>23375</v>
      </c>
      <c r="C64" s="1">
        <v>46080</v>
      </c>
      <c r="D64">
        <v>19076</v>
      </c>
      <c r="E64">
        <v>45158</v>
      </c>
      <c r="F64" s="1">
        <v>37257</v>
      </c>
      <c r="G64" s="21" t="s">
        <v>17</v>
      </c>
      <c r="H64" s="21" t="s">
        <v>12</v>
      </c>
      <c r="I64" s="21" t="s">
        <v>18</v>
      </c>
      <c r="J64">
        <v>2</v>
      </c>
      <c r="K64" t="s">
        <v>34</v>
      </c>
    </row>
    <row r="65" spans="1:11" x14ac:dyDescent="0.35">
      <c r="A65" s="21" t="s">
        <v>73</v>
      </c>
      <c r="B65">
        <v>38100</v>
      </c>
      <c r="C65" s="1">
        <v>46048</v>
      </c>
      <c r="D65">
        <v>18755</v>
      </c>
      <c r="E65">
        <v>44679</v>
      </c>
      <c r="F65" s="1">
        <v>35796</v>
      </c>
      <c r="G65" s="21" t="s">
        <v>17</v>
      </c>
      <c r="H65" s="21" t="s">
        <v>12</v>
      </c>
      <c r="I65" s="21" t="s">
        <v>21</v>
      </c>
      <c r="J65">
        <v>1</v>
      </c>
      <c r="K65" t="s">
        <v>34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D6CF-E5B4-4180-A757-C2F8191983E5}">
  <dimension ref="A1:J67"/>
  <sheetViews>
    <sheetView topLeftCell="A2" workbookViewId="0">
      <selection activeCell="C5" sqref="C5"/>
    </sheetView>
  </sheetViews>
  <sheetFormatPr defaultRowHeight="14.5" x14ac:dyDescent="0.35"/>
  <cols>
    <col min="1" max="1" width="61.816406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/>
      <c r="C2" s="1"/>
      <c r="F2" s="1"/>
      <c r="G2" s="21"/>
      <c r="H2" s="21"/>
      <c r="I2" s="21"/>
    </row>
    <row r="3" spans="1:10" x14ac:dyDescent="0.35">
      <c r="A3" s="21"/>
      <c r="C3" s="1"/>
      <c r="F3" s="1"/>
      <c r="G3" s="21"/>
      <c r="H3" s="21"/>
      <c r="I3" s="21"/>
    </row>
    <row r="4" spans="1:10" x14ac:dyDescent="0.35">
      <c r="A4" s="21" t="s">
        <v>87</v>
      </c>
      <c r="B4">
        <v>1905</v>
      </c>
      <c r="C4" s="1">
        <v>46066</v>
      </c>
      <c r="D4">
        <v>18941</v>
      </c>
      <c r="E4">
        <v>44973</v>
      </c>
      <c r="F4" s="1">
        <v>44571</v>
      </c>
      <c r="G4" s="21" t="s">
        <v>17</v>
      </c>
      <c r="H4" s="21" t="s">
        <v>12</v>
      </c>
      <c r="I4" s="21" t="s">
        <v>13</v>
      </c>
      <c r="J4">
        <v>2</v>
      </c>
    </row>
    <row r="5" spans="1:10" x14ac:dyDescent="0.35">
      <c r="A5" s="21" t="s">
        <v>88</v>
      </c>
      <c r="B5">
        <v>1620</v>
      </c>
      <c r="C5" s="1">
        <v>46072</v>
      </c>
      <c r="D5">
        <v>18996</v>
      </c>
      <c r="E5">
        <v>45039</v>
      </c>
      <c r="F5" s="1">
        <v>40976</v>
      </c>
      <c r="G5" s="21" t="s">
        <v>11</v>
      </c>
      <c r="H5" s="21" t="s">
        <v>12</v>
      </c>
      <c r="I5" s="21" t="s">
        <v>18</v>
      </c>
      <c r="J5">
        <v>2</v>
      </c>
    </row>
    <row r="6" spans="1:10" x14ac:dyDescent="0.35">
      <c r="A6" s="21" t="s">
        <v>64</v>
      </c>
      <c r="B6">
        <v>2370</v>
      </c>
      <c r="C6" s="1">
        <v>46035</v>
      </c>
      <c r="D6">
        <v>18613</v>
      </c>
      <c r="E6">
        <v>44511</v>
      </c>
      <c r="F6" s="1">
        <v>37839</v>
      </c>
      <c r="G6" s="21" t="s">
        <v>17</v>
      </c>
      <c r="H6" s="21" t="s">
        <v>12</v>
      </c>
      <c r="I6" s="21" t="s">
        <v>18</v>
      </c>
      <c r="J6">
        <v>1</v>
      </c>
    </row>
    <row r="7" spans="1:10" x14ac:dyDescent="0.35">
      <c r="A7" s="21" t="s">
        <v>28</v>
      </c>
      <c r="B7">
        <v>775</v>
      </c>
      <c r="C7" s="1">
        <v>46033</v>
      </c>
      <c r="D7">
        <v>18551</v>
      </c>
      <c r="E7">
        <v>44438</v>
      </c>
      <c r="F7" s="1">
        <v>45385</v>
      </c>
      <c r="G7" s="21" t="s">
        <v>15</v>
      </c>
      <c r="H7" s="21" t="s">
        <v>15</v>
      </c>
      <c r="I7" s="21" t="s">
        <v>16</v>
      </c>
      <c r="J7">
        <v>1</v>
      </c>
    </row>
    <row r="8" spans="1:10" x14ac:dyDescent="0.35">
      <c r="A8" s="21" t="s">
        <v>89</v>
      </c>
      <c r="B8">
        <v>23375</v>
      </c>
      <c r="C8" s="1">
        <v>46072</v>
      </c>
      <c r="D8">
        <v>18995</v>
      </c>
      <c r="E8">
        <v>45038</v>
      </c>
      <c r="F8" s="1">
        <v>42297</v>
      </c>
      <c r="G8" s="21" t="s">
        <v>17</v>
      </c>
      <c r="H8" s="21" t="s">
        <v>12</v>
      </c>
      <c r="I8" s="21" t="s">
        <v>18</v>
      </c>
      <c r="J8">
        <v>2</v>
      </c>
    </row>
    <row r="9" spans="1:10" x14ac:dyDescent="0.35">
      <c r="A9" s="21" t="s">
        <v>55</v>
      </c>
      <c r="B9">
        <v>775</v>
      </c>
      <c r="C9" s="1">
        <v>46027</v>
      </c>
      <c r="D9">
        <v>18371</v>
      </c>
      <c r="E9">
        <v>44227</v>
      </c>
      <c r="F9" s="1">
        <v>44433</v>
      </c>
      <c r="G9" s="21" t="s">
        <v>15</v>
      </c>
      <c r="H9" s="21" t="s">
        <v>12</v>
      </c>
      <c r="I9" s="21" t="s">
        <v>16</v>
      </c>
      <c r="J9">
        <v>1</v>
      </c>
    </row>
    <row r="10" spans="1:10" x14ac:dyDescent="0.35">
      <c r="A10" s="21" t="s">
        <v>90</v>
      </c>
      <c r="B10">
        <v>5770</v>
      </c>
      <c r="C10" s="1">
        <v>46064</v>
      </c>
      <c r="D10">
        <v>18923</v>
      </c>
      <c r="E10">
        <v>44942</v>
      </c>
      <c r="F10" s="1">
        <v>36360</v>
      </c>
      <c r="G10" s="21" t="s">
        <v>91</v>
      </c>
      <c r="H10" s="21" t="s">
        <v>12</v>
      </c>
      <c r="I10" s="21" t="s">
        <v>18</v>
      </c>
      <c r="J10">
        <v>2</v>
      </c>
    </row>
    <row r="11" spans="1:10" x14ac:dyDescent="0.35">
      <c r="A11" s="21" t="s">
        <v>92</v>
      </c>
      <c r="B11">
        <v>1905</v>
      </c>
      <c r="C11" s="1">
        <v>46062</v>
      </c>
      <c r="D11">
        <v>18906</v>
      </c>
      <c r="E11">
        <v>44895</v>
      </c>
      <c r="F11" s="1">
        <v>37725</v>
      </c>
      <c r="G11" s="21" t="s">
        <v>17</v>
      </c>
      <c r="H11" s="21" t="s">
        <v>12</v>
      </c>
      <c r="I11" s="21" t="s">
        <v>13</v>
      </c>
      <c r="J11">
        <v>2</v>
      </c>
    </row>
    <row r="12" spans="1:10" x14ac:dyDescent="0.35">
      <c r="A12" s="21" t="s">
        <v>69</v>
      </c>
      <c r="B12">
        <v>775</v>
      </c>
      <c r="C12" s="1">
        <v>46034</v>
      </c>
      <c r="D12">
        <v>18605</v>
      </c>
      <c r="E12">
        <v>44503</v>
      </c>
      <c r="F12" s="1">
        <v>46034</v>
      </c>
      <c r="G12" s="21" t="s">
        <v>15</v>
      </c>
      <c r="H12" s="21" t="s">
        <v>20</v>
      </c>
      <c r="I12" s="21" t="s">
        <v>16</v>
      </c>
      <c r="J12">
        <v>1</v>
      </c>
    </row>
    <row r="13" spans="1:10" x14ac:dyDescent="0.35">
      <c r="A13" s="21" t="s">
        <v>93</v>
      </c>
      <c r="B13">
        <v>9990</v>
      </c>
      <c r="C13" s="1">
        <v>46073</v>
      </c>
      <c r="D13">
        <v>18993</v>
      </c>
      <c r="E13">
        <v>45036</v>
      </c>
      <c r="F13" s="1">
        <v>39983</v>
      </c>
      <c r="G13" s="21" t="s">
        <v>94</v>
      </c>
      <c r="H13" s="21" t="s">
        <v>12</v>
      </c>
      <c r="I13" s="21" t="s">
        <v>18</v>
      </c>
      <c r="J13">
        <v>2</v>
      </c>
    </row>
    <row r="14" spans="1:10" x14ac:dyDescent="0.35">
      <c r="A14" s="21" t="s">
        <v>70</v>
      </c>
      <c r="B14">
        <v>1545</v>
      </c>
      <c r="C14" s="1">
        <v>46042</v>
      </c>
      <c r="D14">
        <v>18678</v>
      </c>
      <c r="E14">
        <v>44578</v>
      </c>
      <c r="F14" s="1">
        <v>40179</v>
      </c>
      <c r="G14" s="21" t="s">
        <v>11</v>
      </c>
      <c r="H14" s="21" t="s">
        <v>12</v>
      </c>
      <c r="I14" s="21" t="s">
        <v>18</v>
      </c>
      <c r="J14">
        <v>1</v>
      </c>
    </row>
    <row r="15" spans="1:10" x14ac:dyDescent="0.35">
      <c r="A15" s="21" t="s">
        <v>95</v>
      </c>
      <c r="C15" s="1"/>
      <c r="F15" s="1"/>
      <c r="G15" s="21"/>
      <c r="H15" s="21"/>
      <c r="I15" s="21"/>
    </row>
    <row r="16" spans="1:10" x14ac:dyDescent="0.35">
      <c r="A16" s="21" t="s">
        <v>96</v>
      </c>
      <c r="C16" s="1"/>
      <c r="F16" s="1"/>
      <c r="G16" s="21"/>
      <c r="H16" s="21"/>
      <c r="I16" s="21"/>
    </row>
    <row r="17" spans="1:10" x14ac:dyDescent="0.35">
      <c r="A17" s="21" t="s">
        <v>97</v>
      </c>
      <c r="B17">
        <v>7210</v>
      </c>
      <c r="C17" s="1">
        <v>46059</v>
      </c>
      <c r="D17">
        <v>18957</v>
      </c>
      <c r="E17">
        <v>44992</v>
      </c>
      <c r="F17" s="1">
        <v>45168</v>
      </c>
      <c r="G17" s="21" t="s">
        <v>94</v>
      </c>
      <c r="H17" s="21" t="s">
        <v>12</v>
      </c>
      <c r="I17" s="21" t="s">
        <v>18</v>
      </c>
      <c r="J17">
        <v>2</v>
      </c>
    </row>
    <row r="18" spans="1:10" x14ac:dyDescent="0.35">
      <c r="A18" s="21" t="s">
        <v>98</v>
      </c>
      <c r="B18">
        <v>100</v>
      </c>
      <c r="C18" s="1">
        <v>46069</v>
      </c>
      <c r="D18">
        <v>18946</v>
      </c>
      <c r="E18">
        <v>44978</v>
      </c>
      <c r="F18" s="1">
        <v>44959</v>
      </c>
      <c r="G18" s="21" t="s">
        <v>15</v>
      </c>
      <c r="H18" s="21" t="s">
        <v>12</v>
      </c>
      <c r="I18" s="21" t="s">
        <v>99</v>
      </c>
      <c r="J18">
        <v>2</v>
      </c>
    </row>
    <row r="19" spans="1:10" x14ac:dyDescent="0.35">
      <c r="A19" s="21" t="s">
        <v>100</v>
      </c>
      <c r="B19">
        <v>1545</v>
      </c>
      <c r="C19" s="1">
        <v>46062</v>
      </c>
      <c r="D19">
        <v>18914</v>
      </c>
      <c r="E19">
        <v>44907</v>
      </c>
      <c r="F19" s="1">
        <v>41137</v>
      </c>
      <c r="G19" s="21" t="s">
        <v>17</v>
      </c>
      <c r="H19" s="21" t="s">
        <v>101</v>
      </c>
      <c r="I19" s="21" t="s">
        <v>18</v>
      </c>
      <c r="J19">
        <v>2</v>
      </c>
    </row>
    <row r="20" spans="1:10" x14ac:dyDescent="0.35">
      <c r="A20" s="21" t="s">
        <v>71</v>
      </c>
      <c r="B20">
        <v>775</v>
      </c>
      <c r="C20" s="1">
        <v>46053</v>
      </c>
      <c r="D20">
        <v>18840</v>
      </c>
      <c r="E20">
        <v>44813</v>
      </c>
      <c r="F20" s="1">
        <v>44546</v>
      </c>
      <c r="G20" s="21" t="s">
        <v>15</v>
      </c>
      <c r="H20" s="21" t="s">
        <v>15</v>
      </c>
      <c r="I20" s="21" t="s">
        <v>16</v>
      </c>
      <c r="J20">
        <v>1</v>
      </c>
    </row>
    <row r="21" spans="1:10" x14ac:dyDescent="0.35">
      <c r="A21" s="21" t="s">
        <v>72</v>
      </c>
      <c r="B21">
        <v>775</v>
      </c>
      <c r="C21" s="1">
        <v>46052</v>
      </c>
      <c r="D21">
        <v>18833</v>
      </c>
      <c r="E21">
        <v>44806</v>
      </c>
      <c r="F21" s="1">
        <v>46052</v>
      </c>
      <c r="G21" s="21" t="s">
        <v>15</v>
      </c>
      <c r="H21" s="21" t="s">
        <v>12</v>
      </c>
      <c r="I21" s="21" t="s">
        <v>16</v>
      </c>
      <c r="J21">
        <v>1</v>
      </c>
    </row>
    <row r="22" spans="1:10" x14ac:dyDescent="0.35">
      <c r="A22" s="21" t="s">
        <v>73</v>
      </c>
      <c r="B22">
        <v>38100</v>
      </c>
      <c r="C22" s="1">
        <v>46048</v>
      </c>
      <c r="D22">
        <v>18755</v>
      </c>
      <c r="E22">
        <v>44679</v>
      </c>
      <c r="F22" s="1">
        <v>35925</v>
      </c>
      <c r="G22" s="21" t="s">
        <v>17</v>
      </c>
      <c r="H22" s="21" t="s">
        <v>12</v>
      </c>
      <c r="I22" s="21" t="s">
        <v>21</v>
      </c>
      <c r="J22">
        <v>1</v>
      </c>
    </row>
    <row r="23" spans="1:10" x14ac:dyDescent="0.35">
      <c r="A23" s="21" t="s">
        <v>24</v>
      </c>
      <c r="B23">
        <v>1905</v>
      </c>
      <c r="C23" s="1">
        <v>46030</v>
      </c>
      <c r="D23">
        <v>18444</v>
      </c>
      <c r="E23">
        <v>44327</v>
      </c>
      <c r="F23" s="1">
        <v>45341</v>
      </c>
      <c r="G23" s="21" t="s">
        <v>17</v>
      </c>
      <c r="H23" s="21" t="s">
        <v>12</v>
      </c>
      <c r="I23" s="21" t="s">
        <v>13</v>
      </c>
      <c r="J23">
        <v>1</v>
      </c>
    </row>
    <row r="24" spans="1:10" x14ac:dyDescent="0.35">
      <c r="A24" s="21" t="s">
        <v>74</v>
      </c>
      <c r="B24">
        <v>775</v>
      </c>
      <c r="C24" s="1">
        <v>46043</v>
      </c>
      <c r="D24">
        <v>18708</v>
      </c>
      <c r="E24">
        <v>44608</v>
      </c>
      <c r="F24" s="1">
        <v>42038</v>
      </c>
      <c r="G24" s="21" t="s">
        <v>17</v>
      </c>
      <c r="H24" s="21" t="s">
        <v>12</v>
      </c>
      <c r="I24" s="21" t="s">
        <v>16</v>
      </c>
      <c r="J24">
        <v>1</v>
      </c>
    </row>
    <row r="25" spans="1:10" x14ac:dyDescent="0.35">
      <c r="A25" s="21" t="s">
        <v>26</v>
      </c>
      <c r="B25">
        <v>9685</v>
      </c>
      <c r="C25" s="1">
        <v>46052</v>
      </c>
      <c r="D25">
        <v>18825</v>
      </c>
      <c r="E25">
        <v>44798</v>
      </c>
      <c r="F25" s="1">
        <v>42144</v>
      </c>
      <c r="G25" s="21" t="s">
        <v>17</v>
      </c>
      <c r="H25" s="21" t="s">
        <v>12</v>
      </c>
      <c r="I25" s="21" t="s">
        <v>18</v>
      </c>
      <c r="J25">
        <v>1</v>
      </c>
    </row>
    <row r="26" spans="1:10" x14ac:dyDescent="0.35">
      <c r="A26" s="21" t="s">
        <v>102</v>
      </c>
      <c r="B26">
        <v>23375</v>
      </c>
      <c r="C26" s="1">
        <v>46055</v>
      </c>
      <c r="D26">
        <v>18851</v>
      </c>
      <c r="E26">
        <v>44823</v>
      </c>
      <c r="F26" s="1">
        <v>41558</v>
      </c>
      <c r="G26" s="21" t="s">
        <v>17</v>
      </c>
      <c r="H26" s="21" t="s">
        <v>103</v>
      </c>
      <c r="I26" s="21" t="s">
        <v>18</v>
      </c>
      <c r="J26">
        <v>2</v>
      </c>
    </row>
    <row r="27" spans="1:10" x14ac:dyDescent="0.35">
      <c r="A27" s="21" t="s">
        <v>104</v>
      </c>
      <c r="B27">
        <v>775</v>
      </c>
      <c r="C27" s="1">
        <v>46080</v>
      </c>
      <c r="D27">
        <v>19083</v>
      </c>
      <c r="E27">
        <v>45165</v>
      </c>
      <c r="F27" s="1">
        <v>46080</v>
      </c>
      <c r="G27" s="21" t="s">
        <v>15</v>
      </c>
      <c r="H27" s="21" t="s">
        <v>12</v>
      </c>
      <c r="I27" s="21" t="s">
        <v>16</v>
      </c>
      <c r="J27">
        <v>2</v>
      </c>
    </row>
    <row r="28" spans="1:10" x14ac:dyDescent="0.35">
      <c r="A28" s="21" t="s">
        <v>105</v>
      </c>
      <c r="B28">
        <v>1905</v>
      </c>
      <c r="C28" s="1">
        <v>46055</v>
      </c>
      <c r="D28">
        <v>18850</v>
      </c>
      <c r="E28">
        <v>44822</v>
      </c>
      <c r="F28" s="1">
        <v>40067</v>
      </c>
      <c r="G28" s="21" t="s">
        <v>11</v>
      </c>
      <c r="H28" s="21" t="s">
        <v>12</v>
      </c>
      <c r="I28" s="21" t="s">
        <v>13</v>
      </c>
      <c r="J28">
        <v>2</v>
      </c>
    </row>
    <row r="29" spans="1:10" x14ac:dyDescent="0.35">
      <c r="A29" s="21" t="s">
        <v>106</v>
      </c>
      <c r="B29">
        <v>1000</v>
      </c>
      <c r="C29" s="1">
        <v>46079</v>
      </c>
      <c r="D29">
        <v>19043</v>
      </c>
      <c r="E29">
        <v>45122</v>
      </c>
      <c r="F29" s="1">
        <v>45462</v>
      </c>
      <c r="G29" s="21" t="s">
        <v>15</v>
      </c>
      <c r="H29" s="21" t="s">
        <v>107</v>
      </c>
      <c r="I29" s="21" t="s">
        <v>108</v>
      </c>
      <c r="J29">
        <v>2</v>
      </c>
    </row>
    <row r="30" spans="1:10" x14ac:dyDescent="0.35">
      <c r="A30" s="21" t="s">
        <v>109</v>
      </c>
      <c r="B30">
        <v>8456.1</v>
      </c>
      <c r="C30" s="1">
        <v>46070</v>
      </c>
      <c r="D30">
        <v>18962</v>
      </c>
      <c r="E30">
        <v>44997</v>
      </c>
      <c r="F30" s="1">
        <v>40283</v>
      </c>
      <c r="G30" s="21" t="s">
        <v>15</v>
      </c>
      <c r="H30" s="21" t="s">
        <v>110</v>
      </c>
      <c r="I30" s="21" t="s">
        <v>108</v>
      </c>
      <c r="J30">
        <v>2</v>
      </c>
    </row>
    <row r="31" spans="1:10" x14ac:dyDescent="0.35">
      <c r="A31" s="21" t="s">
        <v>111</v>
      </c>
      <c r="B31">
        <v>1545</v>
      </c>
      <c r="C31" s="1">
        <v>46059</v>
      </c>
      <c r="D31">
        <v>18891</v>
      </c>
      <c r="E31">
        <v>44881</v>
      </c>
      <c r="F31" s="1">
        <v>36570</v>
      </c>
      <c r="G31" s="21" t="s">
        <v>11</v>
      </c>
      <c r="H31" s="21" t="s">
        <v>12</v>
      </c>
      <c r="I31" s="21" t="s">
        <v>18</v>
      </c>
      <c r="J31">
        <v>2</v>
      </c>
    </row>
    <row r="32" spans="1:10" x14ac:dyDescent="0.35">
      <c r="A32" s="21" t="s">
        <v>75</v>
      </c>
      <c r="B32">
        <v>23375</v>
      </c>
      <c r="C32" s="1">
        <v>46048</v>
      </c>
      <c r="D32">
        <v>18752</v>
      </c>
      <c r="E32">
        <v>44676</v>
      </c>
      <c r="F32" s="1">
        <v>41256</v>
      </c>
      <c r="G32" s="21" t="s">
        <v>0</v>
      </c>
      <c r="H32" s="21" t="s">
        <v>12</v>
      </c>
      <c r="I32" s="21" t="s">
        <v>18</v>
      </c>
      <c r="J32">
        <v>1</v>
      </c>
    </row>
    <row r="33" spans="1:10" x14ac:dyDescent="0.35">
      <c r="A33" s="21" t="s">
        <v>27</v>
      </c>
      <c r="B33">
        <v>5460</v>
      </c>
      <c r="C33" s="1">
        <v>46037</v>
      </c>
      <c r="D33">
        <v>18650</v>
      </c>
      <c r="E33">
        <v>44548</v>
      </c>
      <c r="F33" s="1">
        <v>39989</v>
      </c>
      <c r="G33" s="21" t="s">
        <v>11</v>
      </c>
      <c r="H33" s="21" t="s">
        <v>12</v>
      </c>
      <c r="I33" s="21" t="s">
        <v>18</v>
      </c>
      <c r="J33">
        <v>1</v>
      </c>
    </row>
    <row r="34" spans="1:10" x14ac:dyDescent="0.35">
      <c r="A34" s="21" t="s">
        <v>76</v>
      </c>
      <c r="B34">
        <v>775</v>
      </c>
      <c r="C34" s="1">
        <v>46028</v>
      </c>
      <c r="D34">
        <v>18392</v>
      </c>
      <c r="E34">
        <v>44254</v>
      </c>
      <c r="F34" s="1">
        <v>46028</v>
      </c>
      <c r="G34" s="21" t="s">
        <v>15</v>
      </c>
      <c r="H34" s="21" t="s">
        <v>12</v>
      </c>
      <c r="I34" s="21" t="s">
        <v>16</v>
      </c>
      <c r="J34">
        <v>1</v>
      </c>
    </row>
    <row r="35" spans="1:10" x14ac:dyDescent="0.35">
      <c r="A35" s="21" t="s">
        <v>112</v>
      </c>
      <c r="B35">
        <v>14420</v>
      </c>
      <c r="C35" s="1">
        <v>46055</v>
      </c>
      <c r="D35">
        <v>18849</v>
      </c>
      <c r="E35">
        <v>44821</v>
      </c>
      <c r="F35" s="1">
        <v>37963</v>
      </c>
      <c r="G35" s="21" t="s">
        <v>94</v>
      </c>
      <c r="H35" s="21" t="s">
        <v>12</v>
      </c>
      <c r="I35" s="21" t="s">
        <v>18</v>
      </c>
      <c r="J35">
        <v>2</v>
      </c>
    </row>
    <row r="36" spans="1:10" x14ac:dyDescent="0.35">
      <c r="A36" s="21" t="s">
        <v>113</v>
      </c>
      <c r="B36">
        <v>100</v>
      </c>
      <c r="C36" s="1">
        <v>46064</v>
      </c>
      <c r="D36">
        <v>18927</v>
      </c>
      <c r="E36">
        <v>44951</v>
      </c>
      <c r="F36" s="1">
        <v>35292</v>
      </c>
      <c r="G36" s="21" t="s">
        <v>15</v>
      </c>
      <c r="H36" s="21" t="s">
        <v>12</v>
      </c>
      <c r="I36" s="21" t="s">
        <v>99</v>
      </c>
      <c r="J36">
        <v>2</v>
      </c>
    </row>
    <row r="37" spans="1:10" x14ac:dyDescent="0.35">
      <c r="A37" s="21" t="s">
        <v>22</v>
      </c>
      <c r="B37">
        <v>1545</v>
      </c>
      <c r="C37" s="1">
        <v>46051</v>
      </c>
      <c r="D37">
        <v>18802</v>
      </c>
      <c r="E37">
        <v>44761</v>
      </c>
      <c r="F37" s="1">
        <v>45303</v>
      </c>
      <c r="G37" s="21" t="s">
        <v>17</v>
      </c>
      <c r="H37" s="21" t="s">
        <v>12</v>
      </c>
      <c r="I37" s="21" t="s">
        <v>18</v>
      </c>
      <c r="J37">
        <v>1</v>
      </c>
    </row>
    <row r="38" spans="1:10" x14ac:dyDescent="0.35">
      <c r="A38" s="21" t="s">
        <v>114</v>
      </c>
      <c r="B38">
        <v>16175</v>
      </c>
      <c r="C38" s="1">
        <v>46073</v>
      </c>
      <c r="D38">
        <v>18994</v>
      </c>
      <c r="E38">
        <v>45037</v>
      </c>
      <c r="F38" s="1">
        <v>40205</v>
      </c>
      <c r="G38" s="21" t="s">
        <v>17</v>
      </c>
      <c r="H38" s="21" t="s">
        <v>12</v>
      </c>
      <c r="I38" s="21" t="s">
        <v>18</v>
      </c>
      <c r="J38">
        <v>2</v>
      </c>
    </row>
    <row r="39" spans="1:10" x14ac:dyDescent="0.35">
      <c r="A39" s="21" t="s">
        <v>115</v>
      </c>
      <c r="B39">
        <v>775</v>
      </c>
      <c r="C39" s="1">
        <v>46055</v>
      </c>
      <c r="D39">
        <v>18853</v>
      </c>
      <c r="E39">
        <v>44825</v>
      </c>
      <c r="F39" s="1">
        <v>45344</v>
      </c>
      <c r="G39" s="21" t="s">
        <v>15</v>
      </c>
      <c r="H39" s="21" t="s">
        <v>15</v>
      </c>
      <c r="I39" s="21" t="s">
        <v>16</v>
      </c>
      <c r="J39">
        <v>2</v>
      </c>
    </row>
    <row r="40" spans="1:10" x14ac:dyDescent="0.35">
      <c r="A40" s="21" t="s">
        <v>116</v>
      </c>
      <c r="B40">
        <v>1905</v>
      </c>
      <c r="C40" s="1">
        <v>46070</v>
      </c>
      <c r="D40">
        <v>18958</v>
      </c>
      <c r="E40">
        <v>44993</v>
      </c>
      <c r="F40" s="1">
        <v>43966</v>
      </c>
      <c r="G40" s="21" t="s">
        <v>11</v>
      </c>
      <c r="H40" s="21" t="s">
        <v>12</v>
      </c>
      <c r="I40" s="21" t="s">
        <v>13</v>
      </c>
      <c r="J40">
        <v>2</v>
      </c>
    </row>
    <row r="41" spans="1:10" x14ac:dyDescent="0.35">
      <c r="A41" s="21" t="s">
        <v>63</v>
      </c>
      <c r="B41">
        <v>2370</v>
      </c>
      <c r="C41" s="1">
        <v>46042</v>
      </c>
      <c r="D41">
        <v>18672</v>
      </c>
      <c r="E41">
        <v>44570</v>
      </c>
      <c r="F41" s="1">
        <v>41988</v>
      </c>
      <c r="G41" s="21" t="s">
        <v>17</v>
      </c>
      <c r="H41" s="21" t="s">
        <v>12</v>
      </c>
      <c r="I41" s="21" t="s">
        <v>18</v>
      </c>
      <c r="J41">
        <v>1</v>
      </c>
    </row>
    <row r="42" spans="1:10" x14ac:dyDescent="0.35">
      <c r="A42" s="21" t="s">
        <v>77</v>
      </c>
      <c r="B42">
        <v>1905</v>
      </c>
      <c r="C42" s="1">
        <v>46044</v>
      </c>
      <c r="D42">
        <v>18717</v>
      </c>
      <c r="E42">
        <v>44617</v>
      </c>
      <c r="F42" s="1">
        <v>43465</v>
      </c>
      <c r="G42" s="21" t="s">
        <v>17</v>
      </c>
      <c r="H42" s="21" t="s">
        <v>12</v>
      </c>
      <c r="I42" s="21" t="s">
        <v>13</v>
      </c>
      <c r="J42">
        <v>1</v>
      </c>
    </row>
    <row r="43" spans="1:10" x14ac:dyDescent="0.35">
      <c r="A43" s="21" t="s">
        <v>14</v>
      </c>
      <c r="B43">
        <v>1545</v>
      </c>
      <c r="C43" s="1">
        <v>46037</v>
      </c>
      <c r="D43">
        <v>18652</v>
      </c>
      <c r="E43">
        <v>44550</v>
      </c>
      <c r="F43" s="1">
        <v>38720</v>
      </c>
      <c r="G43" s="21" t="s">
        <v>11</v>
      </c>
      <c r="H43" s="21" t="s">
        <v>12</v>
      </c>
      <c r="I43" s="21" t="s">
        <v>18</v>
      </c>
      <c r="J43">
        <v>1</v>
      </c>
    </row>
    <row r="44" spans="1:10" x14ac:dyDescent="0.35">
      <c r="A44" s="21" t="s">
        <v>56</v>
      </c>
      <c r="B44">
        <v>2990</v>
      </c>
      <c r="C44" s="1">
        <v>46045</v>
      </c>
      <c r="D44">
        <v>18722</v>
      </c>
      <c r="E44">
        <v>44622</v>
      </c>
      <c r="F44" s="1">
        <v>45682</v>
      </c>
      <c r="G44" s="21" t="s">
        <v>17</v>
      </c>
      <c r="H44" s="21" t="s">
        <v>12</v>
      </c>
      <c r="I44" s="21" t="s">
        <v>13</v>
      </c>
      <c r="J44">
        <v>1</v>
      </c>
    </row>
    <row r="45" spans="1:10" x14ac:dyDescent="0.35">
      <c r="A45" s="21" t="s">
        <v>78</v>
      </c>
      <c r="B45">
        <v>2990</v>
      </c>
      <c r="C45" s="1">
        <v>46031</v>
      </c>
      <c r="D45">
        <v>18479</v>
      </c>
      <c r="E45">
        <v>44361</v>
      </c>
      <c r="F45" s="1">
        <v>44209</v>
      </c>
      <c r="G45" s="21" t="s">
        <v>17</v>
      </c>
      <c r="H45" s="21" t="s">
        <v>12</v>
      </c>
      <c r="I45" s="21" t="s">
        <v>13</v>
      </c>
      <c r="J45">
        <v>1</v>
      </c>
    </row>
    <row r="46" spans="1:10" x14ac:dyDescent="0.35">
      <c r="A46" s="21" t="s">
        <v>67</v>
      </c>
      <c r="B46">
        <v>460.04</v>
      </c>
      <c r="C46" s="1">
        <v>46031</v>
      </c>
      <c r="D46">
        <v>18491</v>
      </c>
      <c r="E46">
        <v>44373</v>
      </c>
      <c r="F46" s="1">
        <v>45777</v>
      </c>
      <c r="G46" s="21" t="s">
        <v>17</v>
      </c>
      <c r="H46" s="21" t="s">
        <v>12</v>
      </c>
      <c r="I46" s="21" t="s">
        <v>18</v>
      </c>
      <c r="J46">
        <v>1</v>
      </c>
    </row>
    <row r="47" spans="1:10" x14ac:dyDescent="0.35">
      <c r="A47" s="21" t="s">
        <v>67</v>
      </c>
      <c r="B47">
        <v>108.79</v>
      </c>
      <c r="C47" s="1">
        <v>46031</v>
      </c>
      <c r="D47">
        <v>18507</v>
      </c>
      <c r="E47">
        <v>44390</v>
      </c>
      <c r="F47" s="1">
        <v>45777</v>
      </c>
      <c r="G47" s="21" t="s">
        <v>17</v>
      </c>
      <c r="H47" s="21" t="s">
        <v>12</v>
      </c>
      <c r="I47" s="21" t="s">
        <v>13</v>
      </c>
      <c r="J47">
        <v>1</v>
      </c>
    </row>
    <row r="48" spans="1:10" x14ac:dyDescent="0.35">
      <c r="A48" s="21" t="s">
        <v>19</v>
      </c>
      <c r="B48">
        <v>1545</v>
      </c>
      <c r="C48" s="1">
        <v>46027</v>
      </c>
      <c r="D48">
        <v>18359</v>
      </c>
      <c r="E48">
        <v>44215</v>
      </c>
      <c r="F48" s="1">
        <v>40225</v>
      </c>
      <c r="G48" s="21" t="s">
        <v>0</v>
      </c>
      <c r="H48" s="21" t="s">
        <v>12</v>
      </c>
      <c r="I48" s="21" t="s">
        <v>18</v>
      </c>
      <c r="J48">
        <v>1</v>
      </c>
    </row>
    <row r="49" spans="1:10" x14ac:dyDescent="0.35">
      <c r="A49" s="21" t="s">
        <v>117</v>
      </c>
      <c r="B49">
        <v>21630</v>
      </c>
      <c r="C49" s="1">
        <v>46062</v>
      </c>
      <c r="D49">
        <v>18908</v>
      </c>
      <c r="E49">
        <v>44897</v>
      </c>
      <c r="F49" s="1">
        <v>42304</v>
      </c>
      <c r="G49" s="21" t="s">
        <v>17</v>
      </c>
      <c r="H49" s="21" t="s">
        <v>12</v>
      </c>
      <c r="I49" s="21" t="s">
        <v>21</v>
      </c>
      <c r="J49">
        <v>2</v>
      </c>
    </row>
    <row r="50" spans="1:10" x14ac:dyDescent="0.35">
      <c r="A50" s="21" t="s">
        <v>118</v>
      </c>
      <c r="B50">
        <v>2160</v>
      </c>
      <c r="C50" s="1">
        <v>46071</v>
      </c>
      <c r="D50">
        <v>18975</v>
      </c>
      <c r="E50">
        <v>45010</v>
      </c>
      <c r="F50" s="1">
        <v>36032</v>
      </c>
      <c r="G50" s="21" t="s">
        <v>94</v>
      </c>
      <c r="H50" s="21" t="s">
        <v>12</v>
      </c>
      <c r="I50" s="21" t="s">
        <v>13</v>
      </c>
      <c r="J50">
        <v>2</v>
      </c>
    </row>
    <row r="51" spans="1:10" x14ac:dyDescent="0.35">
      <c r="A51" s="21" t="s">
        <v>119</v>
      </c>
      <c r="B51">
        <v>23375</v>
      </c>
      <c r="C51" s="1">
        <v>46066</v>
      </c>
      <c r="D51">
        <v>18940</v>
      </c>
      <c r="E51">
        <v>44972</v>
      </c>
      <c r="F51" s="1">
        <v>41302</v>
      </c>
      <c r="G51" s="21" t="s">
        <v>17</v>
      </c>
      <c r="H51" s="21" t="s">
        <v>120</v>
      </c>
      <c r="I51" s="21" t="s">
        <v>18</v>
      </c>
      <c r="J51">
        <v>2</v>
      </c>
    </row>
    <row r="52" spans="1:10" x14ac:dyDescent="0.35">
      <c r="A52" s="21" t="s">
        <v>79</v>
      </c>
      <c r="B52">
        <v>775</v>
      </c>
      <c r="C52" s="1">
        <v>46034</v>
      </c>
      <c r="D52">
        <v>18585</v>
      </c>
      <c r="E52">
        <v>44482</v>
      </c>
      <c r="F52" s="1">
        <v>46034</v>
      </c>
      <c r="G52" s="21" t="s">
        <v>15</v>
      </c>
      <c r="H52" s="21" t="s">
        <v>12</v>
      </c>
      <c r="I52" s="21" t="s">
        <v>16</v>
      </c>
      <c r="J52">
        <v>1</v>
      </c>
    </row>
    <row r="53" spans="1:10" x14ac:dyDescent="0.35">
      <c r="A53" s="21" t="s">
        <v>121</v>
      </c>
      <c r="B53">
        <v>775</v>
      </c>
      <c r="C53" s="1">
        <v>46070</v>
      </c>
      <c r="D53">
        <v>18965</v>
      </c>
      <c r="E53">
        <v>45000</v>
      </c>
      <c r="F53" s="1">
        <v>45013</v>
      </c>
      <c r="G53" s="21" t="s">
        <v>15</v>
      </c>
      <c r="H53" s="21" t="s">
        <v>12</v>
      </c>
      <c r="I53" s="21" t="s">
        <v>16</v>
      </c>
      <c r="J53">
        <v>2</v>
      </c>
    </row>
    <row r="54" spans="1:10" x14ac:dyDescent="0.35">
      <c r="A54" s="21" t="s">
        <v>23</v>
      </c>
      <c r="B54">
        <v>1545</v>
      </c>
      <c r="C54" s="1">
        <v>46035</v>
      </c>
      <c r="D54">
        <v>18620</v>
      </c>
      <c r="E54">
        <v>44519</v>
      </c>
      <c r="F54" s="1">
        <v>41317</v>
      </c>
      <c r="G54" s="21" t="s">
        <v>11</v>
      </c>
      <c r="H54" s="21" t="s">
        <v>12</v>
      </c>
      <c r="I54" s="21" t="s">
        <v>18</v>
      </c>
      <c r="J54">
        <v>1</v>
      </c>
    </row>
    <row r="55" spans="1:10" x14ac:dyDescent="0.35">
      <c r="A55" s="21" t="s">
        <v>57</v>
      </c>
      <c r="B55">
        <v>775</v>
      </c>
      <c r="C55" s="1">
        <v>46043</v>
      </c>
      <c r="D55">
        <v>18695</v>
      </c>
      <c r="E55">
        <v>44595</v>
      </c>
      <c r="F55" s="1">
        <v>45681</v>
      </c>
      <c r="G55" s="21" t="s">
        <v>15</v>
      </c>
      <c r="H55" s="21" t="s">
        <v>15</v>
      </c>
      <c r="I55" s="21" t="s">
        <v>16</v>
      </c>
      <c r="J55">
        <v>1</v>
      </c>
    </row>
    <row r="56" spans="1:10" x14ac:dyDescent="0.35">
      <c r="A56" s="21" t="s">
        <v>80</v>
      </c>
      <c r="B56">
        <v>1545</v>
      </c>
      <c r="C56" s="1">
        <v>46029</v>
      </c>
      <c r="D56">
        <v>18421</v>
      </c>
      <c r="E56">
        <v>44301</v>
      </c>
      <c r="F56" s="1">
        <v>46029</v>
      </c>
      <c r="G56" s="21" t="s">
        <v>17</v>
      </c>
      <c r="H56" s="21" t="s">
        <v>12</v>
      </c>
      <c r="I56" s="21" t="s">
        <v>18</v>
      </c>
      <c r="J56">
        <v>1</v>
      </c>
    </row>
    <row r="57" spans="1:10" x14ac:dyDescent="0.35">
      <c r="A57" s="21" t="s">
        <v>81</v>
      </c>
      <c r="B57">
        <v>775</v>
      </c>
      <c r="C57" s="1">
        <v>46029</v>
      </c>
      <c r="D57">
        <v>18418</v>
      </c>
      <c r="E57">
        <v>44298</v>
      </c>
      <c r="F57" s="1">
        <v>45050</v>
      </c>
      <c r="G57" s="21" t="s">
        <v>15</v>
      </c>
      <c r="H57" s="21" t="s">
        <v>12</v>
      </c>
      <c r="I57" s="21" t="s">
        <v>16</v>
      </c>
      <c r="J57">
        <v>1</v>
      </c>
    </row>
    <row r="58" spans="1:10" x14ac:dyDescent="0.35">
      <c r="A58" s="21" t="s">
        <v>82</v>
      </c>
      <c r="B58">
        <v>775</v>
      </c>
      <c r="C58" s="1">
        <v>46055</v>
      </c>
      <c r="D58">
        <v>18845</v>
      </c>
      <c r="E58">
        <v>44817</v>
      </c>
      <c r="F58" s="1">
        <v>46055</v>
      </c>
      <c r="G58" s="21" t="s">
        <v>15</v>
      </c>
      <c r="H58" s="21" t="s">
        <v>12</v>
      </c>
      <c r="I58" s="21" t="s">
        <v>16</v>
      </c>
      <c r="J58">
        <v>2</v>
      </c>
    </row>
    <row r="59" spans="1:10" x14ac:dyDescent="0.35">
      <c r="A59" s="21" t="s">
        <v>122</v>
      </c>
      <c r="B59">
        <v>775</v>
      </c>
      <c r="C59" s="1">
        <v>46056</v>
      </c>
      <c r="D59">
        <v>18862</v>
      </c>
      <c r="E59">
        <v>44835</v>
      </c>
      <c r="F59" s="1">
        <v>46056</v>
      </c>
      <c r="G59" s="21" t="s">
        <v>15</v>
      </c>
      <c r="H59" s="21" t="s">
        <v>12</v>
      </c>
      <c r="I59" s="21" t="s">
        <v>16</v>
      </c>
      <c r="J59">
        <v>2</v>
      </c>
    </row>
    <row r="60" spans="1:10" x14ac:dyDescent="0.35">
      <c r="A60" s="21" t="s">
        <v>123</v>
      </c>
      <c r="B60">
        <v>1545</v>
      </c>
      <c r="C60" s="1">
        <v>46069</v>
      </c>
      <c r="D60">
        <v>18947</v>
      </c>
      <c r="E60">
        <v>44979</v>
      </c>
      <c r="F60" s="1">
        <v>44538</v>
      </c>
      <c r="G60" s="21" t="s">
        <v>17</v>
      </c>
      <c r="H60" s="21" t="s">
        <v>12</v>
      </c>
      <c r="I60" s="21" t="s">
        <v>18</v>
      </c>
      <c r="J60">
        <v>2</v>
      </c>
    </row>
    <row r="61" spans="1:10" x14ac:dyDescent="0.35">
      <c r="A61" s="21" t="s">
        <v>124</v>
      </c>
      <c r="B61">
        <v>23375</v>
      </c>
      <c r="C61" s="1">
        <v>46080</v>
      </c>
      <c r="D61">
        <v>19076</v>
      </c>
      <c r="E61">
        <v>45158</v>
      </c>
      <c r="F61" s="1">
        <v>37602</v>
      </c>
      <c r="G61" s="21" t="s">
        <v>17</v>
      </c>
      <c r="H61" s="21" t="s">
        <v>12</v>
      </c>
      <c r="I61" s="21" t="s">
        <v>18</v>
      </c>
      <c r="J61">
        <v>2</v>
      </c>
    </row>
    <row r="62" spans="1:10" x14ac:dyDescent="0.35">
      <c r="A62" s="21" t="s">
        <v>25</v>
      </c>
      <c r="B62">
        <v>2680</v>
      </c>
      <c r="C62" s="1">
        <v>46038</v>
      </c>
      <c r="D62">
        <v>18656</v>
      </c>
      <c r="E62">
        <v>44554</v>
      </c>
      <c r="F62" s="1">
        <v>36985</v>
      </c>
      <c r="G62" s="21" t="s">
        <v>11</v>
      </c>
      <c r="H62" s="21" t="s">
        <v>12</v>
      </c>
      <c r="I62" s="21" t="s">
        <v>18</v>
      </c>
      <c r="J62">
        <v>1</v>
      </c>
    </row>
    <row r="63" spans="1:10" x14ac:dyDescent="0.35">
      <c r="A63" s="21" t="s">
        <v>58</v>
      </c>
      <c r="B63">
        <v>1545</v>
      </c>
      <c r="C63" s="1">
        <v>46042</v>
      </c>
      <c r="D63">
        <v>18683</v>
      </c>
      <c r="E63">
        <v>44583</v>
      </c>
      <c r="F63" s="1">
        <v>45679</v>
      </c>
      <c r="G63" s="21" t="s">
        <v>17</v>
      </c>
      <c r="H63" s="21" t="s">
        <v>12</v>
      </c>
      <c r="I63" s="21" t="s">
        <v>18</v>
      </c>
      <c r="J63">
        <v>1</v>
      </c>
    </row>
    <row r="64" spans="1:10" x14ac:dyDescent="0.35">
      <c r="A64" s="21" t="s">
        <v>83</v>
      </c>
      <c r="B64">
        <v>775</v>
      </c>
      <c r="C64" s="1">
        <v>46050</v>
      </c>
      <c r="D64">
        <v>18774</v>
      </c>
      <c r="E64">
        <v>44713</v>
      </c>
      <c r="F64" s="1">
        <v>46050</v>
      </c>
      <c r="G64" s="21" t="s">
        <v>15</v>
      </c>
      <c r="H64" s="21" t="s">
        <v>68</v>
      </c>
      <c r="I64" s="21" t="s">
        <v>16</v>
      </c>
      <c r="J64">
        <v>1</v>
      </c>
    </row>
    <row r="65" spans="1:10" x14ac:dyDescent="0.35">
      <c r="A65" s="21" t="s">
        <v>125</v>
      </c>
      <c r="B65">
        <v>1905</v>
      </c>
      <c r="C65" s="1">
        <v>46069</v>
      </c>
      <c r="D65">
        <v>18949</v>
      </c>
      <c r="E65">
        <v>44981</v>
      </c>
      <c r="F65" s="1">
        <v>44095</v>
      </c>
      <c r="G65" s="21" t="s">
        <v>11</v>
      </c>
      <c r="H65" s="21" t="s">
        <v>12</v>
      </c>
      <c r="I65" s="21" t="s">
        <v>13</v>
      </c>
      <c r="J65">
        <v>2</v>
      </c>
    </row>
    <row r="66" spans="1:10" x14ac:dyDescent="0.35">
      <c r="A66" s="21" t="s">
        <v>84</v>
      </c>
      <c r="B66">
        <v>2680</v>
      </c>
      <c r="C66" s="1">
        <v>46038</v>
      </c>
      <c r="D66">
        <v>18660</v>
      </c>
      <c r="E66">
        <v>44559</v>
      </c>
      <c r="F66" s="1">
        <v>40897</v>
      </c>
      <c r="G66" s="21" t="s">
        <v>11</v>
      </c>
      <c r="H66" s="21" t="s">
        <v>12</v>
      </c>
      <c r="I66" s="21" t="s">
        <v>18</v>
      </c>
      <c r="J66">
        <v>1</v>
      </c>
    </row>
    <row r="67" spans="1:10" x14ac:dyDescent="0.35">
      <c r="A67" s="21" t="s">
        <v>85</v>
      </c>
      <c r="B67">
        <v>2680</v>
      </c>
      <c r="C67" s="1">
        <v>46052</v>
      </c>
      <c r="D67">
        <v>18826</v>
      </c>
      <c r="E67">
        <v>44799</v>
      </c>
      <c r="F67" s="1">
        <v>42942</v>
      </c>
      <c r="G67" s="21" t="s">
        <v>11</v>
      </c>
      <c r="H67" s="21" t="s">
        <v>12</v>
      </c>
      <c r="I67" s="21" t="s">
        <v>18</v>
      </c>
      <c r="J67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BCA-9A13-40CC-9758-01914F9C1864}">
  <dimension ref="A1:E24"/>
  <sheetViews>
    <sheetView zoomScale="104" zoomScaleNormal="104" workbookViewId="0">
      <selection activeCell="H21" sqref="H21"/>
    </sheetView>
  </sheetViews>
  <sheetFormatPr defaultRowHeight="14.5" x14ac:dyDescent="0.35"/>
  <cols>
    <col min="2" max="2" width="11.90625" bestFit="1" customWidth="1"/>
    <col min="4" max="4" width="12.453125" bestFit="1" customWidth="1"/>
    <col min="5" max="5" width="11" bestFit="1" customWidth="1"/>
    <col min="6" max="6" width="9.7265625" bestFit="1" customWidth="1"/>
    <col min="14" max="14" width="12.453125" bestFit="1" customWidth="1"/>
    <col min="15" max="15" width="11" bestFit="1" customWidth="1"/>
  </cols>
  <sheetData>
    <row r="1" spans="1:5" x14ac:dyDescent="0.35">
      <c r="A1" t="s">
        <v>59</v>
      </c>
      <c r="B1" t="s">
        <v>60</v>
      </c>
    </row>
    <row r="2" spans="1:5" x14ac:dyDescent="0.35">
      <c r="A2" s="15">
        <v>0.1</v>
      </c>
      <c r="B2" s="16">
        <v>281453.33</v>
      </c>
      <c r="D2" s="2" t="s">
        <v>29</v>
      </c>
      <c r="E2" t="s">
        <v>61</v>
      </c>
    </row>
    <row r="3" spans="1:5" x14ac:dyDescent="0.35">
      <c r="A3" s="17">
        <v>0.2</v>
      </c>
      <c r="B3" s="18">
        <v>281453.33</v>
      </c>
      <c r="D3" s="19">
        <v>0.1</v>
      </c>
      <c r="E3">
        <v>1</v>
      </c>
    </row>
    <row r="4" spans="1:5" x14ac:dyDescent="0.35">
      <c r="A4" s="15">
        <v>0.3</v>
      </c>
      <c r="B4" s="16">
        <v>281453.33</v>
      </c>
      <c r="D4" s="19">
        <v>0.2</v>
      </c>
      <c r="E4">
        <v>1</v>
      </c>
    </row>
    <row r="5" spans="1:5" x14ac:dyDescent="0.35">
      <c r="A5" s="17">
        <v>0.4</v>
      </c>
      <c r="B5" s="18">
        <v>281453.33</v>
      </c>
      <c r="D5" s="19">
        <v>0.3</v>
      </c>
      <c r="E5">
        <v>1</v>
      </c>
    </row>
    <row r="6" spans="1:5" x14ac:dyDescent="0.35">
      <c r="A6" s="15">
        <v>0.5</v>
      </c>
      <c r="B6" s="16">
        <v>281453.33</v>
      </c>
      <c r="D6" s="19">
        <v>0.4</v>
      </c>
      <c r="E6">
        <v>1</v>
      </c>
    </row>
    <row r="7" spans="1:5" x14ac:dyDescent="0.35">
      <c r="A7" s="17">
        <v>0.6</v>
      </c>
      <c r="B7" s="18">
        <v>281453.33</v>
      </c>
      <c r="D7" s="19">
        <v>0.5</v>
      </c>
      <c r="E7">
        <v>1</v>
      </c>
    </row>
    <row r="8" spans="1:5" x14ac:dyDescent="0.35">
      <c r="A8" s="15">
        <v>0.7</v>
      </c>
      <c r="B8" s="16">
        <v>281453.33</v>
      </c>
      <c r="D8" s="19">
        <v>0.6</v>
      </c>
      <c r="E8">
        <v>1</v>
      </c>
    </row>
    <row r="9" spans="1:5" x14ac:dyDescent="0.35">
      <c r="A9" s="17">
        <v>0.8</v>
      </c>
      <c r="B9" s="18">
        <v>281453.33</v>
      </c>
      <c r="D9" s="19">
        <v>0.7</v>
      </c>
      <c r="E9">
        <v>1</v>
      </c>
    </row>
    <row r="10" spans="1:5" x14ac:dyDescent="0.35">
      <c r="A10" s="15">
        <v>0.9</v>
      </c>
      <c r="B10" s="16">
        <v>281453.33</v>
      </c>
      <c r="D10" s="19">
        <v>0.8</v>
      </c>
      <c r="E10">
        <v>1</v>
      </c>
    </row>
    <row r="11" spans="1:5" x14ac:dyDescent="0.35">
      <c r="A11" s="17">
        <v>1</v>
      </c>
      <c r="B11" s="18">
        <v>281453.33</v>
      </c>
      <c r="D11" s="19">
        <v>0.9</v>
      </c>
      <c r="E11">
        <v>1</v>
      </c>
    </row>
    <row r="12" spans="1:5" x14ac:dyDescent="0.35">
      <c r="A12" s="20">
        <v>1.1000000000000001</v>
      </c>
      <c r="B12" s="13">
        <v>281453.33</v>
      </c>
      <c r="D12" s="19">
        <v>1</v>
      </c>
      <c r="E12">
        <v>1</v>
      </c>
    </row>
    <row r="13" spans="1:5" x14ac:dyDescent="0.35">
      <c r="A13" s="17">
        <v>1.2</v>
      </c>
      <c r="B13" s="14">
        <v>0</v>
      </c>
      <c r="D13" s="19">
        <v>1.1000000000000001</v>
      </c>
      <c r="E13">
        <v>1</v>
      </c>
    </row>
    <row r="14" spans="1:5" x14ac:dyDescent="0.35">
      <c r="A14" s="15">
        <v>1.3</v>
      </c>
      <c r="B14" s="13">
        <v>0</v>
      </c>
      <c r="D14" s="19">
        <v>1.2</v>
      </c>
      <c r="E14">
        <v>1</v>
      </c>
    </row>
    <row r="15" spans="1:5" x14ac:dyDescent="0.35">
      <c r="A15" s="17">
        <v>1.4</v>
      </c>
      <c r="B15" s="14">
        <v>0</v>
      </c>
      <c r="D15" s="19">
        <v>1.3</v>
      </c>
      <c r="E15">
        <v>1</v>
      </c>
    </row>
    <row r="16" spans="1:5" x14ac:dyDescent="0.35">
      <c r="A16" s="15">
        <v>1.5</v>
      </c>
      <c r="B16" s="13">
        <v>0</v>
      </c>
      <c r="D16" s="19">
        <v>1.4</v>
      </c>
      <c r="E16">
        <v>1</v>
      </c>
    </row>
    <row r="17" spans="1:5" x14ac:dyDescent="0.35">
      <c r="A17" s="17">
        <v>1.6</v>
      </c>
      <c r="B17" s="14">
        <v>0</v>
      </c>
      <c r="D17" s="19">
        <v>1.5</v>
      </c>
      <c r="E17">
        <v>1</v>
      </c>
    </row>
    <row r="18" spans="1:5" x14ac:dyDescent="0.35">
      <c r="A18" s="15">
        <v>1.7</v>
      </c>
      <c r="B18" s="13">
        <v>0</v>
      </c>
      <c r="D18" s="19">
        <v>1.6</v>
      </c>
      <c r="E18">
        <v>1</v>
      </c>
    </row>
    <row r="19" spans="1:5" x14ac:dyDescent="0.35">
      <c r="A19" s="17">
        <v>1.8</v>
      </c>
      <c r="B19" s="14">
        <v>0</v>
      </c>
      <c r="D19" s="19">
        <v>1.7</v>
      </c>
      <c r="E19">
        <v>1</v>
      </c>
    </row>
    <row r="20" spans="1:5" x14ac:dyDescent="0.35">
      <c r="A20" s="15">
        <v>1.9</v>
      </c>
      <c r="B20" s="13">
        <v>0</v>
      </c>
      <c r="D20" s="19">
        <v>1.8</v>
      </c>
      <c r="E20">
        <v>1</v>
      </c>
    </row>
    <row r="21" spans="1:5" x14ac:dyDescent="0.35">
      <c r="A21" s="17">
        <v>2</v>
      </c>
      <c r="B21" s="14">
        <v>0</v>
      </c>
      <c r="D21" s="19">
        <v>1.9</v>
      </c>
      <c r="E21">
        <v>1</v>
      </c>
    </row>
    <row r="22" spans="1:5" x14ac:dyDescent="0.35">
      <c r="A22" s="15"/>
      <c r="B22" s="13"/>
      <c r="D22" s="19">
        <v>2</v>
      </c>
      <c r="E22">
        <v>1</v>
      </c>
    </row>
    <row r="23" spans="1:5" x14ac:dyDescent="0.35">
      <c r="A23" s="17"/>
      <c r="B23" s="14"/>
      <c r="D23" s="19" t="s">
        <v>30</v>
      </c>
      <c r="E23">
        <v>20</v>
      </c>
    </row>
    <row r="24" spans="1:5" x14ac:dyDescent="0.35">
      <c r="A24" s="15"/>
      <c r="B24" s="13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B25C0-B303-4182-AB4A-C49C1F637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Revenue Breakdown</vt:lpstr>
      <vt:lpstr>Org Revenues</vt:lpstr>
      <vt:lpstr>Orgs</vt:lpstr>
      <vt:lpstr>Ind Revenues</vt:lpstr>
      <vt:lpstr>Individual</vt:lpstr>
      <vt:lpstr>Affiliate</vt:lpstr>
      <vt:lpstr>Yrs of Membership</vt:lpstr>
      <vt:lpstr>Accounts with Mem and Receipts</vt:lpstr>
      <vt:lpstr>draft_mem_goal_work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Laakso</dc:creator>
  <cp:lastModifiedBy>Lynn Laakso</cp:lastModifiedBy>
  <dcterms:created xsi:type="dcterms:W3CDTF">2025-01-07T16:26:24Z</dcterms:created>
  <dcterms:modified xsi:type="dcterms:W3CDTF">2026-03-02T14:41:09Z</dcterms:modified>
</cp:coreProperties>
</file>