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F:\HL7_local\AMG_HL7 Admin\BOD_ELT\Reports\"/>
    </mc:Choice>
  </mc:AlternateContent>
  <xr:revisionPtr revIDLastSave="0" documentId="13_ncr:1_{60DF166D-2EB4-4077-9D2A-09AAFEE92556}" xr6:coauthVersionLast="47" xr6:coauthVersionMax="47" xr10:uidLastSave="{00000000-0000-0000-0000-000000000000}"/>
  <bookViews>
    <workbookView xWindow="34880" yWindow="-15100" windowWidth="20450" windowHeight="14220" tabRatio="827" xr2:uid="{2577D811-753B-4FA0-84AD-1CD14E9EE5AA}"/>
  </bookViews>
  <sheets>
    <sheet name="Dashboard" sheetId="9" r:id="rId1"/>
    <sheet name="Revenue Breakdown" sheetId="8" r:id="rId2"/>
    <sheet name="Org Revenues" sheetId="4" r:id="rId3"/>
    <sheet name="Orgs" sheetId="3" r:id="rId4"/>
    <sheet name="Ind Revenues" sheetId="6" r:id="rId5"/>
    <sheet name="Individual" sheetId="5" r:id="rId6"/>
    <sheet name="Affiliate" sheetId="1" r:id="rId7"/>
    <sheet name="Yrs of Membership" sheetId="7" r:id="rId8"/>
    <sheet name="Accounts with Mem and Receipts" sheetId="2" r:id="rId9"/>
    <sheet name="draft_mem_goal_work" sheetId="10" r:id="rId10"/>
  </sheets>
  <definedNames>
    <definedName name="_xlcn.WorksheetConnection_Book3Accounts_with_Mem_and_Receipts1" hidden="1">Accounts_with_Mem_and_Receipts[]</definedName>
    <definedName name="_xlcn.WorksheetConnection_Book3Processed1" hidden="1">Orgs[]</definedName>
    <definedName name="ExternalData_1" localSheetId="8" hidden="1">'Accounts with Mem and Receipts'!$A$1:$J$121</definedName>
    <definedName name="ExternalData_2" localSheetId="5" hidden="1">Individual!$A$1:$J$30</definedName>
    <definedName name="ExternalData_2" localSheetId="3" hidden="1">Orgs!$A$1:$J$75</definedName>
    <definedName name="ExternalData_2" localSheetId="7" hidden="1">'Yrs of Membership'!$A$1:$K$119</definedName>
  </definedNames>
  <calcPr calcId="191029"/>
  <pivotCaches>
    <pivotCache cacheId="0" r:id="rId11"/>
    <pivotCache cacheId="1" r:id="rId12"/>
    <pivotCache cacheId="2" r:id="rId13"/>
    <pivotCache cacheId="14" r:id="rId14"/>
    <pivotCache cacheId="24" r:id="rId15"/>
    <pivotCache cacheId="33" r:id="rId16"/>
    <pivotCache cacheId="36" r:id="rId17"/>
    <pivotCache cacheId="40" r:id="rId18"/>
    <pivotCache cacheId="43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cessed" name="Processed" connection="WorksheetConnection_Book3!Processed"/>
          <x15:modelTable id="Accounts_with_Mem_and_Receipts" name="Accounts_with_Mem_and_Receipts" connection="WorksheetConnection_Book3!Accounts_with_Mem_and_Receip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C17" i="6"/>
  <c r="C42" i="8" l="1"/>
  <c r="C12" i="8"/>
  <c r="B13" i="8"/>
  <c r="C13" i="8" s="1"/>
  <c r="C10" i="8"/>
  <c r="M6" i="4"/>
  <c r="M4" i="4"/>
  <c r="M5" i="4"/>
  <c r="G6" i="8"/>
  <c r="C27" i="6"/>
  <c r="C16" i="6"/>
  <c r="G5" i="8"/>
  <c r="H3" i="1"/>
  <c r="G4" i="8"/>
  <c r="G3" i="1"/>
  <c r="G7" i="8" l="1"/>
  <c r="C40" i="8" l="1"/>
  <c r="E12" i="8" s="1"/>
  <c r="B44" i="8" s="1"/>
  <c r="L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97AD32-2AE1-4E86-A3FA-94689DB7CBB2}" keepAlive="1" name="Query - Accounts with Mem and Receipts" description="Connection to the 'Accounts with Mem and Receipts' query in the workbook." type="5" refreshedVersion="8" background="1" saveData="1">
    <dbPr connection="Provider=Microsoft.Mashup.OleDb.1;Data Source=$Workbook$;Location=&quot;Accounts with Mem and Receipts&quot;;Extended Properties=&quot;&quot;" command="SELECT * FROM [Accounts with Mem and Receipts]"/>
  </connection>
  <connection id="2" xr16:uid="{4C52203D-CAD3-4297-AF4D-643B6A893EA9}" keepAlive="1" name="Query - Individual" description="Connection to the 'Individual' query in the workbook." type="5" refreshedVersion="8" background="1" saveData="1">
    <dbPr connection="Provider=Microsoft.Mashup.OleDb.1;Data Source=$Workbook$;Location=Individual;Extended Properties=&quot;&quot;" command="SELECT * FROM [Individual]"/>
  </connection>
  <connection id="3" xr16:uid="{D5657D22-4D71-43F9-9766-80FF84A91FDC}" keepAlive="1" name="Query - Orgs" description="Connection to the 'Orgs' query in the workbook." type="5" refreshedVersion="8" background="1" saveData="1">
    <dbPr connection="Provider=Microsoft.Mashup.OleDb.1;Data Source=$Workbook$;Location=Orgs;Extended Properties=&quot;&quot;" command="SELECT * FROM [Orgs]"/>
  </connection>
  <connection id="4" xr16:uid="{F4A0CC5D-BBBE-4485-9B9D-7876596F651C}" keepAlive="1" name="Query - Yrs of Membership" description="Connection to the 'Yrs of Membership' query in the workbook." type="5" refreshedVersion="8" background="1" saveData="1">
    <dbPr connection="Provider=Microsoft.Mashup.OleDb.1;Data Source=$Workbook$;Location=&quot;Yrs of Membership&quot;;Extended Properties=&quot;&quot;" command="SELECT * FROM [Yrs of Membership]"/>
  </connection>
  <connection id="5" xr16:uid="{0575F60C-7A6E-453E-9783-DEE28CE6995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D7EF7F71-5D8D-40EE-95AA-152C27CAEC4A}" name="WorksheetConnection_Book3!Accounts_with_Mem_and_Receipts" type="102" refreshedVersion="8" minRefreshableVersion="5">
    <extLst>
      <ext xmlns:x15="http://schemas.microsoft.com/office/spreadsheetml/2010/11/main" uri="{DE250136-89BD-433C-8126-D09CA5730AF9}">
        <x15:connection id="Accounts_with_Mem_and_Receipts" autoDelete="1">
          <x15:rangePr sourceName="_xlcn.WorksheetConnection_Book3Accounts_with_Mem_and_Receipts1"/>
        </x15:connection>
      </ext>
    </extLst>
  </connection>
  <connection id="7" xr16:uid="{62A3069C-71CB-4E3A-B510-B612F1DB83A1}" name="WorksheetConnection_Book3!Processed" type="102" refreshedVersion="8" minRefreshableVersion="5">
    <extLst>
      <ext xmlns:x15="http://schemas.microsoft.com/office/spreadsheetml/2010/11/main" uri="{DE250136-89BD-433C-8126-D09CA5730AF9}">
        <x15:connection id="Processed" autoDelete="1">
          <x15:rangePr sourceName="_xlcn.WorksheetConnection_Book3Processed1"/>
        </x15:connection>
      </ext>
    </extLst>
  </connection>
</connections>
</file>

<file path=xl/sharedStrings.xml><?xml version="1.0" encoding="utf-8"?>
<sst xmlns="http://schemas.openxmlformats.org/spreadsheetml/2006/main" count="1591" uniqueCount="195">
  <si>
    <t>Consultant</t>
  </si>
  <si>
    <t>Account Name</t>
  </si>
  <si>
    <t>Total</t>
  </si>
  <si>
    <t>Posted Date</t>
  </si>
  <si>
    <t>Receipt Number</t>
  </si>
  <si>
    <t>Receipt Line ID</t>
  </si>
  <si>
    <t>Member Since</t>
  </si>
  <si>
    <t>Account Category</t>
  </si>
  <si>
    <t>Billing Country</t>
  </si>
  <si>
    <t>Item Name</t>
  </si>
  <si>
    <t>Paid_Month</t>
  </si>
  <si>
    <t>Government/Professional Associations/Academic Institution</t>
  </si>
  <si>
    <t>United States</t>
  </si>
  <si>
    <t>Gold Membership</t>
  </si>
  <si>
    <t>National Association of Dental Plans</t>
  </si>
  <si>
    <t/>
  </si>
  <si>
    <t>Individual Membership</t>
  </si>
  <si>
    <t>Supplier/Vendor</t>
  </si>
  <si>
    <t>Organizational Membership</t>
  </si>
  <si>
    <t>Professional Laboratory Management, Inc.</t>
  </si>
  <si>
    <t>Australia</t>
  </si>
  <si>
    <t>Benefactor Membership</t>
  </si>
  <si>
    <t>KlearTrust</t>
  </si>
  <si>
    <t>SLI Compliance</t>
  </si>
  <si>
    <t>Firely USA</t>
  </si>
  <si>
    <t>Tennessee Department of Health</t>
  </si>
  <si>
    <t>Flatiron Health</t>
  </si>
  <si>
    <t>Indian Health Service</t>
  </si>
  <si>
    <t>Beata Piehl Household</t>
  </si>
  <si>
    <t>Row Labels</t>
  </si>
  <si>
    <t>Grand Total</t>
  </si>
  <si>
    <t>Sum of Total</t>
  </si>
  <si>
    <t>Years Member</t>
  </si>
  <si>
    <t>1 Year</t>
  </si>
  <si>
    <t>Over 15 Years</t>
  </si>
  <si>
    <t>6 to 10 Years</t>
  </si>
  <si>
    <t>11 to 15 Years</t>
  </si>
  <si>
    <t>2 to 5 Years</t>
  </si>
  <si>
    <t>Count of Years Member</t>
  </si>
  <si>
    <t>BY MONTH</t>
  </si>
  <si>
    <t>Membership Class</t>
  </si>
  <si>
    <t>Affiliate Memberships</t>
  </si>
  <si>
    <t>Individual Memberships</t>
  </si>
  <si>
    <t>Organizational Memberships</t>
  </si>
  <si>
    <t>By Interest Type</t>
  </si>
  <si>
    <t>Data</t>
  </si>
  <si>
    <t>Pivot Table</t>
  </si>
  <si>
    <t>Labels</t>
  </si>
  <si>
    <t>Values</t>
  </si>
  <si>
    <t>Value</t>
  </si>
  <si>
    <t>Pointer</t>
  </si>
  <si>
    <t>Thickness</t>
  </si>
  <si>
    <t>Rest</t>
  </si>
  <si>
    <t xml:space="preserve">Goal: </t>
  </si>
  <si>
    <t>Count of Item Name</t>
  </si>
  <si>
    <t>Bellese Technologies</t>
  </si>
  <si>
    <t>New Fields Technologies LLC</t>
  </si>
  <si>
    <t>Sam Schifman Household</t>
  </si>
  <si>
    <t>Tetra Fields LLC</t>
  </si>
  <si>
    <t>pct</t>
  </si>
  <si>
    <t>total</t>
  </si>
  <si>
    <t>Count of pct</t>
  </si>
  <si>
    <t>Column1</t>
  </si>
  <si>
    <t>MedicaSoft</t>
  </si>
  <si>
    <t>Apelon, Inc.</t>
  </si>
  <si>
    <t>Feb</t>
  </si>
  <si>
    <t>Column Labels</t>
  </si>
  <si>
    <t>Patient Centric Solutions</t>
  </si>
  <si>
    <t>Japan</t>
  </si>
  <si>
    <t>CSIRO</t>
  </si>
  <si>
    <t>College of American Pathologists</t>
  </si>
  <si>
    <t>Dennis Loucks Household</t>
  </si>
  <si>
    <t>Donald Kurtz Household</t>
  </si>
  <si>
    <t>Epic</t>
  </si>
  <si>
    <t>First Databank</t>
  </si>
  <si>
    <t>ICF</t>
  </si>
  <si>
    <t>John Moehrke Household</t>
  </si>
  <si>
    <t>MyDirectives</t>
  </si>
  <si>
    <t>Onyx Technology LLC</t>
  </si>
  <si>
    <t>Ryan Lee Household</t>
  </si>
  <si>
    <t>SandwYch, Inc.</t>
  </si>
  <si>
    <t>Sandy Vance Household</t>
  </si>
  <si>
    <t>Srinivasan Parthasarathy Household</t>
  </si>
  <si>
    <t>Toshiaki Kato Household</t>
  </si>
  <si>
    <t>Virginia Department of Health</t>
  </si>
  <si>
    <t>West Virginia Departments of Human Services, Health and Health Facilities</t>
  </si>
  <si>
    <t>2026 Dues Total</t>
  </si>
  <si>
    <t>Acre Security</t>
  </si>
  <si>
    <t>American Dental Association</t>
  </si>
  <si>
    <t>Becton Dickinson</t>
  </si>
  <si>
    <t>Blue Cross Blue Shield Association</t>
  </si>
  <si>
    <t>Payer</t>
  </si>
  <si>
    <t>CAL2CAL Corporation</t>
  </si>
  <si>
    <t>Children's Hospital of Philadelphia</t>
  </si>
  <si>
    <t>Provider</t>
  </si>
  <si>
    <t>Confidential Information - Do Not Distribute</t>
  </si>
  <si>
    <t>Copyright © 2000-2026 salesforce.com, inc. All rights reserved.</t>
  </si>
  <si>
    <t>CyncHealth</t>
  </si>
  <si>
    <t>Daniel Ries Household</t>
  </si>
  <si>
    <t>Retiree Membership</t>
  </si>
  <si>
    <t>Dataware Sdn Bhd</t>
  </si>
  <si>
    <t>Malaysia</t>
  </si>
  <si>
    <t>Fresenius Vial</t>
  </si>
  <si>
    <t>France</t>
  </si>
  <si>
    <t>Glen Rigby Household</t>
  </si>
  <si>
    <t>HIMSS</t>
  </si>
  <si>
    <t>HL7 Ecuador</t>
  </si>
  <si>
    <t>Ecuador</t>
  </si>
  <si>
    <t>Affiliate Membership</t>
  </si>
  <si>
    <t>HL7 Norway</t>
  </si>
  <si>
    <t>Norway</t>
  </si>
  <si>
    <t>ICCBBA, Inc.</t>
  </si>
  <si>
    <t>Johns Hopkins Hospital</t>
  </si>
  <si>
    <t>Ken McCaslin Household</t>
  </si>
  <si>
    <t>MEDENT</t>
  </si>
  <si>
    <t>Mark Marciante Household</t>
  </si>
  <si>
    <t>Massachusetts Health Data Consortium</t>
  </si>
  <si>
    <t>Ready Computing LLC</t>
  </si>
  <si>
    <t>Regenstrief Institute, Inc.</t>
  </si>
  <si>
    <t>Roche Diagnostics International Ltd.</t>
  </si>
  <si>
    <t>Switzerland</t>
  </si>
  <si>
    <t>Ryan Weihler Household</t>
  </si>
  <si>
    <t>Stan Rankins Household</t>
  </si>
  <si>
    <t>Stedi</t>
  </si>
  <si>
    <t>Surescripts</t>
  </si>
  <si>
    <t>Univ of TX Health Science Center San Antonio</t>
  </si>
  <si>
    <t>(blank)</t>
  </si>
  <si>
    <t>ARUP Laboratories, Inc.</t>
  </si>
  <si>
    <t>American Medical Association</t>
  </si>
  <si>
    <t>Benedictine Health System</t>
  </si>
  <si>
    <t>Brandon Noffsinger Household</t>
  </si>
  <si>
    <t>Clinicomp, Intl</t>
  </si>
  <si>
    <t>DUANE VEACH Household</t>
  </si>
  <si>
    <t>Duteau Design Inc</t>
  </si>
  <si>
    <t>Canada</t>
  </si>
  <si>
    <t>Eli Streitmatter Household</t>
  </si>
  <si>
    <t>Federal Electronic Health Record Modernization Office</t>
  </si>
  <si>
    <t>Global Alliant Inc</t>
  </si>
  <si>
    <t>HL7 Austria</t>
  </si>
  <si>
    <t>Austria</t>
  </si>
  <si>
    <t>HL7 Brazil</t>
  </si>
  <si>
    <t>Brazil</t>
  </si>
  <si>
    <t>HL7 Canada</t>
  </si>
  <si>
    <t>HL7 China</t>
  </si>
  <si>
    <t>China</t>
  </si>
  <si>
    <t>HL7 Croatia</t>
  </si>
  <si>
    <t>Croatia</t>
  </si>
  <si>
    <t>HL7 Czech Republic</t>
  </si>
  <si>
    <t>Czech Republic</t>
  </si>
  <si>
    <t>HL7 Hong Kong</t>
  </si>
  <si>
    <t>HL7 Netherlands</t>
  </si>
  <si>
    <t>Netherlands</t>
  </si>
  <si>
    <t>HL7 Slovakia</t>
  </si>
  <si>
    <t>Slovakia</t>
  </si>
  <si>
    <t>HL7 Taiwan</t>
  </si>
  <si>
    <t>Taiwan</t>
  </si>
  <si>
    <t>HL7 UK</t>
  </si>
  <si>
    <t>United Kingdom</t>
  </si>
  <si>
    <t>Health and Welfare Information Systems Centre</t>
  </si>
  <si>
    <t>Estonia</t>
  </si>
  <si>
    <t>Helios Software</t>
  </si>
  <si>
    <t>Hung Vo Household</t>
  </si>
  <si>
    <t>Student Membership</t>
  </si>
  <si>
    <t>InterSystems</t>
  </si>
  <si>
    <t>Intrepid Ascent</t>
  </si>
  <si>
    <t>Jonathan Whitby Household</t>
  </si>
  <si>
    <t>Lisa Nelson Household</t>
  </si>
  <si>
    <t>Marc Albers Household</t>
  </si>
  <si>
    <t>Mediclinic Southern Africa</t>
  </si>
  <si>
    <t>South Africa</t>
  </si>
  <si>
    <t>NCQA</t>
  </si>
  <si>
    <t>NYC Department of Health and Mental Hygiene</t>
  </si>
  <si>
    <t>Nava</t>
  </si>
  <si>
    <t>Northwestern Medicine</t>
  </si>
  <si>
    <t>Office of the National Coordinator for Health IT</t>
  </si>
  <si>
    <t>Premier Healthcare Alliance</t>
  </si>
  <si>
    <t>Reed Technology and Information Services Inc.</t>
  </si>
  <si>
    <t>RevDoc, LLC</t>
  </si>
  <si>
    <t>Robert Campbell Household</t>
  </si>
  <si>
    <t>UHIN</t>
  </si>
  <si>
    <t>UNC School of Medicine</t>
  </si>
  <si>
    <t>USAging</t>
  </si>
  <si>
    <t>USC/CHLA</t>
  </si>
  <si>
    <t>University of Nebraska Medical Center</t>
  </si>
  <si>
    <t>University of Utah Health Care</t>
  </si>
  <si>
    <t>Vrushang Patel Household</t>
  </si>
  <si>
    <t>WPS Health Solutions</t>
  </si>
  <si>
    <t>WaveOne Associates Inc.</t>
  </si>
  <si>
    <t>Westat</t>
  </si>
  <si>
    <t>Yan Heras Household</t>
  </si>
  <si>
    <t>Yardi Systems, Inc.</t>
  </si>
  <si>
    <t>Zus Health</t>
  </si>
  <si>
    <t>innoVet Health, LLC</t>
  </si>
  <si>
    <t>tuuthfairy, Inc.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</si>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</sst>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44" fontId="0" fillId="0" borderId="0" xfId="2" applyFont="1"/>
    <xf numFmtId="43" fontId="0" fillId="0" borderId="0" xfId="1" applyFont="1"/>
    <xf numFmtId="164" fontId="0" fillId="0" borderId="0" xfId="2" applyNumberFormat="1" applyFont="1"/>
    <xf numFmtId="9" fontId="0" fillId="0" borderId="0" xfId="0" applyNumberFormat="1"/>
    <xf numFmtId="6" fontId="0" fillId="0" borderId="0" xfId="0" applyNumberFormat="1"/>
    <xf numFmtId="8" fontId="0" fillId="0" borderId="0" xfId="0" applyNumberFormat="1"/>
    <xf numFmtId="9" fontId="0" fillId="0" borderId="0" xfId="3" applyFont="1"/>
    <xf numFmtId="0" fontId="0" fillId="2" borderId="2" xfId="0" applyFill="1" applyBorder="1"/>
    <xf numFmtId="0" fontId="0" fillId="0" borderId="2" xfId="0" applyBorder="1"/>
    <xf numFmtId="9" fontId="0" fillId="2" borderId="1" xfId="0" applyNumberFormat="1" applyFill="1" applyBorder="1"/>
    <xf numFmtId="8" fontId="0" fillId="2" borderId="2" xfId="0" applyNumberFormat="1" applyFill="1" applyBorder="1"/>
    <xf numFmtId="9" fontId="0" fillId="0" borderId="1" xfId="0" applyNumberFormat="1" applyBorder="1"/>
    <xf numFmtId="8" fontId="0" fillId="0" borderId="2" xfId="0" applyNumberFormat="1" applyBorder="1"/>
    <xf numFmtId="9" fontId="0" fillId="0" borderId="0" xfId="0" applyNumberFormat="1" applyAlignment="1">
      <alignment horizontal="left"/>
    </xf>
    <xf numFmtId="9" fontId="0" fillId="2" borderId="1" xfId="3" applyFont="1" applyFill="1" applyBorder="1"/>
    <xf numFmtId="0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46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colors>
    <mruColors>
      <color rgb="FF928F06"/>
      <color rgb="FF66FF99"/>
      <color rgb="FFFFCC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Membership</a:t>
            </a:r>
            <a:r>
              <a:rPr lang="en-US" baseline="0"/>
              <a:t> Goal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1"/>
          <c:tx>
            <c:strRef>
              <c:f>'Revenue Breakdown'!$B$40</c:f>
              <c:strCache>
                <c:ptCount val="1"/>
                <c:pt idx="0">
                  <c:v>Pointer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327F-494B-901B-183A9AF04F0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327F-494B-901B-183A9AF04F0B}"/>
              </c:ext>
            </c:extLst>
          </c:dPt>
          <c:cat>
            <c:strRef>
              <c:f>('Revenue Breakdown'!$B$40,'Revenue Breakdown'!$B$42)</c:f>
              <c:strCache>
                <c:ptCount val="2"/>
                <c:pt idx="0">
                  <c:v>Pointer</c:v>
                </c:pt>
                <c:pt idx="1">
                  <c:v>Rest</c:v>
                </c:pt>
              </c:strCache>
            </c:strRef>
          </c:cat>
          <c:val>
            <c:numRef>
              <c:f>('Revenue Breakdown'!$C$40,'Revenue Breakdown'!$C$42)</c:f>
              <c:numCache>
                <c:formatCode>"$"#,##0_);[Red]\("$"#,##0\)</c:formatCode>
                <c:ptCount val="2"/>
                <c:pt idx="0" formatCode="_(&quot;$&quot;* #,##0_);_(&quot;$&quot;* \(#,##0\);_(&quot;$&quot;* &quot;-&quot;??_);_(@_)">
                  <c:v>337068.30499999999</c:v>
                </c:pt>
                <c:pt idx="1">
                  <c:v>-2562975.9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39-327F-494B-901B-183A9AF04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doughnutChart>
        <c:varyColors val="1"/>
        <c:ser>
          <c:idx val="0"/>
          <c:order val="0"/>
          <c:tx>
            <c:strRef>
              <c:f>'Revenue Breakdown'!$B$15</c:f>
              <c:strCache>
                <c:ptCount val="1"/>
                <c:pt idx="0">
                  <c:v>Labels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327F-494B-901B-183A9AF04F0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E-327F-494B-901B-183A9AF04F0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327F-494B-901B-183A9AF04F0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327F-494B-901B-183A9AF04F0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327F-494B-901B-183A9AF04F0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327F-494B-901B-183A9AF04F0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327F-494B-901B-183A9AF04F0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327F-494B-901B-183A9AF04F0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327F-494B-901B-183A9AF04F0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327F-494B-901B-183A9AF04F0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327F-494B-901B-183A9AF04F0B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327F-494B-901B-183A9AF04F0B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327F-494B-901B-183A9AF04F0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327F-494B-901B-183A9AF04F0B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327F-494B-901B-183A9AF04F0B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327F-494B-901B-183A9AF04F0B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C-327F-494B-901B-183A9AF04F0B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E-327F-494B-901B-183A9AF04F0B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0-327F-494B-901B-183A9AF04F0B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2-327F-494B-901B-183A9AF04F0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F329259-CF68-4DB4-A532-6D0C252E7F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327F-494B-901B-183A9AF04F0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5FDB498-4C3C-4AD5-A80A-3E1F9CED26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327F-494B-901B-183A9AF04F0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1ED7074-D6D5-4EF2-AF0B-457792DB63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327F-494B-901B-183A9AF04F0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0320C77-EA57-4638-A379-C7E97C463D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327F-494B-901B-183A9AF04F0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8AFC8B0-DC9D-4590-BEF4-9DE8A68D28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327F-494B-901B-183A9AF04F0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39609DC-1C19-4E80-B5F2-A57CA81799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327F-494B-901B-183A9AF04F0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761B0E9-2AEF-49A1-81AC-FC5EA3DB86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327F-494B-901B-183A9AF04F0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0524976-4CE2-4C6B-B14A-F10ACE4875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327F-494B-901B-183A9AF04F0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BF169A0-4927-4750-8A10-A2E52ED716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327F-494B-901B-183A9AF04F0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0459F62-C61A-427C-8BCB-7DCA76383E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327F-494B-901B-183A9AF04F0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EC2E0C0-B775-4BF8-9384-03B7E90D43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327F-494B-901B-183A9AF04F0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E9AE623-6C67-4E7E-9A36-E96239C892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327F-494B-901B-183A9AF04F0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C591537-C767-499B-B50E-F1D5855AEA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327F-494B-901B-183A9AF04F0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2C7F3FE-3DAE-4B9B-85FF-BCA88CAF8A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327F-494B-901B-183A9AF04F0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C1F0445-A7FD-4C05-992B-779C2C8766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327F-494B-901B-183A9AF04F0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E2CDDD4-3691-44A3-8B6B-18B435CADB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327F-494B-901B-183A9AF04F0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44DD181-0632-4555-8B6B-6F3C6B8694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327F-494B-901B-183A9AF04F0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755C27C-BF7B-4562-9DF6-5AB0243B70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327F-494B-901B-183A9AF04F0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9AC7B40-56BB-4066-9043-1D60D06101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327F-494B-901B-183A9AF04F0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9A5B32D-24DB-4ACA-AFFA-9AF803166D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327F-494B-901B-183A9AF04F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f>'Revenue Breakdown'!$B$16:$B$35</c:f>
              <c:numCache>
                <c:formatCode>0%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f>'Revenue Breakdown'!$D$16:$D$35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Breakdown'!$B$16:$B$35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3-327F-494B-901B-183A9AF04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Dues Revenues by Member Type</a:t>
            </a:r>
          </a:p>
        </c:rich>
      </c:tx>
      <c:layout>
        <c:manualLayout>
          <c:xMode val="edge"/>
          <c:yMode val="edge"/>
          <c:x val="6.0958500588764196E-2"/>
          <c:y val="5.2366565961732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Breakdown'!$G$3</c:f>
              <c:strCache>
                <c:ptCount val="1"/>
                <c:pt idx="0">
                  <c:v>2026 Dues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0A-4F57-8F6D-EBA73316EF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0A-4F57-8F6D-EBA73316EF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0A-4F57-8F6D-EBA73316EFAA}"/>
              </c:ext>
            </c:extLst>
          </c:dPt>
          <c:dLbls>
            <c:dLbl>
              <c:idx val="0"/>
              <c:layout>
                <c:manualLayout>
                  <c:x val="6.2891264964530819E-2"/>
                  <c:y val="-7.6481858593474533E-2"/>
                </c:manualLayout>
              </c:layout>
              <c:tx>
                <c:rich>
                  <a:bodyPr/>
                  <a:lstStyle/>
                  <a:p>
                    <a:fld id="{6FA1E444-C452-417A-800B-08336271D734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735AB90-85CF-4D3D-8FC1-147DDFD33CF1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DA599620-3DDC-4F58-A3CA-3C11097126BE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F0A-4F57-8F6D-EBA73316EFAA}"/>
                </c:ext>
              </c:extLst>
            </c:dLbl>
            <c:dLbl>
              <c:idx val="1"/>
              <c:layout>
                <c:manualLayout>
                  <c:x val="0"/>
                  <c:y val="0.14913962425727534"/>
                </c:manualLayout>
              </c:layout>
              <c:tx>
                <c:rich>
                  <a:bodyPr/>
                  <a:lstStyle/>
                  <a:p>
                    <a:fld id="{4145372C-05D9-4F91-A5EE-CC03CD118F77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333E119-BC07-4F0B-BCAD-E03681743C0A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CAED2F01-C12E-420C-8027-0B2211F54444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F0A-4F57-8F6D-EBA73316EFAA}"/>
                </c:ext>
              </c:extLst>
            </c:dLbl>
            <c:dLbl>
              <c:idx val="2"/>
              <c:layout>
                <c:manualLayout>
                  <c:x val="5.2409387470442343E-3"/>
                  <c:y val="-0.10325050910119066"/>
                </c:manualLayout>
              </c:layout>
              <c:tx>
                <c:rich>
                  <a:bodyPr/>
                  <a:lstStyle/>
                  <a:p>
                    <a:fld id="{0789CC7B-DD9A-4325-A4AC-2C41D1EB3011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966A870-54F3-429D-B5C3-84BFF7E4F027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DF39291B-F283-4830-980B-22057C95102B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F0A-4F57-8F6D-EBA73316EF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'Revenue Breakdown'!$F$4:$F$6</c:f>
              <c:strCache>
                <c:ptCount val="3"/>
                <c:pt idx="0">
                  <c:v>Affiliate Memberships</c:v>
                </c:pt>
                <c:pt idx="1">
                  <c:v>Individual Memberships</c:v>
                </c:pt>
                <c:pt idx="2">
                  <c:v>Organizational Memberships</c:v>
                </c:pt>
              </c:strCache>
            </c:strRef>
          </c:cat>
          <c:val>
            <c:numRef>
              <c:f>'Revenue Breakdown'!$G$4:$G$6</c:f>
              <c:numCache>
                <c:formatCode>_("$"* #,##0_);_("$"* \(#,##0\);_("$"* "-"??_);_(@_)</c:formatCode>
                <c:ptCount val="3"/>
                <c:pt idx="0" formatCode="_(* #,##0.00_);_(* \(#,##0.00\);_(* &quot;-&quot;??_);_(@_)">
                  <c:v>72667.78</c:v>
                </c:pt>
                <c:pt idx="1">
                  <c:v>20425</c:v>
                </c:pt>
                <c:pt idx="2">
                  <c:v>581043.82999999996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Breakdown'!$F$4:$F$6</c15:f>
                <c15:dlblRangeCache>
                  <c:ptCount val="3"/>
                  <c:pt idx="0">
                    <c:v>Affiliate Memberships</c:v>
                  </c:pt>
                  <c:pt idx="1">
                    <c:v>Individual Memberships</c:v>
                  </c:pt>
                  <c:pt idx="2">
                    <c:v>Organizational Memberships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1F0A-4F57-8F6D-EBA73316E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5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37036841966665"/>
          <c:y val="0.69317157107627403"/>
          <c:w val="0.2266071757752689"/>
          <c:h val="0.20392891976116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Dues Revenues by Member Type</a:t>
            </a:r>
          </a:p>
        </c:rich>
      </c:tx>
      <c:layout>
        <c:manualLayout>
          <c:xMode val="edge"/>
          <c:yMode val="edge"/>
          <c:x val="6.0958500588764196E-2"/>
          <c:y val="5.2366565961732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Breakdown'!$G$3</c:f>
              <c:strCache>
                <c:ptCount val="1"/>
                <c:pt idx="0">
                  <c:v>2026 Dues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74-4E3B-AC67-98D858FEA3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74-4E3B-AC67-98D858FEA3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574-4E3B-AC67-98D858FEA391}"/>
              </c:ext>
            </c:extLst>
          </c:dPt>
          <c:dLbls>
            <c:dLbl>
              <c:idx val="0"/>
              <c:layout>
                <c:manualLayout>
                  <c:x val="6.2891264964530819E-2"/>
                  <c:y val="-7.6481858593474533E-2"/>
                </c:manualLayout>
              </c:layout>
              <c:tx>
                <c:rich>
                  <a:bodyPr/>
                  <a:lstStyle/>
                  <a:p>
                    <a:fld id="{50358A46-EA3A-44CD-9389-69E8914C1A1F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E282640-2CC3-4D5A-B470-A922ABCB92C8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16FB4193-37C4-492A-AE4D-1497AE1D1AA5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574-4E3B-AC67-98D858FEA391}"/>
                </c:ext>
              </c:extLst>
            </c:dLbl>
            <c:dLbl>
              <c:idx val="1"/>
              <c:layout>
                <c:manualLayout>
                  <c:x val="0"/>
                  <c:y val="0.14913962425727534"/>
                </c:manualLayout>
              </c:layout>
              <c:tx>
                <c:rich>
                  <a:bodyPr/>
                  <a:lstStyle/>
                  <a:p>
                    <a:fld id="{8A0AD055-2AE9-495A-B308-0591E5D69C23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4209CBB-C1C6-433F-8DD6-4FB89DE36181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76E5F0C0-4135-4CD3-8E0D-0FD1040883F2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574-4E3B-AC67-98D858FEA391}"/>
                </c:ext>
              </c:extLst>
            </c:dLbl>
            <c:dLbl>
              <c:idx val="2"/>
              <c:layout>
                <c:manualLayout>
                  <c:x val="5.2409387470442343E-3"/>
                  <c:y val="-0.10325050910119066"/>
                </c:manualLayout>
              </c:layout>
              <c:tx>
                <c:rich>
                  <a:bodyPr/>
                  <a:lstStyle/>
                  <a:p>
                    <a:fld id="{BB59FEA6-7D2F-487D-B0C3-D90FDFE07BFD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00863949-AB2C-4667-9F95-8D82541378EC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A3E13334-EB2A-457A-96B3-77298BC3604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574-4E3B-AC67-98D858FEA3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'Revenue Breakdown'!$F$4:$F$6</c:f>
              <c:strCache>
                <c:ptCount val="3"/>
                <c:pt idx="0">
                  <c:v>Affiliate Memberships</c:v>
                </c:pt>
                <c:pt idx="1">
                  <c:v>Individual Memberships</c:v>
                </c:pt>
                <c:pt idx="2">
                  <c:v>Organizational Memberships</c:v>
                </c:pt>
              </c:strCache>
            </c:strRef>
          </c:cat>
          <c:val>
            <c:numRef>
              <c:f>'Revenue Breakdown'!$G$4:$G$6</c:f>
              <c:numCache>
                <c:formatCode>_("$"* #,##0_);_("$"* \(#,##0\);_("$"* "-"??_);_(@_)</c:formatCode>
                <c:ptCount val="3"/>
                <c:pt idx="0" formatCode="_(* #,##0.00_);_(* \(#,##0.00\);_(* &quot;-&quot;??_);_(@_)">
                  <c:v>72667.78</c:v>
                </c:pt>
                <c:pt idx="1">
                  <c:v>20425</c:v>
                </c:pt>
                <c:pt idx="2">
                  <c:v>581043.82999999996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Breakdown'!$F$4:$F$6</c15:f>
                <c15:dlblRangeCache>
                  <c:ptCount val="3"/>
                  <c:pt idx="0">
                    <c:v>Affiliate Memberships</c:v>
                  </c:pt>
                  <c:pt idx="1">
                    <c:v>Individual Memberships</c:v>
                  </c:pt>
                  <c:pt idx="2">
                    <c:v>Organizational Memberships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5574-4E3B-AC67-98D858FEA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5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37036841966665"/>
          <c:y val="0.69317157107627403"/>
          <c:w val="0.2266071757752689"/>
          <c:h val="0.20392891976116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 Org Membership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tint val="3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3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3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3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3C-4085-BCE5-6500A9F5B38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4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4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4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44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93C-4085-BCE5-6500A9F5B38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tint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93C-4085-BCE5-6500A9F5B38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tint val="42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42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42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42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93C-4085-BCE5-6500A9F5B38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tint val="5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5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5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54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93C-4085-BCE5-6500A9F5B38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2">
                      <a:tint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93C-4085-BCE5-6500A9F5B38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93C-4085-BCE5-6500A9F5B38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tint val="89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89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89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89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93C-4085-BCE5-6500A9F5B383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093C-4085-BCE5-6500A9F5B383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shade val="8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8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093C-4085-BCE5-6500A9F5B383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2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093C-4085-BCE5-6500A9F5B383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2">
                      <a:shade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6769-4655-B6B7-53E8486B90DF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2">
                      <a:shade val="53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53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53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53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6769-4655-B6B7-53E8486B90DF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shade val="41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41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41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41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6769-4655-B6B7-53E8486B90DF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6769-4655-B6B7-53E8486B90DF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2">
                      <a:shade val="9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9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9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4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6769-4655-B6B7-53E8486B90DF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2">
                      <a:shade val="8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8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6769-4655-B6B7-53E8486B90DF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2">
                      <a:shade val="82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2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2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82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6769-4655-B6B7-53E8486B90DF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2">
                      <a:shade val="43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43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43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43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6769-4655-B6B7-53E8486B90DF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shade val="7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7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7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7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6769-4655-B6B7-53E8486B90D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D601CD7-A14E-4A42-B6E6-EC1013B048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93C-4085-BCE5-6500A9F5B38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93C-4085-BCE5-6500A9F5B38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F342B2A-3094-4225-B9AA-5931BBBB12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93C-4085-BCE5-6500A9F5B38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85813DF-C7C6-40AE-9F2D-86C42FDD25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93C-4085-BCE5-6500A9F5B38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97F1968-44C0-482A-95F9-3866F8385B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93C-4085-BCE5-6500A9F5B38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26B10A4-1579-4FB4-AD96-1075BD33DE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93C-4085-BCE5-6500A9F5B38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2AB5F1D-8142-4103-9022-2C88E21486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93C-4085-BCE5-6500A9F5B38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6993E43-84A1-4C10-9764-ABF3722D59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93C-4085-BCE5-6500A9F5B38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E86441A-7DD1-43A3-A151-C56CE66CDE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93C-4085-BCE5-6500A9F5B38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3A58168-D036-4A71-9EB9-30F68D8E94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93C-4085-BCE5-6500A9F5B38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C824111-88B4-42AC-8BBD-4E28B210DB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93C-4085-BCE5-6500A9F5B38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DA6624A-FA4A-4BAA-8E76-D218BBD9BC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6769-4655-B6B7-53E8486B90D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FC60BD0-C318-4940-B128-A1711A91C2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6769-4655-B6B7-53E8486B90D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07D53F8-1DFA-4B7E-895A-CDDB76F74C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6769-4655-B6B7-53E8486B90D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BC2B470-6086-46AE-82E0-EFD912F425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6769-4655-B6B7-53E8486B90D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E063C54-0521-49FE-B024-75A8C1E359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769-4655-B6B7-53E8486B90D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D5E83DB-9652-4C4E-BB04-DABA355334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6769-4655-B6B7-53E8486B90D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CD70500-696F-4AD8-8A5D-8AA15E38FF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6769-4655-B6B7-53E8486B90D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0DF94F9-15FE-44DF-A704-6C43F6FE5C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6769-4655-B6B7-53E8486B90D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5253BAC-B819-48AD-8077-8AF439FF7B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769-4655-B6B7-53E8486B90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'Revenue Breakdown'!$B$16:$B$35</c15:sqref>
                  </c15:fullRef>
                </c:ext>
              </c:extLst>
              <c:f>'Revenue Breakdown'!$B$16:$B$35</c:f>
              <c:numCache>
                <c:formatCode>0%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'Revenue Breakdown'!$C$13:$C$35</c15:sqref>
                  </c15:fullRef>
                </c:ext>
              </c:extLst>
              <c:f>'Revenue Breakdown'!$C$13:$C$32</c:f>
              <c:numCache>
                <c:formatCode>General</c:formatCode>
                <c:ptCount val="20"/>
                <c:pt idx="0" formatCode="&quot;$&quot;#,##0.00_);[Red]\(&quot;$&quot;#,##0.00\)">
                  <c:v>28477.51</c:v>
                </c:pt>
                <c:pt idx="2">
                  <c:v>0</c:v>
                </c:pt>
                <c:pt idx="3" formatCode="&quot;$&quot;#,##0.00_);[Red]\(&quot;$&quot;#,##0.00\)">
                  <c:v>284775.09999999998</c:v>
                </c:pt>
                <c:pt idx="4" formatCode="&quot;$&quot;#,##0.00_);[Red]\(&quot;$&quot;#,##0.00\)">
                  <c:v>284775.09999999998</c:v>
                </c:pt>
                <c:pt idx="5" formatCode="&quot;$&quot;#,##0.00_);[Red]\(&quot;$&quot;#,##0.00\)">
                  <c:v>284775.09999999998</c:v>
                </c:pt>
                <c:pt idx="6" formatCode="&quot;$&quot;#,##0.00_);[Red]\(&quot;$&quot;#,##0.00\)">
                  <c:v>284775.09999999998</c:v>
                </c:pt>
                <c:pt idx="7" formatCode="&quot;$&quot;#,##0.00_);[Red]\(&quot;$&quot;#,##0.00\)">
                  <c:v>284775.09999999998</c:v>
                </c:pt>
                <c:pt idx="8" formatCode="&quot;$&quot;#,##0.00_);[Red]\(&quot;$&quot;#,##0.00\)">
                  <c:v>284775.09999999998</c:v>
                </c:pt>
                <c:pt idx="9" formatCode="&quot;$&quot;#,##0.00_);[Red]\(&quot;$&quot;#,##0.00\)">
                  <c:v>284775.09999999998</c:v>
                </c:pt>
                <c:pt idx="10" formatCode="&quot;$&quot;#,##0.00_);[Red]\(&quot;$&quot;#,##0.00\)">
                  <c:v>284775.09999999998</c:v>
                </c:pt>
                <c:pt idx="11" formatCode="&quot;$&quot;#,##0.00_);[Red]\(&quot;$&quot;#,##0.00\)">
                  <c:v>284775.09999999998</c:v>
                </c:pt>
                <c:pt idx="12" formatCode="&quot;$&quot;#,##0.00_);[Red]\(&quot;$&quot;#,##0.00\)">
                  <c:v>284775.09999999998</c:v>
                </c:pt>
                <c:pt idx="13" formatCode="&quot;$&quot;#,##0.00_);[Red]\(&quot;$&quot;#,##0.00\)">
                  <c:v>284775.09999999998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Breakdown'!$B$16:$B$35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'Revenue Breakdown'!$C$33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hade val="65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shade val="65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shade val="65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65000"/>
                          <a:shade val="95000"/>
                        </a:schemeClr>
                      </a:solidFill>
                      <a:round/>
                    </a:ln>
                    <a:effectLst/>
                  </c15:spPr>
                  <c15:bubble3D val="0"/>
                </c15:categoryFilterException>
                <c15:categoryFilterException>
                  <c15:sqref>'Revenue Breakdown'!$C$34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hade val="59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shade val="59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shade val="59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59000"/>
                          <a:shade val="95000"/>
                        </a:schemeClr>
                      </a:solidFill>
                      <a:round/>
                    </a:ln>
                    <a:effectLst/>
                  </c15:spPr>
                  <c15:bubble3D val="0"/>
                </c15:categoryFilterException>
                <c15:categoryFilterException>
                  <c15:sqref>'Revenue Breakdown'!$C$35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hade val="53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shade val="53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shade val="53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53000"/>
                          <a:shade val="95000"/>
                        </a:schemeClr>
                      </a:solidFill>
                      <a:round/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093C-4085-BCE5-6500A9F5B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42"/>
      </c:doughnutChart>
      <c:pieChart>
        <c:varyColors val="1"/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tint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91-40FD-BEF1-3CC6C7F8950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91-40FD-BEF1-3CC6C7F8950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hade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3C-4085-BCE5-6500A9F5B383}"/>
              </c:ext>
            </c:extLst>
          </c:dPt>
          <c:cat>
            <c:numRef>
              <c:f>'Revenue Breakdown'!$C$16:$C$35</c:f>
              <c:numCache>
                <c:formatCode>"$"#,##0.00_);[Red]\("$"#,##0.00\)</c:formatCode>
                <c:ptCount val="20"/>
                <c:pt idx="0">
                  <c:v>284775.09999999998</c:v>
                </c:pt>
                <c:pt idx="1">
                  <c:v>284775.09999999998</c:v>
                </c:pt>
                <c:pt idx="2">
                  <c:v>284775.09999999998</c:v>
                </c:pt>
                <c:pt idx="3">
                  <c:v>284775.09999999998</c:v>
                </c:pt>
                <c:pt idx="4">
                  <c:v>284775.09999999998</c:v>
                </c:pt>
                <c:pt idx="5">
                  <c:v>284775.09999999998</c:v>
                </c:pt>
                <c:pt idx="6">
                  <c:v>284775.09999999998</c:v>
                </c:pt>
                <c:pt idx="7">
                  <c:v>284775.09999999998</c:v>
                </c:pt>
                <c:pt idx="8">
                  <c:v>284775.09999999998</c:v>
                </c:pt>
                <c:pt idx="9">
                  <c:v>284775.09999999998</c:v>
                </c:pt>
                <c:pt idx="10">
                  <c:v>284775.09999999998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</c:numCache>
            </c:numRef>
          </c:cat>
          <c:val>
            <c:numRef>
              <c:f>'Revenue Breakdown'!$C$40:$C$42</c:f>
              <c:numCache>
                <c:formatCode>General</c:formatCode>
                <c:ptCount val="3"/>
                <c:pt idx="0" formatCode="_(&quot;$&quot;* #,##0_);_(&quot;$&quot;* \(#,##0\);_(&quot;$&quot;* &quot;-&quot;??_);_(@_)">
                  <c:v>337068.30499999999</c:v>
                </c:pt>
                <c:pt idx="1">
                  <c:v>30000</c:v>
                </c:pt>
                <c:pt idx="2" formatCode="&quot;$&quot;#,##0_);[Red]\(&quot;$&quot;#,##0\)">
                  <c:v>-2562975.9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3C-4085-BCE5-6500A9F5B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03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'Revenue Breakdown'!$B$40</c:f>
              <c:strCache>
                <c:ptCount val="1"/>
                <c:pt idx="0">
                  <c:v>Pointer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3DC-4821-AB9F-FEF76C1A43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D7-4BCE-A933-C507175A5F8E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('Revenue Breakdown'!$C$40,'Revenue Breakdown'!$C$40,'Revenue Breakdown'!$C$42)</c15:sqref>
                  </c15:fullRef>
                </c:ext>
              </c:extLst>
              <c:f>('Revenue Breakdown'!$C$40,'Revenue Breakdown'!$C$40)</c:f>
              <c:numCache>
                <c:formatCode>_("$"* #,##0_);_("$"* \(#,##0\);_("$"* "-"??_);_(@_)</c:formatCode>
                <c:ptCount val="2"/>
                <c:pt idx="0">
                  <c:v>337068.30499999999</c:v>
                </c:pt>
                <c:pt idx="1">
                  <c:v>337068.30499999999</c:v>
                </c:pt>
                <c:pt idx="2" formatCode="&quot;$&quot;#,##0_);[Red]\(&quot;$&quot;#,##0\)">
                  <c:v>-2562975.9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('Revenue Breakdown'!$C$40,'Revenue Breakdown'!$C$42)</c15:sqref>
                  </c15:fullRef>
                </c:ext>
              </c:extLst>
              <c:f>('Revenue Breakdown'!$C$40,'Revenue Breakdown'!$C$42)</c:f>
              <c:numCache>
                <c:formatCode>"$"#,##0_);[Red]\("$"#,##0\)</c:formatCode>
                <c:ptCount val="2"/>
                <c:pt idx="0" formatCode="_(&quot;$&quot;* #,##0_);_(&quot;$&quot;* \(#,##0\);_(&quot;$&quot;* &quot;-&quot;??_);_(@_)">
                  <c:v>337068.30499999999</c:v>
                </c:pt>
                <c:pt idx="1">
                  <c:v>-2562975.9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DC-4821-AB9F-FEF76C1A4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doughnutChart>
        <c:varyColors val="1"/>
        <c:ser>
          <c:idx val="0"/>
          <c:order val="0"/>
          <c:tx>
            <c:strRef>
              <c:f>'Revenue Breakdown'!$B$15</c:f>
              <c:strCache>
                <c:ptCount val="1"/>
                <c:pt idx="0">
                  <c:v>Labels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DC-4821-AB9F-FEF76C1A43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3DC-4821-AB9F-FEF76C1A43A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DC-4821-AB9F-FEF76C1A43A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3DC-4821-AB9F-FEF76C1A43A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DC-4821-AB9F-FEF76C1A43A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3DC-4821-AB9F-FEF76C1A43A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DC-4821-AB9F-FEF76C1A43A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83DC-4821-AB9F-FEF76C1A43A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3DC-4821-AB9F-FEF76C1A43A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83DC-4821-AB9F-FEF76C1A43A8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3DC-4821-AB9F-FEF76C1A43A8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83DC-4821-AB9F-FEF76C1A43A8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3DC-4821-AB9F-FEF76C1A43A8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83DC-4821-AB9F-FEF76C1A43A8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83DC-4821-AB9F-FEF76C1A43A8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83DC-4821-AB9F-FEF76C1A43A8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3DC-4821-AB9F-FEF76C1A43A8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83DC-4821-AB9F-FEF76C1A43A8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83DC-4821-AB9F-FEF76C1A43A8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83DC-4821-AB9F-FEF76C1A43A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C639E3A-C468-4EAA-AADE-939CAA438B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3DC-4821-AB9F-FEF76C1A43A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535401E-A1CC-4EF7-922F-EAA3AB95E4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3DC-4821-AB9F-FEF76C1A43A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716BE7A-5777-46CA-854B-052C537F73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3DC-4821-AB9F-FEF76C1A43A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BD21321-823C-489D-91CA-AE86E2CAA7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3DC-4821-AB9F-FEF76C1A43A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70736FC-E186-4CA8-A2B7-11D1F91F57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3DC-4821-AB9F-FEF76C1A43A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72756FA-BD83-451E-9936-3874A8A625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3DC-4821-AB9F-FEF76C1A43A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3051D2F-9555-4C46-8EAD-A187DA0AF3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3DC-4821-AB9F-FEF76C1A43A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0722702-B668-4BF0-84C5-3E1902F443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3DC-4821-AB9F-FEF76C1A43A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C2EFE5B-3964-4A5F-9DDE-F336FCEC31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3DC-4821-AB9F-FEF76C1A43A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AEAD396-43FC-4BC7-A658-9D1C5D8B35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3DC-4821-AB9F-FEF76C1A43A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1877AF8-0101-45BC-8C1F-EAC0EE0998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3DC-4821-AB9F-FEF76C1A43A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E5B9F30-9B69-40BD-96D8-898A52FA85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3DC-4821-AB9F-FEF76C1A43A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13558BE-F902-4786-951B-D74EDEFE2F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3DC-4821-AB9F-FEF76C1A43A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F706296-A6E6-4581-A72B-C2CAAE4BD5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3DC-4821-AB9F-FEF76C1A43A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9409177-7999-4554-8D73-DF07054C4F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3DC-4821-AB9F-FEF76C1A43A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55204F2-E605-4038-88AD-843BF50F1B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3DC-4821-AB9F-FEF76C1A43A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F147758-F5E2-40F4-882C-1B4AA969D3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3DC-4821-AB9F-FEF76C1A43A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94697CD-8470-40A0-A799-F339B8549E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3DC-4821-AB9F-FEF76C1A43A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82D8309-3451-41A3-8D39-A6237EF89D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3DC-4821-AB9F-FEF76C1A43A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FB6E791-C4E2-4851-B193-4FC3A9015B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3DC-4821-AB9F-FEF76C1A43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f>'Revenue Breakdown'!$B$16:$B$35</c:f>
              <c:numCache>
                <c:formatCode>0%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f>'Revenue Breakdown'!$D$16:$D$35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Breakdown'!$B$16:$B$35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3DC-4821-AB9F-FEF76C1A4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[2026_Membership_Revenues_Mar2026.xlsx]Org Revenues!PivotTable3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Org Member Revenues by Member Level</a:t>
            </a:r>
            <a:r>
              <a:rPr lang="en-US" baseline="0"/>
              <a:t> 2025</a:t>
            </a:r>
            <a:endParaRPr lang="en-US"/>
          </a:p>
        </c:rich>
      </c:tx>
      <c:layout>
        <c:manualLayout>
          <c:xMode val="edge"/>
          <c:yMode val="edge"/>
          <c:x val="0.1436388888888889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9050634295713034E-2"/>
              <c:y val="6.07746427529891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727777777777774"/>
                  <c:h val="0.24067147856517934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638779527559054E-2"/>
              <c:y val="0.141660104986876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255555555555554"/>
                  <c:h val="0.24993073782443861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996937882764656E-2"/>
              <c:y val="0.2521066637503644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'Org Revenues'!$B$3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F59-4EE9-B400-A6E024EF9E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C7-4903-B313-7481CDC7E3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59-4EE9-B400-A6E024EF9E87}"/>
              </c:ext>
            </c:extLst>
          </c:dPt>
          <c:dLbls>
            <c:dLbl>
              <c:idx val="0"/>
              <c:layout>
                <c:manualLayout>
                  <c:x val="1.9050634295713034E-2"/>
                  <c:y val="6.077464275298918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727777777777774"/>
                      <c:h val="0.2406714785651793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F59-4EE9-B400-A6E024EF9E87}"/>
                </c:ext>
              </c:extLst>
            </c:dLbl>
            <c:dLbl>
              <c:idx val="1"/>
              <c:layout>
                <c:manualLayout>
                  <c:x val="1.5996937882764656E-2"/>
                  <c:y val="0.25210666375036445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C7-4903-B313-7481CDC7E3BA}"/>
                </c:ext>
              </c:extLst>
            </c:dLbl>
            <c:dLbl>
              <c:idx val="2"/>
              <c:layout>
                <c:manualLayout>
                  <c:x val="1.1638779527559054E-2"/>
                  <c:y val="0.1416601049868765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255555555555554"/>
                      <c:h val="0.249930737824438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F59-4EE9-B400-A6E024EF9E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'Org Revenues'!$A$4:$A$7</c:f>
              <c:strCache>
                <c:ptCount val="3"/>
                <c:pt idx="0">
                  <c:v>Benefactor Membership</c:v>
                </c:pt>
                <c:pt idx="1">
                  <c:v>Gold Membership</c:v>
                </c:pt>
                <c:pt idx="2">
                  <c:v>Organizational Membership</c:v>
                </c:pt>
              </c:strCache>
            </c:strRef>
          </c:cat>
          <c:val>
            <c:numRef>
              <c:f>'Org Revenues'!$B$4:$B$7</c:f>
              <c:numCache>
                <c:formatCode>_("$"* #,##0_);_("$"* \(#,##0\);_("$"* "-"??_);_(@_)</c:formatCode>
                <c:ptCount val="3"/>
                <c:pt idx="0">
                  <c:v>203780</c:v>
                </c:pt>
                <c:pt idx="1">
                  <c:v>50218.79</c:v>
                </c:pt>
                <c:pt idx="2">
                  <c:v>327045.03999999998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9-4EE9-B400-A6E024EF9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[2026_Membership_Revenues_Mar2026.xlsx]Ind Revenues!PivotTable4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</a:t>
            </a:r>
          </a:p>
          <a:p>
            <a:pPr>
              <a:defRPr/>
            </a:pPr>
            <a:r>
              <a:rPr lang="en-US"/>
              <a:t> Individual</a:t>
            </a:r>
            <a:r>
              <a:rPr lang="en-US" baseline="0"/>
              <a:t> Memberships by Month</a:t>
            </a:r>
          </a:p>
        </c:rich>
      </c:tx>
      <c:layout>
        <c:manualLayout>
          <c:xMode val="edge"/>
          <c:yMode val="edge"/>
          <c:x val="0.12885021328144125"/>
          <c:y val="4.12391841534439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 Revenues'!$B$3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 Revenues'!$A$4:$A$7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'Ind Revenues'!$B$4:$B$7</c:f>
              <c:numCache>
                <c:formatCode>_("$"* #,##0.00_);_("$"* \(#,##0.00\);_("$"* "-"??_);_(@_)</c:formatCode>
                <c:ptCount val="3"/>
                <c:pt idx="0">
                  <c:v>8525</c:v>
                </c:pt>
                <c:pt idx="1">
                  <c:v>4075</c:v>
                </c:pt>
                <c:pt idx="2">
                  <c:v>7825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5-4B70-B0CD-E534AC04B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869007"/>
        <c:axId val="688868047"/>
      </c:barChart>
      <c:catAx>
        <c:axId val="68886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68047"/>
        <c:crosses val="autoZero"/>
        <c:auto val="1"/>
        <c:lblAlgn val="ctr"/>
        <c:lblOffset val="100"/>
        <c:noMultiLvlLbl val="0"/>
      </c:catAx>
      <c:valAx>
        <c:axId val="68886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6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[2026_Membership_Revenues_Mar2026.xlsx]Yrs of Membership!PivotTable6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Years of Membership of Membership</a:t>
            </a:r>
            <a:r>
              <a:rPr lang="en-US" baseline="0"/>
              <a:t> Income</a:t>
            </a:r>
            <a:endParaRPr lang="en-US"/>
          </a:p>
        </c:rich>
      </c:tx>
      <c:layout>
        <c:manualLayout>
          <c:xMode val="edge"/>
          <c:yMode val="edge"/>
          <c:x val="0.1464785980699781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'Yrs of Membership'!$N$6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'Yrs of Membership'!$M$7:$M$13</c:f>
              <c:strCache>
                <c:ptCount val="6"/>
                <c:pt idx="0">
                  <c:v>1 Year</c:v>
                </c:pt>
                <c:pt idx="1">
                  <c:v>11 to 15 Years</c:v>
                </c:pt>
                <c:pt idx="2">
                  <c:v>2 to 5 Years</c:v>
                </c:pt>
                <c:pt idx="3">
                  <c:v>6 to 10 Years</c:v>
                </c:pt>
                <c:pt idx="4">
                  <c:v>Over 15 Years</c:v>
                </c:pt>
                <c:pt idx="5">
                  <c:v>(blank)</c:v>
                </c:pt>
              </c:strCache>
            </c:strRef>
          </c:cat>
          <c:val>
            <c:numRef>
              <c:f>'Yrs of Membership'!$N$7:$N$13</c:f>
              <c:numCache>
                <c:formatCode>General</c:formatCode>
                <c:ptCount val="6"/>
                <c:pt idx="0">
                  <c:v>23</c:v>
                </c:pt>
                <c:pt idx="1">
                  <c:v>11</c:v>
                </c:pt>
                <c:pt idx="2">
                  <c:v>7</c:v>
                </c:pt>
                <c:pt idx="3">
                  <c:v>9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D-4456-A35E-639F4CE40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038640"/>
        <c:axId val="25450527"/>
      </c:barChart>
      <c:catAx>
        <c:axId val="62403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50527"/>
        <c:crosses val="autoZero"/>
        <c:auto val="1"/>
        <c:lblAlgn val="ctr"/>
        <c:lblOffset val="100"/>
        <c:noMultiLvlLbl val="0"/>
      </c:catAx>
      <c:valAx>
        <c:axId val="254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03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[2026_Membership_Revenues_Mar2026.xlsx]draft_mem_goal_work!PivotTable3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41919B3-BC2F-4AC2-92F7-38C0F5A0A75B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B64B8FC-C48D-493F-9225-7079BFFEBD26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C8AD528-4FBA-48CE-9002-D6DE78412D44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836A4A4B-B8C0-4111-B8F2-6D45D6F02CA2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89C185F-4E99-4969-BB32-53B097928A58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15F52F1-9F0A-4067-AF54-AEAFAE129B5C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A498431-547D-4C0C-8B46-DDE5AAFB155B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0B3316F-2F3B-43AE-9345-4219F816B243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CC40F49-5F73-4800-A3F3-1D21F0580A06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B2834E4-F2BF-482C-AF0C-EBCA2B09E590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35E9231-7DFC-4EBB-868D-9A3DBEB864BC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B51C32A-0E4C-4550-AF0A-244C0B7F8505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5A8581F-8B2A-452B-8EB1-0361A7A83DE8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74334FD-23FE-40E0-B564-D0C7C69E91DB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E11FA00-079C-4079-9FD8-7E04853BC66D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F073143-8870-4753-95CF-BAC25B16FA8D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F1044BBB-23AE-4227-8B3E-BB932F6CED21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33CEFF8-FA61-49E2-ACA6-EBEB70ACFB37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F69FF35-79ED-4989-BA05-7F6EF5CDC265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D37020B-7799-447B-AE94-FB4F75F9D946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draft_mem_goal_work!$D$3:$D$22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C90-4F93-A48D-4A2FC73D398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90-4F93-A48D-4A2FC73D398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C90-4F93-A48D-4A2FC73D398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90-4F93-A48D-4A2FC73D398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C90-4F93-A48D-4A2FC73D3987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90-4F93-A48D-4A2FC73D3987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C90-4F93-A48D-4A2FC73D3987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90-4F93-A48D-4A2FC73D3987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C90-4F93-A48D-4A2FC73D3987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C90-4F93-A48D-4A2FC73D3987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C90-4F93-A48D-4A2FC73D3987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C90-4F93-A48D-4A2FC73D3987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3C90-4F93-A48D-4A2FC73D3987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C90-4F93-A48D-4A2FC73D3987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3C90-4F93-A48D-4A2FC73D3987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C90-4F93-A48D-4A2FC73D3987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3C90-4F93-A48D-4A2FC73D3987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C90-4F93-A48D-4A2FC73D3987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3C90-4F93-A48D-4A2FC73D3987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C90-4F93-A48D-4A2FC73D39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41919B3-BC2F-4AC2-92F7-38C0F5A0A7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C90-4F93-A48D-4A2FC73D39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B64B8FC-C48D-493F-9225-7079BFFEBD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C90-4F93-A48D-4A2FC73D398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C8AD528-4FBA-48CE-9002-D6DE78412D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C90-4F93-A48D-4A2FC73D398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36A4A4B-B8C0-4111-B8F2-6D45D6F02C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C90-4F93-A48D-4A2FC73D398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89C185F-4E99-4969-BB32-53B097928A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C90-4F93-A48D-4A2FC73D398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15F52F1-9F0A-4067-AF54-AEAFAE129B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C90-4F93-A48D-4A2FC73D398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A498431-547D-4C0C-8B46-DDE5AAFB15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C90-4F93-A48D-4A2FC73D398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0B3316F-2F3B-43AE-9345-4219F816B2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C90-4F93-A48D-4A2FC73D398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CC40F49-5F73-4800-A3F3-1D21F0580A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C90-4F93-A48D-4A2FC73D398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B2834E4-F2BF-482C-AF0C-EBCA2B09E5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C90-4F93-A48D-4A2FC73D398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35E9231-7DFC-4EBB-868D-9A3DBEB864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C90-4F93-A48D-4A2FC73D398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B51C32A-0E4C-4550-AF0A-244C0B7F85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C90-4F93-A48D-4A2FC73D398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5A8581F-8B2A-452B-8EB1-0361A7A83D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C90-4F93-A48D-4A2FC73D398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74334FD-23FE-40E0-B564-D0C7C69E91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C90-4F93-A48D-4A2FC73D398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E11FA00-079C-4079-9FD8-7E04853BC6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C90-4F93-A48D-4A2FC73D398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F073143-8870-4753-95CF-BAC25B16FA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C90-4F93-A48D-4A2FC73D398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1044BBB-23AE-4227-8B3E-BB932F6CED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C90-4F93-A48D-4A2FC73D398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33CEFF8-FA61-49E2-ACA6-EBEB70ACFB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C90-4F93-A48D-4A2FC73D398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F69FF35-79ED-4989-BA05-7F6EF5CDC2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C90-4F93-A48D-4A2FC73D398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D37020B-7799-447B-AE94-FB4F75F9D9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C90-4F93-A48D-4A2FC73D39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draft_mem_goal_work!$D$3:$D$22</c:f>
              <c:strCache>
                <c:ptCount val="20"/>
                <c:pt idx="0">
                  <c:v>10%</c:v>
                </c:pt>
                <c:pt idx="1">
                  <c:v>20%</c:v>
                </c:pt>
                <c:pt idx="2">
                  <c:v>30%</c:v>
                </c:pt>
                <c:pt idx="3">
                  <c:v>40%</c:v>
                </c:pt>
                <c:pt idx="4">
                  <c:v>50%</c:v>
                </c:pt>
                <c:pt idx="5">
                  <c:v>60%</c:v>
                </c:pt>
                <c:pt idx="6">
                  <c:v>70%</c:v>
                </c:pt>
                <c:pt idx="7">
                  <c:v>80%</c:v>
                </c:pt>
                <c:pt idx="8">
                  <c:v>90%</c:v>
                </c:pt>
                <c:pt idx="9">
                  <c:v>100%</c:v>
                </c:pt>
                <c:pt idx="10">
                  <c:v>110%</c:v>
                </c:pt>
                <c:pt idx="11">
                  <c:v>120%</c:v>
                </c:pt>
                <c:pt idx="12">
                  <c:v>130%</c:v>
                </c:pt>
                <c:pt idx="13">
                  <c:v>140%</c:v>
                </c:pt>
                <c:pt idx="14">
                  <c:v>150%</c:v>
                </c:pt>
                <c:pt idx="15">
                  <c:v>160%</c:v>
                </c:pt>
                <c:pt idx="16">
                  <c:v>170%</c:v>
                </c:pt>
                <c:pt idx="17">
                  <c:v>180%</c:v>
                </c:pt>
                <c:pt idx="18">
                  <c:v>190%</c:v>
                </c:pt>
                <c:pt idx="19">
                  <c:v>200%</c:v>
                </c:pt>
              </c:strCache>
            </c:strRef>
          </c:cat>
          <c:val>
            <c:numRef>
              <c:f>draft_mem_goal_work!$D$3:$D$22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draft_mem_goal_work!$D$3:$D$22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C90-4F93-A48D-4A2FC73D3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8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158750</xdr:rowOff>
    </xdr:from>
    <xdr:to>
      <xdr:col>10</xdr:col>
      <xdr:colOff>120650</xdr:colOff>
      <xdr:row>26</xdr:row>
      <xdr:rowOff>41275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4A139F-1C3A-4F66-B110-29A125CBA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292100</xdr:colOff>
      <xdr:row>2</xdr:row>
      <xdr:rowOff>169333</xdr:rowOff>
    </xdr:from>
    <xdr:to>
      <xdr:col>13</xdr:col>
      <xdr:colOff>469900</xdr:colOff>
      <xdr:row>23</xdr:row>
      <xdr:rowOff>49389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1CDE7A0-3B7D-E16C-142A-E69A18712377}"/>
            </a:ext>
          </a:extLst>
        </xdr:cNvPr>
        <xdr:cNvSpPr/>
      </xdr:nvSpPr>
      <xdr:spPr>
        <a:xfrm>
          <a:off x="5753100" y="536222"/>
          <a:ext cx="2604911" cy="373238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21</xdr:col>
      <xdr:colOff>278130</xdr:colOff>
      <xdr:row>2</xdr:row>
      <xdr:rowOff>143827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14F558-5AAF-4F7B-B7A6-98078EBB491F}"/>
            </a:ext>
          </a:extLst>
        </xdr:cNvPr>
        <xdr:cNvSpPr txBox="1"/>
      </xdr:nvSpPr>
      <xdr:spPr>
        <a:xfrm>
          <a:off x="0" y="0"/>
          <a:ext cx="13079730" cy="51212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accent5"/>
              </a:solidFill>
            </a:rPr>
            <a:t>HL7 International Membership</a:t>
          </a:r>
          <a:r>
            <a:rPr lang="en-US" sz="2400" baseline="0">
              <a:solidFill>
                <a:schemeClr val="accent5"/>
              </a:solidFill>
            </a:rPr>
            <a:t> Overview</a:t>
          </a:r>
          <a:r>
            <a:rPr lang="en-US" sz="2400">
              <a:solidFill>
                <a:schemeClr val="accent5"/>
              </a:solidFill>
            </a:rPr>
            <a:t> - 2026 </a:t>
          </a:r>
          <a:endParaRPr lang="en-US" sz="1100">
            <a:solidFill>
              <a:schemeClr val="accent5"/>
            </a:solidFill>
          </a:endParaRPr>
        </a:p>
      </xdr:txBody>
    </xdr:sp>
    <xdr:clientData/>
  </xdr:twoCellAnchor>
  <xdr:twoCellAnchor>
    <xdr:from>
      <xdr:col>21</xdr:col>
      <xdr:colOff>502355</xdr:colOff>
      <xdr:row>1</xdr:row>
      <xdr:rowOff>67028</xdr:rowOff>
    </xdr:from>
    <xdr:to>
      <xdr:col>24</xdr:col>
      <xdr:colOff>534104</xdr:colOff>
      <xdr:row>3</xdr:row>
      <xdr:rowOff>47978</xdr:rowOff>
    </xdr:to>
    <xdr:sp macro="" textlink="'Revenue Breakdown'!L7">
      <xdr:nvSpPr>
        <xdr:cNvPr id="4" name="TextBox 3">
          <a:extLst>
            <a:ext uri="{FF2B5EF4-FFF2-40B4-BE49-F238E27FC236}">
              <a16:creationId xmlns:a16="http://schemas.microsoft.com/office/drawing/2014/main" id="{17709755-1C31-46A6-3860-02CCA3E33E05}"/>
            </a:ext>
          </a:extLst>
        </xdr:cNvPr>
        <xdr:cNvSpPr txBox="1"/>
      </xdr:nvSpPr>
      <xdr:spPr>
        <a:xfrm>
          <a:off x="13244688" y="250472"/>
          <a:ext cx="1852083" cy="3478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E92F72-83B7-4D9F-BB07-40695EED7B77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Grand Total $674,137</a:t>
          </a:fld>
          <a:endParaRPr lang="en-US" sz="1400" kern="1200"/>
        </a:p>
      </xdr:txBody>
    </xdr:sp>
    <xdr:clientData/>
  </xdr:twoCellAnchor>
  <xdr:twoCellAnchor>
    <xdr:from>
      <xdr:col>3</xdr:col>
      <xdr:colOff>152400</xdr:colOff>
      <xdr:row>18</xdr:row>
      <xdr:rowOff>165100</xdr:rowOff>
    </xdr:from>
    <xdr:to>
      <xdr:col>6</xdr:col>
      <xdr:colOff>514350</xdr:colOff>
      <xdr:row>20</xdr:row>
      <xdr:rowOff>152400</xdr:rowOff>
    </xdr:to>
    <xdr:sp macro="" textlink="'Revenue Breakdown'!C12">
      <xdr:nvSpPr>
        <xdr:cNvPr id="8" name="TextBox 7">
          <a:extLst>
            <a:ext uri="{FF2B5EF4-FFF2-40B4-BE49-F238E27FC236}">
              <a16:creationId xmlns:a16="http://schemas.microsoft.com/office/drawing/2014/main" id="{D8308FC7-464D-42E9-8869-806ED26D5C5D}"/>
            </a:ext>
          </a:extLst>
        </xdr:cNvPr>
        <xdr:cNvSpPr txBox="1"/>
      </xdr:nvSpPr>
      <xdr:spPr>
        <a:xfrm>
          <a:off x="1981200" y="3479800"/>
          <a:ext cx="2190750" cy="355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C8DB067-336C-48C5-AB15-E53A862B8DD5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 algn="ctr"/>
            <a:t>Goal:  $2,847,751</a:t>
          </a:fld>
          <a:endParaRPr lang="en-US" sz="18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127000</xdr:colOff>
      <xdr:row>16</xdr:row>
      <xdr:rowOff>152400</xdr:rowOff>
    </xdr:from>
    <xdr:to>
      <xdr:col>6</xdr:col>
      <xdr:colOff>533400</xdr:colOff>
      <xdr:row>18</xdr:row>
      <xdr:rowOff>76200</xdr:rowOff>
    </xdr:to>
    <xdr:sp macro="" textlink="'Revenue Breakdown'!B44">
      <xdr:nvSpPr>
        <xdr:cNvPr id="9" name="TextBox 8">
          <a:extLst>
            <a:ext uri="{FF2B5EF4-FFF2-40B4-BE49-F238E27FC236}">
              <a16:creationId xmlns:a16="http://schemas.microsoft.com/office/drawing/2014/main" id="{08E5E8AC-D48D-49EB-BCED-526D781F9D29}"/>
            </a:ext>
          </a:extLst>
        </xdr:cNvPr>
        <xdr:cNvSpPr txBox="1"/>
      </xdr:nvSpPr>
      <xdr:spPr>
        <a:xfrm>
          <a:off x="1955800" y="3098800"/>
          <a:ext cx="2235200" cy="2921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3596DDF-FDF9-4237-BFCF-C18D14F4F4DB}" type="TxLink">
            <a:rPr lang="en-US" sz="1200" b="0" i="0" u="none" strike="noStrike" kern="1200">
              <a:solidFill>
                <a:srgbClr val="000000"/>
              </a:solidFill>
              <a:latin typeface="Aptos Narrow"/>
            </a:rPr>
            <a:pPr algn="ctr"/>
            <a:t>Current: $674,137, 24%</a:t>
          </a:fld>
          <a:endParaRPr lang="en-US" sz="2000" kern="1200">
            <a:noFill/>
          </a:endParaRPr>
        </a:p>
      </xdr:txBody>
    </xdr:sp>
    <xdr:clientData/>
  </xdr:twoCellAnchor>
  <xdr:twoCellAnchor>
    <xdr:from>
      <xdr:col>9</xdr:col>
      <xdr:colOff>368300</xdr:colOff>
      <xdr:row>4</xdr:row>
      <xdr:rowOff>152400</xdr:rowOff>
    </xdr:from>
    <xdr:to>
      <xdr:col>13</xdr:col>
      <xdr:colOff>374650</xdr:colOff>
      <xdr:row>6</xdr:row>
      <xdr:rowOff>139700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6936DA2-D00A-42AD-92D8-9021CAC5FCD4}"/>
            </a:ext>
          </a:extLst>
        </xdr:cNvPr>
        <xdr:cNvSpPr txBox="1"/>
      </xdr:nvSpPr>
      <xdr:spPr>
        <a:xfrm>
          <a:off x="5854700" y="889000"/>
          <a:ext cx="244475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1200" cap="none" spc="0" normalizeH="0" baseline="0" noProof="0">
              <a:ln>
                <a:noFill/>
              </a:ln>
              <a:effectLst/>
              <a:uLnTx/>
              <a:uFillTx/>
              <a:latin typeface="Aptos Narrow"/>
              <a:ea typeface="+mn-ea"/>
              <a:cs typeface="+mn-cs"/>
            </a:rPr>
            <a:t>Member Metrics</a:t>
          </a:r>
        </a:p>
      </xdr:txBody>
    </xdr:sp>
    <xdr:clientData/>
  </xdr:twoCellAnchor>
  <xdr:twoCellAnchor>
    <xdr:from>
      <xdr:col>0</xdr:col>
      <xdr:colOff>63500</xdr:colOff>
      <xdr:row>23</xdr:row>
      <xdr:rowOff>57150</xdr:rowOff>
    </xdr:from>
    <xdr:to>
      <xdr:col>21</xdr:col>
      <xdr:colOff>336550</xdr:colOff>
      <xdr:row>26</xdr:row>
      <xdr:rowOff>44450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0ABF9D6-F148-45CF-9A10-F7D137659B82}"/>
            </a:ext>
          </a:extLst>
        </xdr:cNvPr>
        <xdr:cNvSpPr txBox="1"/>
      </xdr:nvSpPr>
      <xdr:spPr>
        <a:xfrm>
          <a:off x="63500" y="4292600"/>
          <a:ext cx="13074650" cy="539750"/>
        </a:xfrm>
        <a:prstGeom prst="rect">
          <a:avLst/>
        </a:prstGeom>
        <a:solidFill>
          <a:schemeClr val="accent2">
            <a:lumMod val="40000"/>
            <a:lumOff val="60000"/>
            <a:alpha val="92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>
          <a:outerShdw blurRad="50800" dist="50800" dir="5400000" algn="ctr" rotWithShape="0">
            <a:srgbClr val="000000">
              <a:alpha val="98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 Notes: Revenue data is recorded for the month that a membership term started. So, if membership payment was made in December 2023, but the membership term began in January 2024, the revenue is recorded for January 2024.</a:t>
          </a:r>
        </a:p>
      </xdr:txBody>
    </xdr:sp>
    <xdr:clientData/>
  </xdr:twoCellAnchor>
  <xdr:twoCellAnchor>
    <xdr:from>
      <xdr:col>9</xdr:col>
      <xdr:colOff>388056</xdr:colOff>
      <xdr:row>7</xdr:row>
      <xdr:rowOff>99483</xdr:rowOff>
    </xdr:from>
    <xdr:to>
      <xdr:col>13</xdr:col>
      <xdr:colOff>388056</xdr:colOff>
      <xdr:row>9</xdr:row>
      <xdr:rowOff>86783</xdr:rowOff>
    </xdr:to>
    <xdr:sp macro="" textlink="'Org Revenues'!M4">
      <xdr:nvSpPr>
        <xdr:cNvPr id="20" name="TextBox 19">
          <a:extLst>
            <a:ext uri="{FF2B5EF4-FFF2-40B4-BE49-F238E27FC236}">
              <a16:creationId xmlns:a16="http://schemas.microsoft.com/office/drawing/2014/main" id="{8C484619-4721-C781-133A-784BBC019291}"/>
            </a:ext>
          </a:extLst>
        </xdr:cNvPr>
        <xdr:cNvSpPr txBox="1"/>
      </xdr:nvSpPr>
      <xdr:spPr>
        <a:xfrm>
          <a:off x="5849056" y="1383594"/>
          <a:ext cx="2427111" cy="3541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287ECB3-D962-4AAC-9648-36C846B99FB7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Benefactor: 7</a:t>
          </a:fld>
          <a:endParaRPr kumimoji="0" lang="en-US" sz="24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355600</xdr:colOff>
      <xdr:row>10</xdr:row>
      <xdr:rowOff>101600</xdr:rowOff>
    </xdr:from>
    <xdr:to>
      <xdr:col>13</xdr:col>
      <xdr:colOff>374650</xdr:colOff>
      <xdr:row>12</xdr:row>
      <xdr:rowOff>88900</xdr:rowOff>
    </xdr:to>
    <xdr:sp macro="" textlink="'Org Revenues'!M5">
      <xdr:nvSpPr>
        <xdr:cNvPr id="21" name="TextBox 20">
          <a:extLst>
            <a:ext uri="{FF2B5EF4-FFF2-40B4-BE49-F238E27FC236}">
              <a16:creationId xmlns:a16="http://schemas.microsoft.com/office/drawing/2014/main" id="{59900078-21F3-5072-1205-A298749C5428}"/>
            </a:ext>
          </a:extLst>
        </xdr:cNvPr>
        <xdr:cNvSpPr txBox="1"/>
      </xdr:nvSpPr>
      <xdr:spPr>
        <a:xfrm>
          <a:off x="5842000" y="1943100"/>
          <a:ext cx="245745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8379C83B-E2DD-4BB4-9E10-FF54ED0A0EE4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Gold: 17</a:t>
          </a:fld>
          <a:endParaRPr kumimoji="0" lang="en-US" sz="40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368300</xdr:colOff>
      <xdr:row>13</xdr:row>
      <xdr:rowOff>82550</xdr:rowOff>
    </xdr:from>
    <xdr:to>
      <xdr:col>13</xdr:col>
      <xdr:colOff>368300</xdr:colOff>
      <xdr:row>15</xdr:row>
      <xdr:rowOff>69850</xdr:rowOff>
    </xdr:to>
    <xdr:sp macro="" textlink="'Org Revenues'!M6">
      <xdr:nvSpPr>
        <xdr:cNvPr id="22" name="TextBox 21">
          <a:extLst>
            <a:ext uri="{FF2B5EF4-FFF2-40B4-BE49-F238E27FC236}">
              <a16:creationId xmlns:a16="http://schemas.microsoft.com/office/drawing/2014/main" id="{D54E3E48-22FB-3912-FCC7-94FEE159AFF6}"/>
            </a:ext>
          </a:extLst>
        </xdr:cNvPr>
        <xdr:cNvSpPr txBox="1"/>
      </xdr:nvSpPr>
      <xdr:spPr>
        <a:xfrm>
          <a:off x="5854700" y="2476500"/>
          <a:ext cx="243840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AC24A744-DAE8-47E3-8E6E-FC89BB2A39CD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Organization: 50</a:t>
          </a:fld>
          <a:endParaRPr kumimoji="0" lang="en-US" sz="40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381000</xdr:colOff>
      <xdr:row>16</xdr:row>
      <xdr:rowOff>63500</xdr:rowOff>
    </xdr:from>
    <xdr:to>
      <xdr:col>13</xdr:col>
      <xdr:colOff>393700</xdr:colOff>
      <xdr:row>18</xdr:row>
      <xdr:rowOff>50800</xdr:rowOff>
    </xdr:to>
    <xdr:sp macro="" textlink="'Ind Revenues'!C27">
      <xdr:nvSpPr>
        <xdr:cNvPr id="23" name="TextBox 22">
          <a:extLst>
            <a:ext uri="{FF2B5EF4-FFF2-40B4-BE49-F238E27FC236}">
              <a16:creationId xmlns:a16="http://schemas.microsoft.com/office/drawing/2014/main" id="{4BEF8E6B-6E12-2ABF-E83A-8EDE566267E2}"/>
            </a:ext>
          </a:extLst>
        </xdr:cNvPr>
        <xdr:cNvSpPr txBox="1"/>
      </xdr:nvSpPr>
      <xdr:spPr>
        <a:xfrm>
          <a:off x="5867400" y="3009900"/>
          <a:ext cx="245110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EBA25D14-8BF7-4A9C-A244-18231A1FEAF7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Individual: 29</a:t>
          </a:fld>
          <a:endParaRPr kumimoji="0" lang="en-US" sz="40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387350</xdr:colOff>
      <xdr:row>19</xdr:row>
      <xdr:rowOff>19050</xdr:rowOff>
    </xdr:from>
    <xdr:to>
      <xdr:col>13</xdr:col>
      <xdr:colOff>406400</xdr:colOff>
      <xdr:row>21</xdr:row>
      <xdr:rowOff>6350</xdr:rowOff>
    </xdr:to>
    <xdr:sp macro="" textlink="Affiliate!I3">
      <xdr:nvSpPr>
        <xdr:cNvPr id="24" name="TextBox 23">
          <a:extLst>
            <a:ext uri="{FF2B5EF4-FFF2-40B4-BE49-F238E27FC236}">
              <a16:creationId xmlns:a16="http://schemas.microsoft.com/office/drawing/2014/main" id="{D2479B9D-B8C3-C9AB-2349-8043DC807BCE}"/>
            </a:ext>
          </a:extLst>
        </xdr:cNvPr>
        <xdr:cNvSpPr txBox="1"/>
      </xdr:nvSpPr>
      <xdr:spPr>
        <a:xfrm>
          <a:off x="5848350" y="3504494"/>
          <a:ext cx="2446161" cy="3541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DC4494B2-E521-4B40-A542-45F34FAE5810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Affiliate: 13</a:t>
          </a:fld>
          <a:endParaRPr kumimoji="0" lang="en-US" sz="18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486833</xdr:colOff>
      <xdr:row>2</xdr:row>
      <xdr:rowOff>155222</xdr:rowOff>
    </xdr:from>
    <xdr:to>
      <xdr:col>21</xdr:col>
      <xdr:colOff>317500</xdr:colOff>
      <xdr:row>23</xdr:row>
      <xdr:rowOff>77611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6D762BD-5EB8-4A13-9E47-4FF5D858C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0.18978</cdr:x>
      <cdr:y>0.50532</cdr:y>
    </cdr:from>
    <cdr:to>
      <cdr:x>0.82573</cdr:x>
      <cdr:y>0.92178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14A61D-38E3-F046-D4BE-8161C52DCACC}"/>
            </a:ext>
          </a:extLst>
        </cdr:cNvPr>
        <cdr:cNvSpPr/>
      </cdr:nvSpPr>
      <cdr:spPr>
        <a:xfrm xmlns:a="http://schemas.openxmlformats.org/drawingml/2006/main">
          <a:off x="1179822" y="2173931"/>
          <a:ext cx="3953479" cy="179166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endParaRPr lang="en-US" sz="18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0.17642</cdr:x>
      <cdr:y>0.56416</cdr:y>
    </cdr:from>
    <cdr:to>
      <cdr:x>0.84724</cdr:x>
      <cdr:y>0.95803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5C95D7-E46D-BA5A-0821-2A772CF4F43B}"/>
            </a:ext>
          </a:extLst>
        </cdr:cNvPr>
        <cdr:cNvSpPr txBox="1"/>
      </cdr:nvSpPr>
      <cdr:spPr>
        <a:xfrm xmlns:a="http://schemas.openxmlformats.org/drawingml/2006/main">
          <a:off x="1349376" y="2219326"/>
          <a:ext cx="5130800" cy="154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0.35224</cdr:x>
      <cdr:y>0.66937</cdr:y>
    </cdr:from>
    <cdr:to>
      <cdr:x>0.65228</cdr:x>
      <cdr:y>0.7786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D55A8DE-4365-4992-8880-DBF6AA87D667}"/>
            </a:ext>
          </a:extLst>
        </cdr:cNvPr>
        <cdr:cNvSpPr txBox="1"/>
      </cdr:nvSpPr>
      <cdr:spPr>
        <a:xfrm xmlns:a="http://schemas.openxmlformats.org/drawingml/2006/main">
          <a:off x="2720976" y="2879726"/>
          <a:ext cx="2317750" cy="46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0.44839</cdr:x>
      <cdr:y>0.03525</cdr:y>
    </cdr:from>
    <cdr:to>
      <cdr:x>0.91435</cdr:x>
      <cdr:y>0.14401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A30B388-4915-9147-9851-E075ECF6067A}"/>
            </a:ext>
          </a:extLst>
        </cdr:cNvPr>
        <cdr:cNvSpPr txBox="1"/>
      </cdr:nvSpPr>
      <cdr:spPr>
        <a:xfrm xmlns:a="http://schemas.openxmlformats.org/drawingml/2006/main">
          <a:off x="3324226" y="111126"/>
          <a:ext cx="34544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0.52291</cdr:x>
      <cdr:y>0.06949</cdr:y>
    </cdr:from>
    <cdr:to>
      <cdr:x>0.91006</cdr:x>
      <cdr:y>0.16214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72FE7FE-49E6-21D1-1471-86AE87360600}"/>
            </a:ext>
          </a:extLst>
        </cdr:cNvPr>
        <cdr:cNvSpPr txBox="1"/>
      </cdr:nvSpPr>
      <cdr:spPr>
        <a:xfrm xmlns:a="http://schemas.openxmlformats.org/drawingml/2006/main">
          <a:off x="3876676" y="219076"/>
          <a:ext cx="2870200" cy="292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0.57909</cdr:x>
      <cdr:y>0.15143</cdr:y>
    </cdr:from>
    <cdr:to>
      <cdr:x>0.97249</cdr:x>
      <cdr:y>0.26019</cdr:y>
    </cdr:to>
    <cdr:sp macro="" textlink="'Revenue Breakdown'!$L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8172BE3-6EE2-6C4E-6726-FEDDCC480306}"/>
            </a:ext>
          </a:extLst>
        </cdr:cNvPr>
        <cdr:cNvSpPr txBox="1"/>
      </cdr:nvSpPr>
      <cdr:spPr>
        <a:xfrm xmlns:a="http://schemas.openxmlformats.org/drawingml/2006/main">
          <a:off x="2806537" y="502906"/>
          <a:ext cx="1906574" cy="361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CAC85212-FF98-4A84-B0C4-7A3861F5CCC1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Grand Total $674,137</a:t>
          </a:fld>
          <a:endParaRPr lang="en-US" sz="14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218722</xdr:colOff>
      <xdr:row>8</xdr:row>
      <xdr:rowOff>77610</xdr:rowOff>
    </xdr:from>
    <xdr:to>
      <xdr:col>9</xdr:col>
      <xdr:colOff>1029405</xdr:colOff>
      <xdr:row>26</xdr:row>
      <xdr:rowOff>96659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A8A50D-5E4B-EC7E-909D-065EA63CF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853722</xdr:colOff>
      <xdr:row>28</xdr:row>
      <xdr:rowOff>168274</xdr:rowOff>
    </xdr:from>
    <xdr:to>
      <xdr:col>12</xdr:col>
      <xdr:colOff>22578</xdr:colOff>
      <xdr:row>46</xdr:row>
      <xdr:rowOff>84667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B2E625-6BFD-8152-E127-FA89ABE67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952500</xdr:colOff>
      <xdr:row>55</xdr:row>
      <xdr:rowOff>31750</xdr:rowOff>
    </xdr:from>
    <xdr:to>
      <xdr:col>9</xdr:col>
      <xdr:colOff>787400</xdr:colOff>
      <xdr:row>57</xdr:row>
      <xdr:rowOff>19050</xdr:rowOff>
    </xdr:to>
    <xdr:sp macro="" textlink="$C$12">
      <xdr:nvSpPr>
        <xdr:cNvPr id="6" name="TextBox 5">
          <a:extLst>
            <a:ext uri="{FF2B5EF4-FFF2-40B4-BE49-F238E27FC236}">
              <a16:creationId xmlns:a16="http://schemas.microsoft.com/office/drawing/2014/main" id="{8D11EF5C-1E04-D5DE-1538-58ED043E91A9}"/>
            </a:ext>
          </a:extLst>
        </xdr:cNvPr>
        <xdr:cNvSpPr txBox="1"/>
      </xdr:nvSpPr>
      <xdr:spPr>
        <a:xfrm>
          <a:off x="9296400" y="8318500"/>
          <a:ext cx="2190750" cy="35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BE693DA-C8B5-48AF-9143-8A87AFBACF34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 algn="ctr"/>
            <a:t>Goal:  $2,847,751</a:t>
          </a:fld>
          <a:endParaRPr lang="en-US" sz="1400" kern="1200"/>
        </a:p>
      </xdr:txBody>
    </xdr:sp>
    <xdr:clientData/>
  </xdr:twoCellAnchor>
  <xdr:twoCellAnchor>
    <xdr:from>
      <xdr:col>7</xdr:col>
      <xdr:colOff>50800</xdr:colOff>
      <xdr:row>53</xdr:row>
      <xdr:rowOff>6350</xdr:rowOff>
    </xdr:from>
    <xdr:to>
      <xdr:col>9</xdr:col>
      <xdr:colOff>615950</xdr:colOff>
      <xdr:row>54</xdr:row>
      <xdr:rowOff>114300</xdr:rowOff>
    </xdr:to>
    <xdr:sp macro="" textlink="$B$44">
      <xdr:nvSpPr>
        <xdr:cNvPr id="7" name="TextBox 6">
          <a:extLst>
            <a:ext uri="{FF2B5EF4-FFF2-40B4-BE49-F238E27FC236}">
              <a16:creationId xmlns:a16="http://schemas.microsoft.com/office/drawing/2014/main" id="{973F9DA9-E326-2350-A6F7-8882220DFD28}"/>
            </a:ext>
          </a:extLst>
        </xdr:cNvPr>
        <xdr:cNvSpPr txBox="1"/>
      </xdr:nvSpPr>
      <xdr:spPr>
        <a:xfrm>
          <a:off x="9531350" y="7924800"/>
          <a:ext cx="17843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9CE8D6E-A750-4000-9BFA-79CF2116596F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Current: $674,137, 24%</a:t>
          </a:fld>
          <a:endParaRPr lang="en-US" sz="1400" kern="1200"/>
        </a:p>
      </xdr:txBody>
    </xdr:sp>
    <xdr:clientData/>
  </xdr:twoCellAnchor>
  <xdr:twoCellAnchor>
    <xdr:from>
      <xdr:col>0</xdr:col>
      <xdr:colOff>2455333</xdr:colOff>
      <xdr:row>47</xdr:row>
      <xdr:rowOff>112889</xdr:rowOff>
    </xdr:from>
    <xdr:to>
      <xdr:col>6</xdr:col>
      <xdr:colOff>620888</xdr:colOff>
      <xdr:row>67</xdr:row>
      <xdr:rowOff>141109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D93695-14C1-D2C5-6A57-ECCBB7272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0.44839</cdr:x>
      <cdr:y>0.03525</cdr:y>
    </cdr:from>
    <cdr:to>
      <cdr:x>0.91435</cdr:x>
      <cdr:y>0.14401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A30B388-4915-9147-9851-E075ECF6067A}"/>
            </a:ext>
          </a:extLst>
        </cdr:cNvPr>
        <cdr:cNvSpPr txBox="1"/>
      </cdr:nvSpPr>
      <cdr:spPr>
        <a:xfrm xmlns:a="http://schemas.openxmlformats.org/drawingml/2006/main">
          <a:off x="3324226" y="111126"/>
          <a:ext cx="34544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0.52291</cdr:x>
      <cdr:y>0.06949</cdr:y>
    </cdr:from>
    <cdr:to>
      <cdr:x>0.91006</cdr:x>
      <cdr:y>0.16214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72FE7FE-49E6-21D1-1471-86AE87360600}"/>
            </a:ext>
          </a:extLst>
        </cdr:cNvPr>
        <cdr:cNvSpPr txBox="1"/>
      </cdr:nvSpPr>
      <cdr:spPr>
        <a:xfrm xmlns:a="http://schemas.openxmlformats.org/drawingml/2006/main">
          <a:off x="3876676" y="219076"/>
          <a:ext cx="2870200" cy="292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0.57909</cdr:x>
      <cdr:y>0.15143</cdr:y>
    </cdr:from>
    <cdr:to>
      <cdr:x>0.97249</cdr:x>
      <cdr:y>0.26019</cdr:y>
    </cdr:to>
    <cdr:sp macro="" textlink="'Revenue Breakdown'!$L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8172BE3-6EE2-6C4E-6726-FEDDCC480306}"/>
            </a:ext>
          </a:extLst>
        </cdr:cNvPr>
        <cdr:cNvSpPr txBox="1"/>
      </cdr:nvSpPr>
      <cdr:spPr>
        <a:xfrm xmlns:a="http://schemas.openxmlformats.org/drawingml/2006/main">
          <a:off x="2806537" y="502906"/>
          <a:ext cx="1906574" cy="361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CAC85212-FF98-4A84-B0C4-7A3861F5CCC1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Grand Total $674,137</a:t>
          </a:fld>
          <a:endParaRPr lang="en-US" sz="14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0.17642</cdr:x>
      <cdr:y>0.56416</cdr:y>
    </cdr:from>
    <cdr:to>
      <cdr:x>0.84724</cdr:x>
      <cdr:y>0.95803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5C95D7-E46D-BA5A-0821-2A772CF4F43B}"/>
            </a:ext>
          </a:extLst>
        </cdr:cNvPr>
        <cdr:cNvSpPr txBox="1"/>
      </cdr:nvSpPr>
      <cdr:spPr>
        <a:xfrm xmlns:a="http://schemas.openxmlformats.org/drawingml/2006/main">
          <a:off x="1349376" y="2219326"/>
          <a:ext cx="5130800" cy="154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0.19469</cdr:x>
      <cdr:y>0.54157</cdr:y>
    </cdr:from>
    <cdr:to>
      <cdr:x>0.83064</cdr:x>
      <cdr:y>0.95803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14A61D-38E3-F046-D4BE-8161C52DCACC}"/>
            </a:ext>
          </a:extLst>
        </cdr:cNvPr>
        <cdr:cNvSpPr/>
      </cdr:nvSpPr>
      <cdr:spPr>
        <a:xfrm xmlns:a="http://schemas.openxmlformats.org/drawingml/2006/main">
          <a:off x="1489076" y="2130426"/>
          <a:ext cx="4864100" cy="163830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endParaRPr lang="en-US" sz="18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0.35224</cdr:x>
      <cdr:y>0.66937</cdr:y>
    </cdr:from>
    <cdr:to>
      <cdr:x>0.65228</cdr:x>
      <cdr:y>0.7786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D55A8DE-4365-4992-8880-DBF6AA87D667}"/>
            </a:ext>
          </a:extLst>
        </cdr:cNvPr>
        <cdr:cNvSpPr txBox="1"/>
      </cdr:nvSpPr>
      <cdr:spPr>
        <a:xfrm xmlns:a="http://schemas.openxmlformats.org/drawingml/2006/main">
          <a:off x="2720976" y="2879726"/>
          <a:ext cx="2317750" cy="46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3</xdr:row>
      <xdr:rowOff>3175</xdr:rowOff>
    </xdr:from>
    <xdr:to>
      <xdr:col>9</xdr:col>
      <xdr:colOff>127000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4426D8-4881-EBBA-2AC9-8F0CF87CA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7</xdr:row>
      <xdr:rowOff>15874</xdr:rowOff>
    </xdr:from>
    <xdr:to>
      <xdr:col>19</xdr:col>
      <xdr:colOff>457200</xdr:colOff>
      <xdr:row>24</xdr:row>
      <xdr:rowOff>31749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70049-FD24-91A6-174A-DCE6CCB6B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25400</xdr:colOff>
      <xdr:row>7</xdr:row>
      <xdr:rowOff>152400</xdr:rowOff>
    </xdr:from>
    <xdr:to>
      <xdr:col>16</xdr:col>
      <xdr:colOff>368300</xdr:colOff>
      <xdr:row>9</xdr:row>
      <xdr:rowOff>57150</xdr:rowOff>
    </xdr:to>
    <xdr:sp macro="" textlink="$C$17">
      <xdr:nvSpPr>
        <xdr:cNvPr id="3" name="TextBox 2">
          <a:extLst>
            <a:ext uri="{FF2B5EF4-FFF2-40B4-BE49-F238E27FC236}">
              <a16:creationId xmlns:a16="http://schemas.microsoft.com/office/drawing/2014/main" id="{3A29942F-CE62-9979-97DE-203946C6F9E0}"/>
            </a:ext>
          </a:extLst>
        </xdr:cNvPr>
        <xdr:cNvSpPr txBox="1"/>
      </xdr:nvSpPr>
      <xdr:spPr>
        <a:xfrm>
          <a:off x="8985250" y="1441450"/>
          <a:ext cx="15621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25363D6-27A8-4F3E-B5E2-C756082F7C64}" type="TxLink">
            <a:rPr lang="en-US" sz="1100" b="0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/>
            <a:t>Grand Total: $20,425</a:t>
          </a:fld>
          <a:endParaRPr lang="en-US" sz="1100" kern="12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609600</xdr:colOff>
      <xdr:row>15</xdr:row>
      <xdr:rowOff>22225</xdr:rowOff>
    </xdr:from>
    <xdr:to>
      <xdr:col>17</xdr:col>
      <xdr:colOff>107950</xdr:colOff>
      <xdr:row>30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BE09E5-DF88-8D11-B678-BC9CEB6B6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443279</xdr:colOff>
      <xdr:row>2</xdr:row>
      <xdr:rowOff>96837</xdr:rowOff>
    </xdr:from>
    <xdr:to>
      <xdr:col>13</xdr:col>
      <xdr:colOff>63501</xdr:colOff>
      <xdr:row>17</xdr:row>
      <xdr:rowOff>92441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6A4D4A-1A88-EB9A-BF84-730A7B633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55.447214699074" createdVersion="8" refreshedVersion="8" minRefreshableVersion="3" recordCount="20" xr:uid="{619B6AF4-40B3-4ADD-B0CD-1A3A6410ACAF}">
  <cacheSource type="worksheet">
    <worksheetSource ref="A1:B21" sheet="draft_mem_goal_work"/>
  </cacheSource>
  <cacheFields count="2">
    <cacheField name="pct" numFmtId="9">
      <sharedItems containsSemiMixedTypes="0" containsString="0" containsNumber="1" minValue="0.1" maxValue="2" count="20">
        <n v="0.1"/>
        <n v="0.2"/>
        <n v="0.3"/>
        <n v="0.4"/>
        <n v="0.5"/>
        <n v="0.6"/>
        <n v="0.7"/>
        <n v="0.8"/>
        <n v="0.9"/>
        <n v="1"/>
        <n v="1.1000000000000001"/>
        <n v="1.2"/>
        <n v="1.3"/>
        <n v="1.4"/>
        <n v="1.5"/>
        <n v="1.6"/>
        <n v="1.7"/>
        <n v="1.8"/>
        <n v="1.9"/>
        <n v="2"/>
      </sharedItems>
    </cacheField>
    <cacheField name="total" numFmtId="0">
      <sharedItems containsSemiMixedTypes="0" containsString="0" containsNumber="1" minValue="0" maxValue="281453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55.44787384259" createdVersion="8" refreshedVersion="8" minRefreshableVersion="3" recordCount="3" xr:uid="{18BA5DB4-C019-4CEE-9D98-AE783960781B}">
  <cacheSource type="worksheet">
    <worksheetSource name="Table10"/>
  </cacheSource>
  <cacheFields count="2">
    <cacheField name="Membership Class" numFmtId="0">
      <sharedItems count="3">
        <s v="Affiliate Memberships"/>
        <s v="Individual Memberships"/>
        <s v="Organizational Memberships"/>
      </sharedItems>
    </cacheField>
    <cacheField name="2026 Dues Total" numFmtId="0">
      <sharedItems containsSemiMixedTypes="0" containsString="0" containsNumber="1" minValue="9300" maxValue="110573.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83.380696296299" createdVersion="8" refreshedVersion="8" minRefreshableVersion="3" recordCount="64" xr:uid="{6531C421-DFCF-4ADD-A59F-D7283A494ABE}">
  <cacheSource type="worksheet">
    <worksheetSource name="Yrs_of_Membership"/>
  </cacheSource>
  <cacheFields count="11">
    <cacheField name="Account Name" numFmtId="0">
      <sharedItems containsBlank="1"/>
    </cacheField>
    <cacheField name="Total" numFmtId="0">
      <sharedItems containsString="0" containsBlank="1" containsNumber="1" minValue="100" maxValue="38100"/>
    </cacheField>
    <cacheField name="Posted Date" numFmtId="14">
      <sharedItems containsNonDate="0" containsDate="1" containsString="0" containsBlank="1" minDate="2026-01-05T00:00:00" maxDate="2026-02-28T00:00:00"/>
    </cacheField>
    <cacheField name="Receipt Number" numFmtId="0">
      <sharedItems containsString="0" containsBlank="1" containsNumber="1" containsInteger="1" minValue="18359" maxValue="19083"/>
    </cacheField>
    <cacheField name="Receipt Line ID" numFmtId="0">
      <sharedItems containsString="0" containsBlank="1" containsNumber="1" containsInteger="1" minValue="44215" maxValue="45165"/>
    </cacheField>
    <cacheField name="Member Since" numFmtId="14">
      <sharedItems containsNonDate="0" containsDate="1" containsString="0" containsBlank="1" minDate="1996-01-01T00:00:00" maxDate="2026-01-02T00:00:00"/>
    </cacheField>
    <cacheField name="Account Category" numFmtId="0">
      <sharedItems containsBlank="1"/>
    </cacheField>
    <cacheField name="Billing Country" numFmtId="0">
      <sharedItems containsBlank="1"/>
    </cacheField>
    <cacheField name="Item Name" numFmtId="0">
      <sharedItems containsBlank="1"/>
    </cacheField>
    <cacheField name="Paid_Month" numFmtId="0">
      <sharedItems containsString="0" containsBlank="1" containsNumber="1" containsInteger="1" minValue="1" maxValue="2"/>
    </cacheField>
    <cacheField name="Years Member" numFmtId="0">
      <sharedItems containsBlank="1" count="6">
        <m/>
        <s v="1 Year"/>
        <s v="Over 15 Years"/>
        <s v="2 to 5 Years"/>
        <s v="6 to 10 Years"/>
        <s v="11 to 15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113.400732175927" createdVersion="8" refreshedVersion="8" minRefreshableVersion="3" recordCount="120" xr:uid="{01C1A90D-F825-4B54-A04C-37AA8FD92959}">
  <cacheSource type="worksheet">
    <worksheetSource name="Accounts_with_Mem_and_Receipts"/>
  </cacheSource>
  <cacheFields count="12">
    <cacheField name="Account Name" numFmtId="0">
      <sharedItems containsBlank="1" count="118">
        <m/>
        <s v="ARUP Laboratories, Inc."/>
        <s v="Acre Security"/>
        <s v="American Dental Association"/>
        <s v="American Medical Association"/>
        <s v="Apelon, Inc."/>
        <s v="Beata Piehl Household"/>
        <s v="Becton Dickinson"/>
        <s v="Bellese Technologies"/>
        <s v="Benedictine Health System"/>
        <s v="Blue Cross Blue Shield Association"/>
        <s v="Brandon Noffsinger Household"/>
        <s v="CAL2CAL Corporation"/>
        <s v="CSIRO"/>
        <s v="Children's Hospital of Philadelphia"/>
        <s v="Clinicomp, Intl"/>
        <s v="College of American Pathologists"/>
        <s v="Confidential Information - Do Not Distribute"/>
        <s v="Copyright © 2000-2026 salesforce.com, inc. All rights reserved."/>
        <s v="CyncHealth"/>
        <s v="DUANE VEACH Household"/>
        <s v="Daniel Ries Household"/>
        <s v="Dataware Sdn Bhd"/>
        <s v="Dennis Loucks Household"/>
        <s v="Donald Kurtz Household"/>
        <s v="Duteau Design Inc"/>
        <s v="Eli Streitmatter Household"/>
        <s v="Epic"/>
        <s v="Federal Electronic Health Record Modernization Office"/>
        <s v="Firely USA"/>
        <s v="First Databank"/>
        <s v="Flatiron Health"/>
        <s v="Fresenius Vial"/>
        <s v="Glen Rigby Household"/>
        <s v="Global Alliant Inc"/>
        <s v="HIMSS"/>
        <s v="HL7 Austria"/>
        <s v="HL7 Brazil"/>
        <s v="HL7 Canada"/>
        <s v="HL7 China"/>
        <s v="HL7 Croatia"/>
        <s v="HL7 Czech Republic"/>
        <s v="HL7 Ecuador"/>
        <s v="HL7 Hong Kong"/>
        <s v="HL7 Netherlands"/>
        <s v="HL7 Norway"/>
        <s v="HL7 Slovakia"/>
        <s v="HL7 Taiwan"/>
        <s v="HL7 UK"/>
        <s v="Health and Welfare Information Systems Centre"/>
        <s v="Helios Software"/>
        <s v="Hung Vo Household"/>
        <s v="ICCBBA, Inc."/>
        <s v="ICF"/>
        <s v="Indian Health Service"/>
        <s v="InterSystems"/>
        <s v="Intrepid Ascent"/>
        <s v="John Moehrke Household"/>
        <s v="Johns Hopkins Hospital"/>
        <s v="Jonathan Whitby Household"/>
        <s v="Ken McCaslin Household"/>
        <s v="KlearTrust"/>
        <s v="Lisa Nelson Household"/>
        <s v="MEDENT"/>
        <s v="Marc Albers Household"/>
        <s v="Mark Marciante Household"/>
        <s v="Massachusetts Health Data Consortium"/>
        <s v="MedicaSoft"/>
        <s v="Mediclinic Southern Africa"/>
        <s v="MyDirectives"/>
        <s v="NCQA"/>
        <s v="NYC Department of Health and Mental Hygiene"/>
        <s v="National Association of Dental Plans"/>
        <s v="Nava"/>
        <s v="New Fields Technologies LLC"/>
        <s v="Northwestern Medicine"/>
        <s v="Office of the National Coordinator for Health IT"/>
        <s v="Onyx Technology LLC"/>
        <s v="Patient Centric Solutions"/>
        <s v="Premier Healthcare Alliance"/>
        <s v="Professional Laboratory Management, Inc."/>
        <s v="Ready Computing LLC"/>
        <s v="Reed Technology and Information Services Inc."/>
        <s v="Regenstrief Institute, Inc."/>
        <s v="RevDoc, LLC"/>
        <s v="Robert Campbell Household"/>
        <s v="Roche Diagnostics International Ltd."/>
        <s v="Ryan Lee Household"/>
        <s v="Ryan Weihler Household"/>
        <s v="SLI Compliance"/>
        <s v="Sam Schifman Household"/>
        <s v="SandwYch, Inc."/>
        <s v="Sandy Vance Household"/>
        <s v="Srinivasan Parthasarathy Household"/>
        <s v="Stan Rankins Household"/>
        <s v="Stedi"/>
        <s v="Surescripts"/>
        <s v="Tennessee Department of Health"/>
        <s v="Tetra Fields LLC"/>
        <s v="Toshiaki Kato Household"/>
        <s v="UHIN"/>
        <s v="UNC School of Medicine"/>
        <s v="USAging"/>
        <s v="USC/CHLA"/>
        <s v="Univ of TX Health Science Center San Antonio"/>
        <s v="University of Nebraska Medical Center"/>
        <s v="University of Utah Health Care"/>
        <s v="Virginia Department of Health"/>
        <s v="Vrushang Patel Household"/>
        <s v="WPS Health Solutions"/>
        <s v="WaveOne Associates Inc."/>
        <s v="West Virginia Departments of Human Services, Health and Health Facilities"/>
        <s v="Westat"/>
        <s v="Yan Heras Household"/>
        <s v="Yardi Systems, Inc."/>
        <s v="Zus Health"/>
        <s v="innoVet Health, LLC"/>
        <s v="tuuthfairy, Inc."/>
      </sharedItems>
    </cacheField>
    <cacheField name="Total" numFmtId="0">
      <sharedItems containsString="0" containsBlank="1" containsNumber="1" minValue="75" maxValue="40000"/>
    </cacheField>
    <cacheField name="Posted Date" numFmtId="14">
      <sharedItems containsNonDate="0" containsDate="1" containsString="0" containsBlank="1" minDate="2026-01-05T00:00:00" maxDate="2026-04-01T00:00:00" count="54">
        <m/>
        <d v="2026-03-30T00:00:00"/>
        <d v="2026-02-13T00:00:00"/>
        <d v="2026-02-19T00:00:00"/>
        <d v="2026-03-04T00:00:00"/>
        <d v="2026-01-13T00:00:00"/>
        <d v="2026-01-11T00:00:00"/>
        <d v="2026-01-05T00:00:00"/>
        <d v="2026-03-25T00:00:00"/>
        <d v="2026-02-11T00:00:00"/>
        <d v="2026-03-26T00:00:00"/>
        <d v="2026-02-09T00:00:00"/>
        <d v="2026-01-12T00:00:00"/>
        <d v="2026-02-20T00:00:00"/>
        <d v="2026-03-27T00:00:00"/>
        <d v="2026-01-20T00:00:00"/>
        <d v="2026-02-06T00:00:00"/>
        <d v="2026-03-23T00:00:00"/>
        <d v="2026-02-16T00:00:00"/>
        <d v="2026-01-31T00:00:00"/>
        <d v="2026-01-30T00:00:00"/>
        <d v="2026-03-02T00:00:00"/>
        <d v="2026-03-18T00:00:00"/>
        <d v="2026-01-26T00:00:00"/>
        <d v="2026-03-09T00:00:00"/>
        <d v="2026-01-08T00:00:00"/>
        <d v="2026-01-21T00:00:00"/>
        <d v="2026-02-02T00:00:00"/>
        <d v="2026-02-27T00:00:00"/>
        <d v="2026-03-11T00:00:00"/>
        <d v="2026-03-03T00:00:00"/>
        <d v="2026-03-31T00:00:00"/>
        <d v="2026-03-24T00:00:00"/>
        <d v="2026-03-10T00:00:00"/>
        <d v="2026-02-26T00:00:00"/>
        <d v="2026-02-17T00:00:00"/>
        <d v="2026-03-17T00:00:00"/>
        <d v="2026-03-16T00:00:00"/>
        <d v="2026-03-13T00:00:00"/>
        <d v="2026-01-15T00:00:00"/>
        <d v="2026-01-06T00:00:00"/>
        <d v="2026-01-29T00:00:00"/>
        <d v="2026-03-06T00:00:00"/>
        <d v="2026-03-20T00:00:00"/>
        <d v="2026-01-22T00:00:00"/>
        <d v="2026-01-23T00:00:00"/>
        <d v="2026-01-09T00:00:00"/>
        <d v="2026-02-18T00:00:00"/>
        <d v="2026-03-21T00:00:00"/>
        <d v="2026-01-07T00:00:00"/>
        <d v="2026-02-03T00:00:00"/>
        <d v="2026-01-16T00:00:00"/>
        <d v="2026-01-28T00:00:00"/>
        <d v="2026-03-19T00:00:00"/>
      </sharedItems>
      <fieldGroup par="11"/>
    </cacheField>
    <cacheField name="Receipt Number" numFmtId="0">
      <sharedItems containsString="0" containsBlank="1" containsNumber="1" containsInteger="1" minValue="18359" maxValue="19509"/>
    </cacheField>
    <cacheField name="Receipt Line ID" numFmtId="0">
      <sharedItems containsString="0" containsBlank="1" containsNumber="1" containsInteger="1" minValue="44215" maxValue="45910"/>
    </cacheField>
    <cacheField name="Member Since" numFmtId="14">
      <sharedItems containsNonDate="0" containsDate="1" containsString="0" containsBlank="1" minDate="1996-03-01T00:00:00" maxDate="2026-03-27T00:00:00"/>
    </cacheField>
    <cacheField name="Account Category" numFmtId="0">
      <sharedItems containsBlank="1"/>
    </cacheField>
    <cacheField name="Billing Country" numFmtId="0">
      <sharedItems containsBlank="1"/>
    </cacheField>
    <cacheField name="Item Name" numFmtId="0">
      <sharedItems containsBlank="1" count="8">
        <m/>
        <s v="Organizational Membership"/>
        <s v="Gold Membership"/>
        <s v="Benefactor Membership"/>
        <s v="Individual Membership"/>
        <s v="Retiree Membership"/>
        <s v="Affiliate Membership"/>
        <s v="Student Membership"/>
      </sharedItems>
    </cacheField>
    <cacheField name="Paid_Month" numFmtId="0">
      <sharedItems containsString="0" containsBlank="1" containsNumber="1" containsInteger="1" minValue="1" maxValue="3"/>
    </cacheField>
    <cacheField name="Days (Posted Date)" numFmtId="0" databaseField="0">
      <fieldGroup base="2">
        <rangePr groupBy="days" startDate="2026-01-05T00:00:00" endDate="2026-04-01T00:00:00"/>
        <groupItems count="368">
          <s v="&lt;1/5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/2026"/>
        </groupItems>
      </fieldGroup>
    </cacheField>
    <cacheField name="Months (Posted Date)" numFmtId="0" databaseField="0">
      <fieldGroup base="2">
        <rangePr groupBy="months" startDate="2026-01-05T00:00:00" endDate="2026-04-01T00:00:00"/>
        <groupItems count="14">
          <s v="&lt;1/5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113.401028472224" createdVersion="8" refreshedVersion="8" minRefreshableVersion="3" recordCount="29" xr:uid="{C8EFC42E-61DF-4935-964B-0132AE937AF3}">
  <cacheSource type="worksheet">
    <worksheetSource name="Individual"/>
  </cacheSource>
  <cacheFields count="10">
    <cacheField name="Account Name" numFmtId="0">
      <sharedItems/>
    </cacheField>
    <cacheField name="Total" numFmtId="0">
      <sharedItems containsSemiMixedTypes="0" containsString="0" containsNumber="1" containsInteger="1" minValue="75" maxValue="775"/>
    </cacheField>
    <cacheField name="Posted Date" numFmtId="14">
      <sharedItems containsSemiMixedTypes="0" containsNonDate="0" containsDate="1" containsString="0" minDate="2026-01-05T00:00:00" maxDate="2026-03-31T00:00:00"/>
    </cacheField>
    <cacheField name="Receipt Number" numFmtId="0">
      <sharedItems containsSemiMixedTypes="0" containsString="0" containsNumber="1" containsInteger="1" minValue="18371" maxValue="19470"/>
    </cacheField>
    <cacheField name="Receipt Line ID" numFmtId="0">
      <sharedItems containsSemiMixedTypes="0" containsString="0" containsNumber="1" containsInteger="1" minValue="44227" maxValue="45856"/>
    </cacheField>
    <cacheField name="Member Since" numFmtId="14">
      <sharedItems containsSemiMixedTypes="0" containsNonDate="0" containsDate="1" containsString="0" minDate="1996-08-15T00:00:00" maxDate="2026-03-27T00:00:00"/>
    </cacheField>
    <cacheField name="Account Category" numFmtId="0">
      <sharedItems/>
    </cacheField>
    <cacheField name="Billing Country" numFmtId="0">
      <sharedItems/>
    </cacheField>
    <cacheField name="Item Name" numFmtId="0">
      <sharedItems count="3">
        <s v="Individual Membership"/>
        <s v="Retiree Membership"/>
        <s v="Student Membership"/>
      </sharedItems>
    </cacheField>
    <cacheField name="Paid_Month" numFmtId="0">
      <sharedItems containsSemiMixedTypes="0" containsString="0" containsNumber="1" containsInteger="1" minValue="1" maxValue="12" count="12">
        <n v="1"/>
        <n v="3"/>
        <n v="2"/>
        <n v="8" u="1"/>
        <n v="9" u="1"/>
        <n v="7" u="1"/>
        <n v="11" u="1"/>
        <n v="6" u="1"/>
        <n v="12" u="1"/>
        <n v="10" u="1"/>
        <n v="4" u="1"/>
        <n v="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 Laakso" refreshedDate="46113.401344907405" backgroundQuery="1" createdVersion="8" refreshedVersion="8" minRefreshableVersion="3" recordCount="0" supportSubquery="1" supportAdvancedDrill="1" xr:uid="{6934E0F6-796E-4171-AB11-8F75B59856AC}">
  <cacheSource type="external" connectionId="5"/>
  <cacheFields count="2">
    <cacheField name="[Processed].[Paid_Month].[Paid_Month]" caption="Paid_Month" numFmtId="0" hierarchy="19" level="1">
      <sharedItems containsSemiMixedTypes="0" containsString="0" containsNumber="1" containsInteger="1" minValue="1" maxValue="3" count="3"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Processed].[Paid_Month].&amp;[1]"/>
            <x15:cachedUniqueName index="1" name="[Processed].[Paid_Month].&amp;[2]"/>
            <x15:cachedUniqueName index="2" name="[Processed].[Paid_Month].&amp;[3]"/>
          </x15:cachedUniqueNames>
        </ext>
      </extLst>
    </cacheField>
    <cacheField name="[Measures].[Sum of Total]" caption="Sum of Total" numFmtId="0" hierarchy="23" level="32767"/>
  </cacheFields>
  <cacheHierarchies count="26">
    <cacheHierarchy uniqueName="[Accounts_with_Mem_and_Receipts].[Account Name]" caption="Account Name" attribute="1" defaultMemberUniqueName="[Accounts_with_Mem_and_Receipts].[Account Name].[All]" allUniqueName="[Accounts_with_Mem_and_Receipts].[Account Name].[All]" dimensionUniqueName="[Accounts_with_Mem_and_Receipts]" displayFolder="" count="0" memberValueDatatype="130" unbalanced="0"/>
    <cacheHierarchy uniqueName="[Accounts_with_Mem_and_Receipts].[Total]" caption="Total" attribute="1" defaultMemberUniqueName="[Accounts_with_Mem_and_Receipts].[Total].[All]" allUniqueName="[Accounts_with_Mem_and_Receipts].[Total].[All]" dimensionUniqueName="[Accounts_with_Mem_and_Receipts]" displayFolder="" count="0" memberValueDatatype="5" unbalanced="0"/>
    <cacheHierarchy uniqueName="[Accounts_with_Mem_and_Receipts].[Posted Date]" caption="Posted Date" attribute="1" time="1" defaultMemberUniqueName="[Accounts_with_Mem_and_Receipts].[Posted Date].[All]" allUniqueName="[Accounts_with_Mem_and_Receipts].[Posted Date].[All]" dimensionUniqueName="[Accounts_with_Mem_and_Receipts]" displayFolder="" count="0" memberValueDatatype="7" unbalanced="0"/>
    <cacheHierarchy uniqueName="[Accounts_with_Mem_and_Receipts].[Receipt Number]" caption="Receipt Number" attribute="1" defaultMemberUniqueName="[Accounts_with_Mem_and_Receipts].[Receipt Number].[All]" allUniqueName="[Accounts_with_Mem_and_Receipts].[Receipt Number].[All]" dimensionUniqueName="[Accounts_with_Mem_and_Receipts]" displayFolder="" count="0" memberValueDatatype="20" unbalanced="0"/>
    <cacheHierarchy uniqueName="[Accounts_with_Mem_and_Receipts].[Receipt Line ID]" caption="Receipt Line ID" attribute="1" defaultMemberUniqueName="[Accounts_with_Mem_and_Receipts].[Receipt Line ID].[All]" allUniqueName="[Accounts_with_Mem_and_Receipts].[Receipt Line ID].[All]" dimensionUniqueName="[Accounts_with_Mem_and_Receipts]" displayFolder="" count="0" memberValueDatatype="20" unbalanced="0"/>
    <cacheHierarchy uniqueName="[Accounts_with_Mem_and_Receipts].[Member Since]" caption="Member Since" attribute="1" time="1" defaultMemberUniqueName="[Accounts_with_Mem_and_Receipts].[Member Since].[All]" allUniqueName="[Accounts_with_Mem_and_Receipts].[Member Since].[All]" dimensionUniqueName="[Accounts_with_Mem_and_Receipts]" displayFolder="" count="0" memberValueDatatype="7" unbalanced="0"/>
    <cacheHierarchy uniqueName="[Accounts_with_Mem_and_Receipts].[Account Category]" caption="Account Category" attribute="1" defaultMemberUniqueName="[Accounts_with_Mem_and_Receipts].[Account Category].[All]" allUniqueName="[Accounts_with_Mem_and_Receipts].[Account Category].[All]" dimensionUniqueName="[Accounts_with_Mem_and_Receipts]" displayFolder="" count="0" memberValueDatatype="130" unbalanced="0"/>
    <cacheHierarchy uniqueName="[Accounts_with_Mem_and_Receipts].[Billing Country]" caption="Billing Country" attribute="1" defaultMemberUniqueName="[Accounts_with_Mem_and_Receipts].[Billing Country].[All]" allUniqueName="[Accounts_with_Mem_and_Receipts].[Billing Country].[All]" dimensionUniqueName="[Accounts_with_Mem_and_Receipts]" displayFolder="" count="0" memberValueDatatype="130" unbalanced="0"/>
    <cacheHierarchy uniqueName="[Accounts_with_Mem_and_Receipts].[Item Name]" caption="Item Name" attribute="1" defaultMemberUniqueName="[Accounts_with_Mem_and_Receipts].[Item Name].[All]" allUniqueName="[Accounts_with_Mem_and_Receipts].[Item Name].[All]" dimensionUniqueName="[Accounts_with_Mem_and_Receipts]" displayFolder="" count="0" memberValueDatatype="130" unbalanced="0"/>
    <cacheHierarchy uniqueName="[Accounts_with_Mem_and_Receipts].[Paid_Month]" caption="Paid_Month" attribute="1" defaultMemberUniqueName="[Accounts_with_Mem_and_Receipts].[Paid_Month].[All]" allUniqueName="[Accounts_with_Mem_and_Receipts].[Paid_Month].[All]" dimensionUniqueName="[Accounts_with_Mem_and_Receipts]" displayFolder="" count="0" memberValueDatatype="20" unbalanced="0"/>
    <cacheHierarchy uniqueName="[Processed].[Account Name]" caption="Account Name" attribute="1" defaultMemberUniqueName="[Processed].[Account Name].[All]" allUniqueName="[Processed].[Account Name].[All]" dimensionUniqueName="[Processed]" displayFolder="" count="0" memberValueDatatype="130" unbalanced="0"/>
    <cacheHierarchy uniqueName="[Processed].[Total]" caption="Total" attribute="1" defaultMemberUniqueName="[Processed].[Total].[All]" allUniqueName="[Processed].[Total].[All]" dimensionUniqueName="[Processed]" displayFolder="" count="0" memberValueDatatype="5" unbalanced="0"/>
    <cacheHierarchy uniqueName="[Processed].[Posted Date]" caption="Posted Date" attribute="1" time="1" defaultMemberUniqueName="[Processed].[Posted Date].[All]" allUniqueName="[Processed].[Posted Date].[All]" dimensionUniqueName="[Processed]" displayFolder="" count="0" memberValueDatatype="7" unbalanced="0"/>
    <cacheHierarchy uniqueName="[Processed].[Receipt Number]" caption="Receipt Number" attribute="1" defaultMemberUniqueName="[Processed].[Receipt Number].[All]" allUniqueName="[Processed].[Receipt Number].[All]" dimensionUniqueName="[Processed]" displayFolder="" count="0" memberValueDatatype="20" unbalanced="0"/>
    <cacheHierarchy uniqueName="[Processed].[Receipt Line ID]" caption="Receipt Line ID" attribute="1" defaultMemberUniqueName="[Processed].[Receipt Line ID].[All]" allUniqueName="[Processed].[Receipt Line ID].[All]" dimensionUniqueName="[Processed]" displayFolder="" count="0" memberValueDatatype="20" unbalanced="0"/>
    <cacheHierarchy uniqueName="[Processed].[Member Since]" caption="Member Since" attribute="1" time="1" defaultMemberUniqueName="[Processed].[Member Since].[All]" allUniqueName="[Processed].[Member Since].[All]" dimensionUniqueName="[Processed]" displayFolder="" count="0" memberValueDatatype="7" unbalanced="0"/>
    <cacheHierarchy uniqueName="[Processed].[Account Category]" caption="Account Category" attribute="1" defaultMemberUniqueName="[Processed].[Account Category].[All]" allUniqueName="[Processed].[Account Category].[All]" dimensionUniqueName="[Processed]" displayFolder="" count="0" memberValueDatatype="130" unbalanced="0"/>
    <cacheHierarchy uniqueName="[Processed].[Billing Country]" caption="Billing Country" attribute="1" defaultMemberUniqueName="[Processed].[Billing Country].[All]" allUniqueName="[Processed].[Billing Country].[All]" dimensionUniqueName="[Processed]" displayFolder="" count="0" memberValueDatatype="130" unbalanced="0"/>
    <cacheHierarchy uniqueName="[Processed].[Item Name]" caption="Item Name" attribute="1" defaultMemberUniqueName="[Processed].[Item Name].[All]" allUniqueName="[Processed].[Item Name].[All]" dimensionUniqueName="[Processed]" displayFolder="" count="0" memberValueDatatype="130" unbalanced="0"/>
    <cacheHierarchy uniqueName="[Processed].[Paid_Month]" caption="Paid_Month" attribute="1" defaultMemberUniqueName="[Processed].[Paid_Month].[All]" allUniqueName="[Processed].[Paid_Month].[All]" dimensionUniqueName="[Processed]" displayFolder="" count="2" memberValueDatatype="20" unbalanced="0">
      <fieldsUsage count="2">
        <fieldUsage x="-1"/>
        <fieldUsage x="0"/>
      </fieldsUsage>
    </cacheHierarchy>
    <cacheHierarchy uniqueName="[Measures].[__XL_Count Processed]" caption="__XL_Count Processed" measure="1" displayFolder="" measureGroup="Processed" count="0" hidden="1"/>
    <cacheHierarchy uniqueName="[Measures].[__XL_Count Accounts_with_Mem_and_Receipts]" caption="__XL_Count Accounts_with_Mem_and_Receipts" measure="1" displayFolder="" measureGroup="Accounts_with_Mem_and_Receipts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Process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id_Month]" caption="Sum of Paid_Month" measure="1" displayFolder="" measureGroup="Processed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2]" caption="Sum of Total 2" measure="1" displayFolder="" measureGroup="Accounts_with_Mem_and_Receip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Accounts_with_Mem_and_Receipts" uniqueName="[Accounts_with_Mem_and_Receipts]" caption="Accounts_with_Mem_and_Receipts"/>
    <dimension measure="1" name="Measures" uniqueName="[Measures]" caption="Measures"/>
    <dimension name="Processed" uniqueName="[Processed]" caption="Processed"/>
  </dimensions>
  <measureGroups count="2">
    <measureGroup name="Accounts_with_Mem_and_Receipts" caption="Accounts_with_Mem_and_Receipts"/>
    <measureGroup name="Processed" caption="Processed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 Laakso" refreshedDate="46113.401345601851" backgroundQuery="1" createdVersion="8" refreshedVersion="8" minRefreshableVersion="3" recordCount="0" supportSubquery="1" supportAdvancedDrill="1" xr:uid="{254D038B-BA73-4D38-8141-CCBDC6BAB1B4}">
  <cacheSource type="external" connectionId="5"/>
  <cacheFields count="2">
    <cacheField name="[Processed].[Item Name].[Item Name]" caption="Item Name" numFmtId="0" hierarchy="18" level="1">
      <sharedItems count="3">
        <s v="Benefactor Membership"/>
        <s v="Gold Membership"/>
        <s v="Organizational Membership"/>
      </sharedItems>
    </cacheField>
    <cacheField name="[Measures].[Sum of Total]" caption="Sum of Total" numFmtId="0" hierarchy="23" level="32767"/>
  </cacheFields>
  <cacheHierarchies count="26">
    <cacheHierarchy uniqueName="[Accounts_with_Mem_and_Receipts].[Account Name]" caption="Account Name" attribute="1" defaultMemberUniqueName="[Accounts_with_Mem_and_Receipts].[Account Name].[All]" allUniqueName="[Accounts_with_Mem_and_Receipts].[Account Name].[All]" dimensionUniqueName="[Accounts_with_Mem_and_Receipts]" displayFolder="" count="0" memberValueDatatype="130" unbalanced="0"/>
    <cacheHierarchy uniqueName="[Accounts_with_Mem_and_Receipts].[Total]" caption="Total" attribute="1" defaultMemberUniqueName="[Accounts_with_Mem_and_Receipts].[Total].[All]" allUniqueName="[Accounts_with_Mem_and_Receipts].[Total].[All]" dimensionUniqueName="[Accounts_with_Mem_and_Receipts]" displayFolder="" count="0" memberValueDatatype="5" unbalanced="0"/>
    <cacheHierarchy uniqueName="[Accounts_with_Mem_and_Receipts].[Posted Date]" caption="Posted Date" attribute="1" time="1" defaultMemberUniqueName="[Accounts_with_Mem_and_Receipts].[Posted Date].[All]" allUniqueName="[Accounts_with_Mem_and_Receipts].[Posted Date].[All]" dimensionUniqueName="[Accounts_with_Mem_and_Receipts]" displayFolder="" count="0" memberValueDatatype="7" unbalanced="0"/>
    <cacheHierarchy uniqueName="[Accounts_with_Mem_and_Receipts].[Receipt Number]" caption="Receipt Number" attribute="1" defaultMemberUniqueName="[Accounts_with_Mem_and_Receipts].[Receipt Number].[All]" allUniqueName="[Accounts_with_Mem_and_Receipts].[Receipt Number].[All]" dimensionUniqueName="[Accounts_with_Mem_and_Receipts]" displayFolder="" count="0" memberValueDatatype="20" unbalanced="0"/>
    <cacheHierarchy uniqueName="[Accounts_with_Mem_and_Receipts].[Receipt Line ID]" caption="Receipt Line ID" attribute="1" defaultMemberUniqueName="[Accounts_with_Mem_and_Receipts].[Receipt Line ID].[All]" allUniqueName="[Accounts_with_Mem_and_Receipts].[Receipt Line ID].[All]" dimensionUniqueName="[Accounts_with_Mem_and_Receipts]" displayFolder="" count="0" memberValueDatatype="20" unbalanced="0"/>
    <cacheHierarchy uniqueName="[Accounts_with_Mem_and_Receipts].[Member Since]" caption="Member Since" attribute="1" time="1" defaultMemberUniqueName="[Accounts_with_Mem_and_Receipts].[Member Since].[All]" allUniqueName="[Accounts_with_Mem_and_Receipts].[Member Since].[All]" dimensionUniqueName="[Accounts_with_Mem_and_Receipts]" displayFolder="" count="0" memberValueDatatype="7" unbalanced="0"/>
    <cacheHierarchy uniqueName="[Accounts_with_Mem_and_Receipts].[Account Category]" caption="Account Category" attribute="1" defaultMemberUniqueName="[Accounts_with_Mem_and_Receipts].[Account Category].[All]" allUniqueName="[Accounts_with_Mem_and_Receipts].[Account Category].[All]" dimensionUniqueName="[Accounts_with_Mem_and_Receipts]" displayFolder="" count="0" memberValueDatatype="130" unbalanced="0"/>
    <cacheHierarchy uniqueName="[Accounts_with_Mem_and_Receipts].[Billing Country]" caption="Billing Country" attribute="1" defaultMemberUniqueName="[Accounts_with_Mem_and_Receipts].[Billing Country].[All]" allUniqueName="[Accounts_with_Mem_and_Receipts].[Billing Country].[All]" dimensionUniqueName="[Accounts_with_Mem_and_Receipts]" displayFolder="" count="0" memberValueDatatype="130" unbalanced="0"/>
    <cacheHierarchy uniqueName="[Accounts_with_Mem_and_Receipts].[Item Name]" caption="Item Name" attribute="1" defaultMemberUniqueName="[Accounts_with_Mem_and_Receipts].[Item Name].[All]" allUniqueName="[Accounts_with_Mem_and_Receipts].[Item Name].[All]" dimensionUniqueName="[Accounts_with_Mem_and_Receipts]" displayFolder="" count="0" memberValueDatatype="130" unbalanced="0"/>
    <cacheHierarchy uniqueName="[Accounts_with_Mem_and_Receipts].[Paid_Month]" caption="Paid_Month" attribute="1" defaultMemberUniqueName="[Accounts_with_Mem_and_Receipts].[Paid_Month].[All]" allUniqueName="[Accounts_with_Mem_and_Receipts].[Paid_Month].[All]" dimensionUniqueName="[Accounts_with_Mem_and_Receipts]" displayFolder="" count="0" memberValueDatatype="20" unbalanced="0"/>
    <cacheHierarchy uniqueName="[Processed].[Account Name]" caption="Account Name" attribute="1" defaultMemberUniqueName="[Processed].[Account Name].[All]" allUniqueName="[Processed].[Account Name].[All]" dimensionUniqueName="[Processed]" displayFolder="" count="0" memberValueDatatype="130" unbalanced="0"/>
    <cacheHierarchy uniqueName="[Processed].[Total]" caption="Total" attribute="1" defaultMemberUniqueName="[Processed].[Total].[All]" allUniqueName="[Processed].[Total].[All]" dimensionUniqueName="[Processed]" displayFolder="" count="0" memberValueDatatype="5" unbalanced="0"/>
    <cacheHierarchy uniqueName="[Processed].[Posted Date]" caption="Posted Date" attribute="1" time="1" defaultMemberUniqueName="[Processed].[Posted Date].[All]" allUniqueName="[Processed].[Posted Date].[All]" dimensionUniqueName="[Processed]" displayFolder="" count="0" memberValueDatatype="7" unbalanced="0"/>
    <cacheHierarchy uniqueName="[Processed].[Receipt Number]" caption="Receipt Number" attribute="1" defaultMemberUniqueName="[Processed].[Receipt Number].[All]" allUniqueName="[Processed].[Receipt Number].[All]" dimensionUniqueName="[Processed]" displayFolder="" count="0" memberValueDatatype="20" unbalanced="0"/>
    <cacheHierarchy uniqueName="[Processed].[Receipt Line ID]" caption="Receipt Line ID" attribute="1" defaultMemberUniqueName="[Processed].[Receipt Line ID].[All]" allUniqueName="[Processed].[Receipt Line ID].[All]" dimensionUniqueName="[Processed]" displayFolder="" count="0" memberValueDatatype="20" unbalanced="0"/>
    <cacheHierarchy uniqueName="[Processed].[Member Since]" caption="Member Since" attribute="1" time="1" defaultMemberUniqueName="[Processed].[Member Since].[All]" allUniqueName="[Processed].[Member Since].[All]" dimensionUniqueName="[Processed]" displayFolder="" count="0" memberValueDatatype="7" unbalanced="0"/>
    <cacheHierarchy uniqueName="[Processed].[Account Category]" caption="Account Category" attribute="1" defaultMemberUniqueName="[Processed].[Account Category].[All]" allUniqueName="[Processed].[Account Category].[All]" dimensionUniqueName="[Processed]" displayFolder="" count="0" memberValueDatatype="130" unbalanced="0"/>
    <cacheHierarchy uniqueName="[Processed].[Billing Country]" caption="Billing Country" attribute="1" defaultMemberUniqueName="[Processed].[Billing Country].[All]" allUniqueName="[Processed].[Billing Country].[All]" dimensionUniqueName="[Processed]" displayFolder="" count="0" memberValueDatatype="130" unbalanced="0"/>
    <cacheHierarchy uniqueName="[Processed].[Item Name]" caption="Item Name" attribute="1" defaultMemberUniqueName="[Processed].[Item Name].[All]" allUniqueName="[Processed].[Item Name].[All]" dimensionUniqueName="[Processed]" displayFolder="" count="2" memberValueDatatype="130" unbalanced="0">
      <fieldsUsage count="2">
        <fieldUsage x="-1"/>
        <fieldUsage x="0"/>
      </fieldsUsage>
    </cacheHierarchy>
    <cacheHierarchy uniqueName="[Processed].[Paid_Month]" caption="Paid_Month" attribute="1" defaultMemberUniqueName="[Processed].[Paid_Month].[All]" allUniqueName="[Processed].[Paid_Month].[All]" dimensionUniqueName="[Processed]" displayFolder="" count="0" memberValueDatatype="20" unbalanced="0"/>
    <cacheHierarchy uniqueName="[Measures].[__XL_Count Processed]" caption="__XL_Count Processed" measure="1" displayFolder="" measureGroup="Processed" count="0" hidden="1"/>
    <cacheHierarchy uniqueName="[Measures].[__XL_Count Accounts_with_Mem_and_Receipts]" caption="__XL_Count Accounts_with_Mem_and_Receipts" measure="1" displayFolder="" measureGroup="Accounts_with_Mem_and_Receipts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Process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id_Month]" caption="Sum of Paid_Month" measure="1" displayFolder="" measureGroup="Processed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2]" caption="Sum of Total 2" measure="1" displayFolder="" measureGroup="Accounts_with_Mem_and_Receip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Accounts_with_Mem_and_Receipts" uniqueName="[Accounts_with_Mem_and_Receipts]" caption="Accounts_with_Mem_and_Receipts"/>
    <dimension measure="1" name="Measures" uniqueName="[Measures]" caption="Measures"/>
    <dimension name="Processed" uniqueName="[Processed]" caption="Processed"/>
  </dimensions>
  <measureGroups count="2">
    <measureGroup name="Accounts_with_Mem_and_Receipts" caption="Accounts_with_Mem_and_Receipts"/>
    <measureGroup name="Processed" caption="Processed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113.401436342596" createdVersion="8" refreshedVersion="8" minRefreshableVersion="3" recordCount="74" xr:uid="{57E158F3-5AA3-44B4-96AE-D05E0D608F4F}">
  <cacheSource type="worksheet">
    <worksheetSource name="Orgs"/>
  </cacheSource>
  <cacheFields count="10">
    <cacheField name="Account Name" numFmtId="0">
      <sharedItems/>
    </cacheField>
    <cacheField name="Total" numFmtId="0">
      <sharedItems containsSemiMixedTypes="0" containsString="0" containsNumber="1" minValue="108.79" maxValue="40000"/>
    </cacheField>
    <cacheField name="Posted Date" numFmtId="14">
      <sharedItems containsSemiMixedTypes="0" containsNonDate="0" containsDate="1" containsString="0" minDate="2026-01-05T00:00:00" maxDate="2026-04-01T00:00:00"/>
    </cacheField>
    <cacheField name="Receipt Number" numFmtId="0">
      <sharedItems containsSemiMixedTypes="0" containsString="0" containsNumber="1" containsInteger="1" minValue="18359" maxValue="19507"/>
    </cacheField>
    <cacheField name="Receipt Line ID" numFmtId="0">
      <sharedItems containsSemiMixedTypes="0" containsString="0" containsNumber="1" containsInteger="1" minValue="44215" maxValue="45907"/>
    </cacheField>
    <cacheField name="Member Since" numFmtId="14">
      <sharedItems containsSemiMixedTypes="0" containsNonDate="0" containsDate="1" containsString="0" minDate="1998-05-10T00:00:00" maxDate="2026-03-26T00:00:00"/>
    </cacheField>
    <cacheField name="Account Category" numFmtId="0">
      <sharedItems/>
    </cacheField>
    <cacheField name="Billing Country" numFmtId="0">
      <sharedItems/>
    </cacheField>
    <cacheField name="Item Name" numFmtId="0">
      <sharedItems count="3">
        <s v="Organizational Membership"/>
        <s v="Gold Membership"/>
        <s v="Benefactor Membership"/>
      </sharedItems>
    </cacheField>
    <cacheField name="Paid_Month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 Laakso" refreshedDate="46113.401555439814" backgroundQuery="1" createdVersion="8" refreshedVersion="8" minRefreshableVersion="3" recordCount="0" supportSubquery="1" supportAdvancedDrill="1" xr:uid="{3F7D1F73-C59D-4C83-93E5-F04B253C42FE}">
  <cacheSource type="external" connectionId="5"/>
  <cacheFields count="2">
    <cacheField name="[Accounts_with_Mem_and_Receipts].[Account Category].[Account Category]" caption="Account Category" numFmtId="0" hierarchy="6" level="1">
      <sharedItems count="3">
        <s v="Consultant"/>
        <s v="Government/Professional Associations/Academic Institution"/>
        <s v="Supplier/Vendor"/>
      </sharedItems>
    </cacheField>
    <cacheField name="[Measures].[Sum of Total 2]" caption="Sum of Total 2" numFmtId="0" hierarchy="25" level="32767"/>
  </cacheFields>
  <cacheHierarchies count="26">
    <cacheHierarchy uniqueName="[Accounts_with_Mem_and_Receipts].[Account Name]" caption="Account Name" attribute="1" defaultMemberUniqueName="[Accounts_with_Mem_and_Receipts].[Account Name].[All]" allUniqueName="[Accounts_with_Mem_and_Receipts].[Account Name].[All]" dimensionUniqueName="[Accounts_with_Mem_and_Receipts]" displayFolder="" count="0" memberValueDatatype="130" unbalanced="0"/>
    <cacheHierarchy uniqueName="[Accounts_with_Mem_and_Receipts].[Total]" caption="Total" attribute="1" defaultMemberUniqueName="[Accounts_with_Mem_and_Receipts].[Total].[All]" allUniqueName="[Accounts_with_Mem_and_Receipts].[Total].[All]" dimensionUniqueName="[Accounts_with_Mem_and_Receipts]" displayFolder="" count="0" memberValueDatatype="5" unbalanced="0"/>
    <cacheHierarchy uniqueName="[Accounts_with_Mem_and_Receipts].[Posted Date]" caption="Posted Date" attribute="1" time="1" defaultMemberUniqueName="[Accounts_with_Mem_and_Receipts].[Posted Date].[All]" allUniqueName="[Accounts_with_Mem_and_Receipts].[Posted Date].[All]" dimensionUniqueName="[Accounts_with_Mem_and_Receipts]" displayFolder="" count="0" memberValueDatatype="7" unbalanced="0"/>
    <cacheHierarchy uniqueName="[Accounts_with_Mem_and_Receipts].[Receipt Number]" caption="Receipt Number" attribute="1" defaultMemberUniqueName="[Accounts_with_Mem_and_Receipts].[Receipt Number].[All]" allUniqueName="[Accounts_with_Mem_and_Receipts].[Receipt Number].[All]" dimensionUniqueName="[Accounts_with_Mem_and_Receipts]" displayFolder="" count="0" memberValueDatatype="20" unbalanced="0"/>
    <cacheHierarchy uniqueName="[Accounts_with_Mem_and_Receipts].[Receipt Line ID]" caption="Receipt Line ID" attribute="1" defaultMemberUniqueName="[Accounts_with_Mem_and_Receipts].[Receipt Line ID].[All]" allUniqueName="[Accounts_with_Mem_and_Receipts].[Receipt Line ID].[All]" dimensionUniqueName="[Accounts_with_Mem_and_Receipts]" displayFolder="" count="0" memberValueDatatype="20" unbalanced="0"/>
    <cacheHierarchy uniqueName="[Accounts_with_Mem_and_Receipts].[Member Since]" caption="Member Since" attribute="1" time="1" defaultMemberUniqueName="[Accounts_with_Mem_and_Receipts].[Member Since].[All]" allUniqueName="[Accounts_with_Mem_and_Receipts].[Member Since].[All]" dimensionUniqueName="[Accounts_with_Mem_and_Receipts]" displayFolder="" count="0" memberValueDatatype="7" unbalanced="0"/>
    <cacheHierarchy uniqueName="[Accounts_with_Mem_and_Receipts].[Account Category]" caption="Account Category" attribute="1" defaultMemberUniqueName="[Accounts_with_Mem_and_Receipts].[Account Category].[All]" allUniqueName="[Accounts_with_Mem_and_Receipts].[Account Category].[All]" dimensionUniqueName="[Accounts_with_Mem_and_Receipts]" displayFolder="" count="2" memberValueDatatype="130" unbalanced="0">
      <fieldsUsage count="2">
        <fieldUsage x="-1"/>
        <fieldUsage x="0"/>
      </fieldsUsage>
    </cacheHierarchy>
    <cacheHierarchy uniqueName="[Accounts_with_Mem_and_Receipts].[Billing Country]" caption="Billing Country" attribute="1" defaultMemberUniqueName="[Accounts_with_Mem_and_Receipts].[Billing Country].[All]" allUniqueName="[Accounts_with_Mem_and_Receipts].[Billing Country].[All]" dimensionUniqueName="[Accounts_with_Mem_and_Receipts]" displayFolder="" count="0" memberValueDatatype="130" unbalanced="0"/>
    <cacheHierarchy uniqueName="[Accounts_with_Mem_and_Receipts].[Item Name]" caption="Item Name" attribute="1" defaultMemberUniqueName="[Accounts_with_Mem_and_Receipts].[Item Name].[All]" allUniqueName="[Accounts_with_Mem_and_Receipts].[Item Name].[All]" dimensionUniqueName="[Accounts_with_Mem_and_Receipts]" displayFolder="" count="0" memberValueDatatype="130" unbalanced="0"/>
    <cacheHierarchy uniqueName="[Accounts_with_Mem_and_Receipts].[Paid_Month]" caption="Paid_Month" attribute="1" defaultMemberUniqueName="[Accounts_with_Mem_and_Receipts].[Paid_Month].[All]" allUniqueName="[Accounts_with_Mem_and_Receipts].[Paid_Month].[All]" dimensionUniqueName="[Accounts_with_Mem_and_Receipts]" displayFolder="" count="0" memberValueDatatype="20" unbalanced="0"/>
    <cacheHierarchy uniqueName="[Processed].[Account Name]" caption="Account Name" attribute="1" defaultMemberUniqueName="[Processed].[Account Name].[All]" allUniqueName="[Processed].[Account Name].[All]" dimensionUniqueName="[Processed]" displayFolder="" count="0" memberValueDatatype="130" unbalanced="0"/>
    <cacheHierarchy uniqueName="[Processed].[Total]" caption="Total" attribute="1" defaultMemberUniqueName="[Processed].[Total].[All]" allUniqueName="[Processed].[Total].[All]" dimensionUniqueName="[Processed]" displayFolder="" count="0" memberValueDatatype="5" unbalanced="0"/>
    <cacheHierarchy uniqueName="[Processed].[Posted Date]" caption="Posted Date" attribute="1" time="1" defaultMemberUniqueName="[Processed].[Posted Date].[All]" allUniqueName="[Processed].[Posted Date].[All]" dimensionUniqueName="[Processed]" displayFolder="" count="0" memberValueDatatype="7" unbalanced="0"/>
    <cacheHierarchy uniqueName="[Processed].[Receipt Number]" caption="Receipt Number" attribute="1" defaultMemberUniqueName="[Processed].[Receipt Number].[All]" allUniqueName="[Processed].[Receipt Number].[All]" dimensionUniqueName="[Processed]" displayFolder="" count="0" memberValueDatatype="20" unbalanced="0"/>
    <cacheHierarchy uniqueName="[Processed].[Receipt Line ID]" caption="Receipt Line ID" attribute="1" defaultMemberUniqueName="[Processed].[Receipt Line ID].[All]" allUniqueName="[Processed].[Receipt Line ID].[All]" dimensionUniqueName="[Processed]" displayFolder="" count="0" memberValueDatatype="20" unbalanced="0"/>
    <cacheHierarchy uniqueName="[Processed].[Member Since]" caption="Member Since" attribute="1" time="1" defaultMemberUniqueName="[Processed].[Member Since].[All]" allUniqueName="[Processed].[Member Since].[All]" dimensionUniqueName="[Processed]" displayFolder="" count="0" memberValueDatatype="7" unbalanced="0"/>
    <cacheHierarchy uniqueName="[Processed].[Account Category]" caption="Account Category" attribute="1" defaultMemberUniqueName="[Processed].[Account Category].[All]" allUniqueName="[Processed].[Account Category].[All]" dimensionUniqueName="[Processed]" displayFolder="" count="0" memberValueDatatype="130" unbalanced="0"/>
    <cacheHierarchy uniqueName="[Processed].[Billing Country]" caption="Billing Country" attribute="1" defaultMemberUniqueName="[Processed].[Billing Country].[All]" allUniqueName="[Processed].[Billing Country].[All]" dimensionUniqueName="[Processed]" displayFolder="" count="0" memberValueDatatype="130" unbalanced="0"/>
    <cacheHierarchy uniqueName="[Processed].[Item Name]" caption="Item Name" attribute="1" defaultMemberUniqueName="[Processed].[Item Name].[All]" allUniqueName="[Processed].[Item Name].[All]" dimensionUniqueName="[Processed]" displayFolder="" count="0" memberValueDatatype="130" unbalanced="0"/>
    <cacheHierarchy uniqueName="[Processed].[Paid_Month]" caption="Paid_Month" attribute="1" defaultMemberUniqueName="[Processed].[Paid_Month].[All]" allUniqueName="[Processed].[Paid_Month].[All]" dimensionUniqueName="[Processed]" displayFolder="" count="0" memberValueDatatype="20" unbalanced="0"/>
    <cacheHierarchy uniqueName="[Measures].[__XL_Count Processed]" caption="__XL_Count Processed" measure="1" displayFolder="" measureGroup="Processed" count="0" hidden="1"/>
    <cacheHierarchy uniqueName="[Measures].[__XL_Count Accounts_with_Mem_and_Receipts]" caption="__XL_Count Accounts_with_Mem_and_Receipts" measure="1" displayFolder="" measureGroup="Accounts_with_Mem_and_Receipts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Process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id_Month]" caption="Sum of Paid_Month" measure="1" displayFolder="" measureGroup="Processed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2]" caption="Sum of Total 2" measure="1" displayFolder="" measureGroup="Accounts_with_Mem_and_Receip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Accounts_with_Mem_and_Receipts" uniqueName="[Accounts_with_Mem_and_Receipts]" caption="Accounts_with_Mem_and_Receipts"/>
    <dimension measure="1" name="Measures" uniqueName="[Measures]" caption="Measures"/>
    <dimension name="Processed" uniqueName="[Processed]" caption="Processed"/>
  </dimensions>
  <measureGroups count="2">
    <measureGroup name="Accounts_with_Mem_and_Receipts" caption="Accounts_with_Mem_and_Receipts"/>
    <measureGroup name="Processed" caption="Processed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81453.33"/>
  </r>
  <r>
    <x v="1"/>
    <n v="281453.33"/>
  </r>
  <r>
    <x v="2"/>
    <n v="281453.33"/>
  </r>
  <r>
    <x v="3"/>
    <n v="281453.33"/>
  </r>
  <r>
    <x v="4"/>
    <n v="281453.33"/>
  </r>
  <r>
    <x v="5"/>
    <n v="281453.33"/>
  </r>
  <r>
    <x v="6"/>
    <n v="281453.33"/>
  </r>
  <r>
    <x v="7"/>
    <n v="281453.33"/>
  </r>
  <r>
    <x v="8"/>
    <n v="281453.33"/>
  </r>
  <r>
    <x v="9"/>
    <n v="281453.33"/>
  </r>
  <r>
    <x v="10"/>
    <n v="281453.33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9300"/>
  </r>
  <r>
    <x v="1"/>
    <n v="9300"/>
  </r>
  <r>
    <x v="2"/>
    <n v="110573.8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m/>
    <m/>
    <m/>
    <m/>
    <m/>
    <m/>
    <m/>
    <m/>
    <m/>
    <m/>
    <x v="0"/>
  </r>
  <r>
    <s v="Confidential Information - Do Not Distribute"/>
    <m/>
    <m/>
    <m/>
    <m/>
    <m/>
    <m/>
    <m/>
    <m/>
    <m/>
    <x v="0"/>
  </r>
  <r>
    <s v="Copyright © 2000-2026 salesforce.com, inc. All rights reserved."/>
    <m/>
    <m/>
    <m/>
    <m/>
    <m/>
    <m/>
    <m/>
    <m/>
    <m/>
    <x v="0"/>
  </r>
  <r>
    <s v="Daniel Ries Household"/>
    <n v="100"/>
    <d v="2026-02-16T00:00:00"/>
    <n v="18946"/>
    <n v="44978"/>
    <d v="2023-01-01T00:00:00"/>
    <s v=""/>
    <s v="United States"/>
    <s v="Retiree Membership"/>
    <n v="2"/>
    <x v="1"/>
  </r>
  <r>
    <s v="Ken McCaslin Household"/>
    <n v="100"/>
    <d v="2026-02-11T00:00:00"/>
    <n v="18927"/>
    <n v="44951"/>
    <d v="1996-01-01T00:00:00"/>
    <s v=""/>
    <s v="United States"/>
    <s v="Retiree Membership"/>
    <n v="2"/>
    <x v="2"/>
  </r>
  <r>
    <s v="Patient Centric Solutions"/>
    <n v="460.04"/>
    <d v="2026-01-09T00:00:00"/>
    <n v="18491"/>
    <n v="44373"/>
    <d v="2025-01-01T00:00:00"/>
    <s v="Supplier/Vendor"/>
    <s v="United States"/>
    <s v="Organizational Membership"/>
    <n v="1"/>
    <x v="1"/>
  </r>
  <r>
    <s v="Beata Piehl Household"/>
    <n v="775"/>
    <d v="2026-01-11T00:00:00"/>
    <n v="18551"/>
    <n v="44438"/>
    <d v="2024-01-01T00:00:00"/>
    <s v=""/>
    <s v=""/>
    <s v="Individual Membership"/>
    <n v="1"/>
    <x v="1"/>
  </r>
  <r>
    <s v="Bellese Technologies"/>
    <n v="775"/>
    <d v="2026-01-05T00:00:00"/>
    <n v="18371"/>
    <n v="44227"/>
    <d v="2021-01-01T00:00:00"/>
    <s v=""/>
    <s v="United States"/>
    <s v="Individual Membership"/>
    <n v="1"/>
    <x v="3"/>
  </r>
  <r>
    <s v="CSIRO"/>
    <n v="775"/>
    <d v="2026-01-12T00:00:00"/>
    <n v="18605"/>
    <n v="44503"/>
    <d v="2026-01-01T00:00:00"/>
    <s v=""/>
    <s v="Australia"/>
    <s v="Individual Membership"/>
    <n v="1"/>
    <x v="1"/>
  </r>
  <r>
    <s v="Dennis Loucks Household"/>
    <n v="775"/>
    <d v="2026-01-31T00:00:00"/>
    <n v="18840"/>
    <n v="44813"/>
    <d v="2021-01-01T00:00:00"/>
    <s v=""/>
    <s v=""/>
    <s v="Individual Membership"/>
    <n v="1"/>
    <x v="3"/>
  </r>
  <r>
    <s v="Donald Kurtz Household"/>
    <n v="775"/>
    <d v="2026-01-30T00:00:00"/>
    <n v="18833"/>
    <n v="44806"/>
    <d v="2026-01-01T00:00:00"/>
    <s v=""/>
    <s v="United States"/>
    <s v="Individual Membership"/>
    <n v="1"/>
    <x v="1"/>
  </r>
  <r>
    <s v="First Databank"/>
    <n v="775"/>
    <d v="2026-01-21T00:00:00"/>
    <n v="18708"/>
    <n v="44608"/>
    <d v="2015-01-01T00:00:00"/>
    <s v="Supplier/Vendor"/>
    <s v="United States"/>
    <s v="Individual Membership"/>
    <n v="1"/>
    <x v="4"/>
  </r>
  <r>
    <s v="Glen Rigby Household"/>
    <n v="775"/>
    <d v="2026-02-27T00:00:00"/>
    <n v="19083"/>
    <n v="45165"/>
    <d v="2026-01-01T00:00:00"/>
    <s v=""/>
    <s v="United States"/>
    <s v="Individual Membership"/>
    <n v="2"/>
    <x v="1"/>
  </r>
  <r>
    <s v="John Moehrke Household"/>
    <n v="775"/>
    <d v="2026-01-06T00:00:00"/>
    <n v="18392"/>
    <n v="44254"/>
    <d v="2026-01-01T00:00:00"/>
    <s v=""/>
    <s v="United States"/>
    <s v="Individual Membership"/>
    <n v="1"/>
    <x v="1"/>
  </r>
  <r>
    <s v="Mark Marciante Household"/>
    <n v="775"/>
    <d v="2026-02-02T00:00:00"/>
    <n v="18853"/>
    <n v="44825"/>
    <d v="2024-01-01T00:00:00"/>
    <s v=""/>
    <s v=""/>
    <s v="Individual Membership"/>
    <n v="2"/>
    <x v="1"/>
  </r>
  <r>
    <s v="Ryan Lee Household"/>
    <n v="775"/>
    <d v="2026-01-12T00:00:00"/>
    <n v="18585"/>
    <n v="44482"/>
    <d v="2026-01-01T00:00:00"/>
    <s v=""/>
    <s v="United States"/>
    <s v="Individual Membership"/>
    <n v="1"/>
    <x v="1"/>
  </r>
  <r>
    <s v="Ryan Weihler Household"/>
    <n v="775"/>
    <d v="2026-02-17T00:00:00"/>
    <n v="18965"/>
    <n v="45000"/>
    <d v="2023-01-01T00:00:00"/>
    <s v=""/>
    <s v="United States"/>
    <s v="Individual Membership"/>
    <n v="2"/>
    <x v="1"/>
  </r>
  <r>
    <s v="Sam Schifman Household"/>
    <n v="775"/>
    <d v="2026-01-21T00:00:00"/>
    <n v="18695"/>
    <n v="44595"/>
    <d v="2025-01-01T00:00:00"/>
    <s v=""/>
    <s v=""/>
    <s v="Individual Membership"/>
    <n v="1"/>
    <x v="1"/>
  </r>
  <r>
    <s v="Sandy Vance Household"/>
    <n v="775"/>
    <d v="2026-01-07T00:00:00"/>
    <n v="18418"/>
    <n v="44298"/>
    <d v="2023-01-01T00:00:00"/>
    <s v=""/>
    <s v="United States"/>
    <s v="Individual Membership"/>
    <n v="1"/>
    <x v="1"/>
  </r>
  <r>
    <s v="Srinivasan Parthasarathy Household"/>
    <n v="775"/>
    <d v="2026-02-02T00:00:00"/>
    <n v="18845"/>
    <n v="44817"/>
    <d v="2026-01-01T00:00:00"/>
    <s v=""/>
    <s v="United States"/>
    <s v="Individual Membership"/>
    <n v="2"/>
    <x v="1"/>
  </r>
  <r>
    <s v="Stan Rankins Household"/>
    <n v="775"/>
    <d v="2026-02-03T00:00:00"/>
    <n v="18862"/>
    <n v="44835"/>
    <d v="2026-01-01T00:00:00"/>
    <s v=""/>
    <s v="United States"/>
    <s v="Individual Membership"/>
    <n v="2"/>
    <x v="1"/>
  </r>
  <r>
    <s v="Toshiaki Kato Household"/>
    <n v="775"/>
    <d v="2026-01-28T00:00:00"/>
    <n v="18774"/>
    <n v="44713"/>
    <d v="2026-01-01T00:00:00"/>
    <s v=""/>
    <s v="Japan"/>
    <s v="Individual Membership"/>
    <n v="1"/>
    <x v="1"/>
  </r>
  <r>
    <s v="HL7 Ecuador"/>
    <n v="1000"/>
    <d v="2026-02-26T00:00:00"/>
    <n v="19043"/>
    <n v="45122"/>
    <d v="2024-01-01T00:00:00"/>
    <s v=""/>
    <s v="Ecuador"/>
    <s v="Affiliate Membership"/>
    <n v="2"/>
    <x v="1"/>
  </r>
  <r>
    <s v="College of American Pathologists"/>
    <n v="1545"/>
    <d v="2026-01-20T00:00:00"/>
    <n v="18678"/>
    <n v="44578"/>
    <d v="2010-01-01T00:00:00"/>
    <s v="Government/Professional Associations/Academic Institution"/>
    <s v="United States"/>
    <s v="Organizational Membership"/>
    <n v="1"/>
    <x v="5"/>
  </r>
  <r>
    <s v="Dataware Sdn Bhd"/>
    <n v="1545"/>
    <d v="2026-02-09T00:00:00"/>
    <n v="18914"/>
    <n v="44907"/>
    <d v="2012-01-01T00:00:00"/>
    <s v="Supplier/Vendor"/>
    <s v="Malaysia"/>
    <s v="Organizational Membership"/>
    <n v="2"/>
    <x v="5"/>
  </r>
  <r>
    <s v="ICCBBA, Inc."/>
    <n v="1545"/>
    <d v="2026-02-06T00:00:00"/>
    <n v="18891"/>
    <n v="44881"/>
    <d v="2000-01-01T00:00:00"/>
    <s v="Government/Professional Associations/Academic Institution"/>
    <s v="United States"/>
    <s v="Organizational Membership"/>
    <n v="2"/>
    <x v="2"/>
  </r>
  <r>
    <s v="KlearTrust"/>
    <n v="1545"/>
    <d v="2026-01-29T00:00:00"/>
    <n v="18802"/>
    <n v="44761"/>
    <d v="2024-01-01T00:00:00"/>
    <s v="Supplier/Vendor"/>
    <s v="United States"/>
    <s v="Organizational Membership"/>
    <n v="1"/>
    <x v="1"/>
  </r>
  <r>
    <s v="National Association of Dental Plans"/>
    <n v="1545"/>
    <d v="2026-01-15T00:00:00"/>
    <n v="18652"/>
    <n v="44550"/>
    <d v="2006-01-01T00:00:00"/>
    <s v="Government/Professional Associations/Academic Institution"/>
    <s v="United States"/>
    <s v="Organizational Membership"/>
    <n v="1"/>
    <x v="2"/>
  </r>
  <r>
    <s v="Professional Laboratory Management, Inc."/>
    <n v="1545"/>
    <d v="2026-01-05T00:00:00"/>
    <n v="18359"/>
    <n v="44215"/>
    <d v="2010-01-01T00:00:00"/>
    <s v="Consultant"/>
    <s v="United States"/>
    <s v="Organizational Membership"/>
    <n v="1"/>
    <x v="5"/>
  </r>
  <r>
    <s v="SLI Compliance"/>
    <n v="1545"/>
    <d v="2026-01-13T00:00:00"/>
    <n v="18620"/>
    <n v="44519"/>
    <d v="2013-01-01T00:00:00"/>
    <s v="Government/Professional Associations/Academic Institution"/>
    <s v="United States"/>
    <s v="Organizational Membership"/>
    <n v="1"/>
    <x v="4"/>
  </r>
  <r>
    <s v="SandwYch, Inc."/>
    <n v="1545"/>
    <d v="2026-01-07T00:00:00"/>
    <n v="18421"/>
    <n v="44301"/>
    <d v="2026-01-01T00:00:00"/>
    <s v="Supplier/Vendor"/>
    <s v="United States"/>
    <s v="Organizational Membership"/>
    <n v="1"/>
    <x v="1"/>
  </r>
  <r>
    <s v="Stedi"/>
    <n v="1545"/>
    <d v="2026-02-16T00:00:00"/>
    <n v="18947"/>
    <n v="44979"/>
    <d v="2021-01-01T00:00:00"/>
    <s v="Supplier/Vendor"/>
    <s v="United States"/>
    <s v="Organizational Membership"/>
    <n v="2"/>
    <x v="3"/>
  </r>
  <r>
    <s v="Tetra Fields LLC"/>
    <n v="1545"/>
    <d v="2026-01-20T00:00:00"/>
    <n v="18683"/>
    <n v="44583"/>
    <d v="2025-01-01T00:00:00"/>
    <s v="Supplier/Vendor"/>
    <s v="United States"/>
    <s v="Organizational Membership"/>
    <n v="1"/>
    <x v="1"/>
  </r>
  <r>
    <s v="American Dental Association"/>
    <n v="1620"/>
    <d v="2026-02-19T00:00:00"/>
    <n v="18996"/>
    <n v="45039"/>
    <d v="2012-01-01T00:00:00"/>
    <s v="Government/Professional Associations/Academic Institution"/>
    <s v="United States"/>
    <s v="Organizational Membership"/>
    <n v="2"/>
    <x v="5"/>
  </r>
  <r>
    <s v="Acre Security"/>
    <n v="1905"/>
    <d v="2026-02-13T00:00:00"/>
    <n v="18941"/>
    <n v="44973"/>
    <d v="2022-01-01T00:00:00"/>
    <s v="Supplier/Vendor"/>
    <s v="United States"/>
    <s v="Gold Membership"/>
    <n v="2"/>
    <x v="1"/>
  </r>
  <r>
    <s v="CAL2CAL Corporation"/>
    <n v="1905"/>
    <d v="2026-02-09T00:00:00"/>
    <n v="18906"/>
    <n v="44895"/>
    <d v="2003-01-01T00:00:00"/>
    <s v="Supplier/Vendor"/>
    <s v="United States"/>
    <s v="Gold Membership"/>
    <n v="2"/>
    <x v="2"/>
  </r>
  <r>
    <s v="Firely USA"/>
    <n v="1905"/>
    <d v="2026-01-08T00:00:00"/>
    <n v="18444"/>
    <n v="44327"/>
    <d v="2024-01-01T00:00:00"/>
    <s v="Supplier/Vendor"/>
    <s v="United States"/>
    <s v="Gold Membership"/>
    <n v="1"/>
    <x v="1"/>
  </r>
  <r>
    <s v="HIMSS"/>
    <n v="1905"/>
    <d v="2026-02-02T00:00:00"/>
    <n v="18850"/>
    <n v="44822"/>
    <d v="2009-01-01T00:00:00"/>
    <s v="Government/Professional Associations/Academic Institution"/>
    <s v="United States"/>
    <s v="Gold Membership"/>
    <n v="2"/>
    <x v="5"/>
  </r>
  <r>
    <s v="Massachusetts Health Data Consortium"/>
    <n v="1905"/>
    <d v="2026-02-17T00:00:00"/>
    <n v="18958"/>
    <n v="44993"/>
    <d v="2020-01-01T00:00:00"/>
    <s v="Government/Professional Associations/Academic Institution"/>
    <s v="United States"/>
    <s v="Gold Membership"/>
    <n v="2"/>
    <x v="3"/>
  </r>
  <r>
    <s v="MyDirectives"/>
    <n v="1905"/>
    <d v="2026-01-22T00:00:00"/>
    <n v="18717"/>
    <n v="44617"/>
    <d v="2018-01-01T00:00:00"/>
    <s v="Supplier/Vendor"/>
    <s v="United States"/>
    <s v="Gold Membership"/>
    <n v="1"/>
    <x v="3"/>
  </r>
  <r>
    <s v="Univ of TX Health Science Center San Antonio"/>
    <n v="1905"/>
    <d v="2026-02-16T00:00:00"/>
    <n v="18949"/>
    <n v="44981"/>
    <d v="2020-01-01T00:00:00"/>
    <s v="Government/Professional Associations/Academic Institution"/>
    <s v="United States"/>
    <s v="Gold Membership"/>
    <n v="2"/>
    <x v="3"/>
  </r>
  <r>
    <s v="Regenstrief Institute, Inc."/>
    <n v="2160"/>
    <d v="2026-02-18T00:00:00"/>
    <n v="18975"/>
    <n v="45010"/>
    <d v="1998-01-01T00:00:00"/>
    <s v="Provider"/>
    <s v="United States"/>
    <s v="Gold Membership"/>
    <n v="2"/>
    <x v="2"/>
  </r>
  <r>
    <s v="Apelon, Inc."/>
    <n v="2370"/>
    <d v="2026-01-13T00:00:00"/>
    <n v="18613"/>
    <n v="44511"/>
    <d v="2003-01-01T00:00:00"/>
    <s v="Supplier/Vendor"/>
    <s v="United States"/>
    <s v="Organizational Membership"/>
    <n v="1"/>
    <x v="2"/>
  </r>
  <r>
    <s v="MedicaSoft"/>
    <n v="2370"/>
    <d v="2026-01-20T00:00:00"/>
    <n v="18672"/>
    <n v="44570"/>
    <d v="2014-01-01T00:00:00"/>
    <s v="Supplier/Vendor"/>
    <s v="United States"/>
    <s v="Organizational Membership"/>
    <n v="1"/>
    <x v="4"/>
  </r>
  <r>
    <s v="Tennessee Department of Health"/>
    <n v="2680"/>
    <d v="2026-01-16T00:00:00"/>
    <n v="18656"/>
    <n v="44554"/>
    <d v="2001-01-01T00:00:00"/>
    <s v="Government/Professional Associations/Academic Institution"/>
    <s v="United States"/>
    <s v="Organizational Membership"/>
    <n v="1"/>
    <x v="2"/>
  </r>
  <r>
    <s v="Virginia Department of Health"/>
    <n v="2680"/>
    <d v="2026-01-16T00:00:00"/>
    <n v="18660"/>
    <n v="44559"/>
    <d v="2011-01-01T00:00:00"/>
    <s v="Government/Professional Associations/Academic Institution"/>
    <s v="United States"/>
    <s v="Organizational Membership"/>
    <n v="1"/>
    <x v="5"/>
  </r>
  <r>
    <s v="West Virginia Departments of Human Services, Health and Health Facilities"/>
    <n v="2680"/>
    <d v="2026-01-30T00:00:00"/>
    <n v="18826"/>
    <n v="44799"/>
    <d v="2017-01-01T00:00:00"/>
    <s v="Government/Professional Associations/Academic Institution"/>
    <s v="United States"/>
    <s v="Organizational Membership"/>
    <n v="1"/>
    <x v="4"/>
  </r>
  <r>
    <s v="New Fields Technologies LLC"/>
    <n v="2990"/>
    <d v="2026-01-23T00:00:00"/>
    <n v="18722"/>
    <n v="44622"/>
    <d v="2025-01-01T00:00:00"/>
    <s v="Supplier/Vendor"/>
    <s v="United States"/>
    <s v="Gold Membership"/>
    <n v="1"/>
    <x v="1"/>
  </r>
  <r>
    <s v="Onyx Technology LLC"/>
    <n v="2990"/>
    <d v="2026-01-09T00:00:00"/>
    <n v="18479"/>
    <n v="44361"/>
    <d v="2021-01-01T00:00:00"/>
    <s v="Supplier/Vendor"/>
    <s v="United States"/>
    <s v="Gold Membership"/>
    <n v="1"/>
    <x v="3"/>
  </r>
  <r>
    <s v="Indian Health Service"/>
    <n v="5460"/>
    <d v="2026-01-15T00:00:00"/>
    <n v="18650"/>
    <n v="44548"/>
    <d v="2009-01-01T00:00:00"/>
    <s v="Government/Professional Associations/Academic Institution"/>
    <s v="United States"/>
    <s v="Organizational Membership"/>
    <n v="1"/>
    <x v="5"/>
  </r>
  <r>
    <s v="Blue Cross Blue Shield Association"/>
    <n v="5770"/>
    <d v="2026-02-11T00:00:00"/>
    <n v="18923"/>
    <n v="44942"/>
    <d v="1999-01-01T00:00:00"/>
    <s v="Payer"/>
    <s v="United States"/>
    <s v="Organizational Membership"/>
    <n v="2"/>
    <x v="2"/>
  </r>
  <r>
    <s v="CyncHealth"/>
    <n v="7210"/>
    <d v="2026-02-06T00:00:00"/>
    <n v="18957"/>
    <n v="44992"/>
    <d v="2023-01-01T00:00:00"/>
    <s v="Provider"/>
    <s v="United States"/>
    <s v="Organizational Membership"/>
    <n v="2"/>
    <x v="1"/>
  </r>
  <r>
    <s v="HL7 Norway"/>
    <n v="8456.1"/>
    <d v="2026-02-17T00:00:00"/>
    <n v="18962"/>
    <n v="44997"/>
    <d v="2010-01-01T00:00:00"/>
    <s v=""/>
    <s v="Norway"/>
    <s v="Affiliate Membership"/>
    <n v="2"/>
    <x v="5"/>
  </r>
  <r>
    <s v="Flatiron Health"/>
    <n v="9685"/>
    <d v="2026-01-30T00:00:00"/>
    <n v="18825"/>
    <n v="44798"/>
    <d v="2015-01-01T00:00:00"/>
    <s v="Supplier/Vendor"/>
    <s v="United States"/>
    <s v="Organizational Membership"/>
    <n v="1"/>
    <x v="4"/>
  </r>
  <r>
    <s v="Children's Hospital of Philadelphia"/>
    <n v="9990"/>
    <d v="2026-02-20T00:00:00"/>
    <n v="18993"/>
    <n v="45036"/>
    <d v="2009-01-01T00:00:00"/>
    <s v="Provider"/>
    <s v="United States"/>
    <s v="Organizational Membership"/>
    <n v="2"/>
    <x v="5"/>
  </r>
  <r>
    <s v="Johns Hopkins Hospital"/>
    <n v="14420"/>
    <d v="2026-02-02T00:00:00"/>
    <n v="18849"/>
    <n v="44821"/>
    <d v="2003-01-01T00:00:00"/>
    <s v="Provider"/>
    <s v="United States"/>
    <s v="Organizational Membership"/>
    <n v="2"/>
    <x v="2"/>
  </r>
  <r>
    <s v="MEDENT"/>
    <n v="16175"/>
    <d v="2026-02-20T00:00:00"/>
    <n v="18994"/>
    <n v="45037"/>
    <d v="2010-01-01T00:00:00"/>
    <s v="Supplier/Vendor"/>
    <s v="United States"/>
    <s v="Organizational Membership"/>
    <n v="2"/>
    <x v="5"/>
  </r>
  <r>
    <s v="Ready Computing LLC"/>
    <n v="21630"/>
    <d v="2026-02-09T00:00:00"/>
    <n v="18908"/>
    <n v="44897"/>
    <d v="2015-01-01T00:00:00"/>
    <s v="Supplier/Vendor"/>
    <s v="United States"/>
    <s v="Benefactor Membership"/>
    <n v="2"/>
    <x v="4"/>
  </r>
  <r>
    <s v="Becton Dickinson"/>
    <n v="23375"/>
    <d v="2026-02-19T00:00:00"/>
    <n v="18995"/>
    <n v="45038"/>
    <d v="2015-01-01T00:00:00"/>
    <s v="Supplier/Vendor"/>
    <s v="United States"/>
    <s v="Organizational Membership"/>
    <n v="2"/>
    <x v="4"/>
  </r>
  <r>
    <s v="Fresenius Vial"/>
    <n v="23375"/>
    <d v="2026-02-02T00:00:00"/>
    <n v="18851"/>
    <n v="44823"/>
    <d v="2013-01-01T00:00:00"/>
    <s v="Supplier/Vendor"/>
    <s v="France"/>
    <s v="Organizational Membership"/>
    <n v="2"/>
    <x v="4"/>
  </r>
  <r>
    <s v="ICF"/>
    <n v="23375"/>
    <d v="2026-01-26T00:00:00"/>
    <n v="18752"/>
    <n v="44676"/>
    <d v="2012-01-01T00:00:00"/>
    <s v="Consultant"/>
    <s v="United States"/>
    <s v="Organizational Membership"/>
    <n v="1"/>
    <x v="5"/>
  </r>
  <r>
    <s v="Roche Diagnostics International Ltd."/>
    <n v="23375"/>
    <d v="2026-02-13T00:00:00"/>
    <n v="18940"/>
    <n v="44972"/>
    <d v="2013-01-01T00:00:00"/>
    <s v="Supplier/Vendor"/>
    <s v="Switzerland"/>
    <s v="Organizational Membership"/>
    <n v="2"/>
    <x v="4"/>
  </r>
  <r>
    <s v="Surescripts"/>
    <n v="23375"/>
    <d v="2026-02-27T00:00:00"/>
    <n v="19076"/>
    <n v="45158"/>
    <d v="2002-01-01T00:00:00"/>
    <s v="Supplier/Vendor"/>
    <s v="United States"/>
    <s v="Organizational Membership"/>
    <n v="2"/>
    <x v="2"/>
  </r>
  <r>
    <s v="Epic"/>
    <n v="38100"/>
    <d v="2026-01-26T00:00:00"/>
    <n v="18755"/>
    <n v="44679"/>
    <d v="1998-01-01T00:00:00"/>
    <s v="Supplier/Vendor"/>
    <s v="United States"/>
    <s v="Benefactor Membership"/>
    <n v="1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m/>
    <x v="0"/>
    <m/>
    <m/>
    <m/>
    <m/>
    <m/>
    <x v="0"/>
    <m/>
  </r>
  <r>
    <x v="0"/>
    <m/>
    <x v="0"/>
    <m/>
    <m/>
    <m/>
    <m/>
    <m/>
    <x v="0"/>
    <m/>
  </r>
  <r>
    <x v="1"/>
    <n v="1650"/>
    <x v="1"/>
    <n v="19487"/>
    <n v="45879"/>
    <d v="2002-07-23T00:00:00"/>
    <s v="Provider"/>
    <s v="United States"/>
    <x v="1"/>
    <n v="3"/>
  </r>
  <r>
    <x v="2"/>
    <n v="1905"/>
    <x v="2"/>
    <n v="18941"/>
    <n v="44973"/>
    <d v="2022-01-10T00:00:00"/>
    <s v="Supplier/Vendor"/>
    <s v="United States"/>
    <x v="2"/>
    <n v="2"/>
  </r>
  <r>
    <x v="3"/>
    <n v="1620"/>
    <x v="3"/>
    <n v="18996"/>
    <n v="45039"/>
    <d v="2012-03-08T00:00:00"/>
    <s v="Government/Professional Associations/Academic Institution"/>
    <s v="United States"/>
    <x v="1"/>
    <n v="2"/>
  </r>
  <r>
    <x v="4"/>
    <n v="16500"/>
    <x v="4"/>
    <n v="19145"/>
    <n v="45249"/>
    <d v="2009-12-15T00:00:00"/>
    <s v="Government/Professional Associations/Academic Institution"/>
    <s v="United States"/>
    <x v="3"/>
    <n v="3"/>
  </r>
  <r>
    <x v="5"/>
    <n v="2370"/>
    <x v="5"/>
    <n v="18613"/>
    <n v="44511"/>
    <d v="2003-08-06T00:00:00"/>
    <s v="Supplier/Vendor"/>
    <s v="United States"/>
    <x v="1"/>
    <n v="1"/>
  </r>
  <r>
    <x v="6"/>
    <n v="775"/>
    <x v="6"/>
    <n v="18551"/>
    <n v="44438"/>
    <d v="2024-04-03T00:00:00"/>
    <s v=""/>
    <s v=""/>
    <x v="4"/>
    <n v="1"/>
  </r>
  <r>
    <x v="7"/>
    <n v="23375"/>
    <x v="3"/>
    <n v="18995"/>
    <n v="45038"/>
    <d v="2015-10-20T00:00:00"/>
    <s v="Supplier/Vendor"/>
    <s v="United States"/>
    <x v="1"/>
    <n v="2"/>
  </r>
  <r>
    <x v="8"/>
    <n v="775"/>
    <x v="7"/>
    <n v="18371"/>
    <n v="44227"/>
    <d v="2021-08-25T00:00:00"/>
    <s v=""/>
    <s v="United States"/>
    <x v="4"/>
    <n v="1"/>
  </r>
  <r>
    <x v="9"/>
    <n v="2680"/>
    <x v="8"/>
    <n v="19429"/>
    <n v="45783"/>
    <d v="2019-04-04T00:00:00"/>
    <s v="Provider"/>
    <s v="United States"/>
    <x v="1"/>
    <n v="3"/>
  </r>
  <r>
    <x v="10"/>
    <n v="5770"/>
    <x v="9"/>
    <n v="18923"/>
    <n v="44942"/>
    <d v="1999-07-19T00:00:00"/>
    <s v="Payer"/>
    <s v="United States"/>
    <x v="1"/>
    <n v="2"/>
  </r>
  <r>
    <x v="11"/>
    <n v="775"/>
    <x v="10"/>
    <n v="19433"/>
    <n v="45787"/>
    <d v="2026-03-26T00:00:00"/>
    <s v=""/>
    <s v="United States"/>
    <x v="4"/>
    <n v="3"/>
  </r>
  <r>
    <x v="12"/>
    <n v="1905"/>
    <x v="11"/>
    <n v="18906"/>
    <n v="44895"/>
    <d v="2003-04-14T00:00:00"/>
    <s v="Supplier/Vendor"/>
    <s v="United States"/>
    <x v="2"/>
    <n v="2"/>
  </r>
  <r>
    <x v="13"/>
    <n v="775"/>
    <x v="12"/>
    <n v="18605"/>
    <n v="44503"/>
    <d v="2026-01-12T00:00:00"/>
    <s v=""/>
    <s v="Australia"/>
    <x v="4"/>
    <n v="1"/>
  </r>
  <r>
    <x v="14"/>
    <n v="9990"/>
    <x v="13"/>
    <n v="18993"/>
    <n v="45036"/>
    <d v="2009-06-19T00:00:00"/>
    <s v="Provider"/>
    <s v="United States"/>
    <x v="1"/>
    <n v="2"/>
  </r>
  <r>
    <x v="15"/>
    <n v="16175"/>
    <x v="14"/>
    <n v="19452"/>
    <n v="45818"/>
    <d v="2010-01-01T00:00:00"/>
    <s v="Supplier/Vendor"/>
    <s v="United States"/>
    <x v="1"/>
    <n v="3"/>
  </r>
  <r>
    <x v="16"/>
    <n v="1545"/>
    <x v="15"/>
    <n v="18678"/>
    <n v="44578"/>
    <d v="2010-01-01T00:00:00"/>
    <s v="Government/Professional Associations/Academic Institution"/>
    <s v="United States"/>
    <x v="1"/>
    <n v="1"/>
  </r>
  <r>
    <x v="17"/>
    <m/>
    <x v="0"/>
    <m/>
    <m/>
    <m/>
    <m/>
    <m/>
    <x v="0"/>
    <m/>
  </r>
  <r>
    <x v="18"/>
    <m/>
    <x v="0"/>
    <m/>
    <m/>
    <m/>
    <m/>
    <m/>
    <x v="0"/>
    <m/>
  </r>
  <r>
    <x v="19"/>
    <n v="7210"/>
    <x v="16"/>
    <n v="18957"/>
    <n v="44992"/>
    <d v="2023-08-30T00:00:00"/>
    <s v="Provider"/>
    <s v="United States"/>
    <x v="1"/>
    <n v="2"/>
  </r>
  <r>
    <x v="20"/>
    <n v="775"/>
    <x v="17"/>
    <n v="19400"/>
    <n v="45749"/>
    <d v="2026-03-23T00:00:00"/>
    <s v=""/>
    <s v="United States"/>
    <x v="4"/>
    <n v="3"/>
  </r>
  <r>
    <x v="21"/>
    <n v="100"/>
    <x v="18"/>
    <n v="18946"/>
    <n v="44978"/>
    <d v="2023-02-02T00:00:00"/>
    <s v=""/>
    <s v="United States"/>
    <x v="5"/>
    <n v="2"/>
  </r>
  <r>
    <x v="22"/>
    <n v="1545"/>
    <x v="11"/>
    <n v="18914"/>
    <n v="44907"/>
    <d v="2012-08-16T00:00:00"/>
    <s v="Supplier/Vendor"/>
    <s v="Malaysia"/>
    <x v="1"/>
    <n v="2"/>
  </r>
  <r>
    <x v="23"/>
    <n v="775"/>
    <x v="19"/>
    <n v="18840"/>
    <n v="44813"/>
    <d v="2021-12-16T00:00:00"/>
    <s v=""/>
    <s v=""/>
    <x v="4"/>
    <n v="1"/>
  </r>
  <r>
    <x v="24"/>
    <n v="775"/>
    <x v="20"/>
    <n v="18833"/>
    <n v="44806"/>
    <d v="2026-01-30T00:00:00"/>
    <s v=""/>
    <s v="United States"/>
    <x v="4"/>
    <n v="1"/>
  </r>
  <r>
    <x v="25"/>
    <n v="1905"/>
    <x v="21"/>
    <n v="19109"/>
    <n v="45195"/>
    <d v="2020-12-15T00:00:00"/>
    <s v="Consultant"/>
    <s v="Canada"/>
    <x v="2"/>
    <n v="3"/>
  </r>
  <r>
    <x v="26"/>
    <n v="775"/>
    <x v="22"/>
    <n v="19340"/>
    <n v="45627"/>
    <d v="2026-03-18T00:00:00"/>
    <s v=""/>
    <s v="United States"/>
    <x v="4"/>
    <n v="3"/>
  </r>
  <r>
    <x v="27"/>
    <n v="38100"/>
    <x v="23"/>
    <n v="18755"/>
    <n v="44679"/>
    <d v="1998-05-10T00:00:00"/>
    <s v="Supplier/Vendor"/>
    <s v="United States"/>
    <x v="3"/>
    <n v="1"/>
  </r>
  <r>
    <x v="28"/>
    <n v="35000"/>
    <x v="24"/>
    <n v="19242"/>
    <n v="45430"/>
    <d v="2016-07-07T00:00:00"/>
    <s v="Government/Professional Associations/Academic Institution"/>
    <s v="United States"/>
    <x v="3"/>
    <n v="3"/>
  </r>
  <r>
    <x v="29"/>
    <n v="1905"/>
    <x v="25"/>
    <n v="18444"/>
    <n v="44327"/>
    <d v="2024-02-19T00:00:00"/>
    <s v="Supplier/Vendor"/>
    <s v="United States"/>
    <x v="2"/>
    <n v="1"/>
  </r>
  <r>
    <x v="30"/>
    <n v="775"/>
    <x v="26"/>
    <n v="18708"/>
    <n v="44608"/>
    <d v="2015-02-03T00:00:00"/>
    <s v="Supplier/Vendor"/>
    <s v="United States"/>
    <x v="4"/>
    <n v="1"/>
  </r>
  <r>
    <x v="31"/>
    <n v="9685"/>
    <x v="20"/>
    <n v="18825"/>
    <n v="44798"/>
    <d v="2015-05-20T00:00:00"/>
    <s v="Supplier/Vendor"/>
    <s v="United States"/>
    <x v="1"/>
    <n v="1"/>
  </r>
  <r>
    <x v="32"/>
    <n v="23375"/>
    <x v="27"/>
    <n v="18851"/>
    <n v="44823"/>
    <d v="2013-10-11T00:00:00"/>
    <s v="Supplier/Vendor"/>
    <s v="France"/>
    <x v="1"/>
    <n v="2"/>
  </r>
  <r>
    <x v="33"/>
    <n v="775"/>
    <x v="28"/>
    <n v="19083"/>
    <n v="45165"/>
    <d v="2026-02-27T00:00:00"/>
    <s v=""/>
    <s v="United States"/>
    <x v="4"/>
    <n v="2"/>
  </r>
  <r>
    <x v="34"/>
    <n v="9685"/>
    <x v="29"/>
    <n v="19269"/>
    <n v="45476"/>
    <d v="2024-04-18T00:00:00"/>
    <s v="Supplier/Vendor"/>
    <s v="United States"/>
    <x v="1"/>
    <n v="3"/>
  </r>
  <r>
    <x v="35"/>
    <n v="1905"/>
    <x v="27"/>
    <n v="18850"/>
    <n v="44822"/>
    <d v="2009-09-11T00:00:00"/>
    <s v="Government/Professional Associations/Academic Institution"/>
    <s v="United States"/>
    <x v="2"/>
    <n v="2"/>
  </r>
  <r>
    <x v="36"/>
    <n v="11621"/>
    <x v="30"/>
    <n v="19122"/>
    <n v="45218"/>
    <d v="2007-07-26T00:00:00"/>
    <s v=""/>
    <s v="Austria"/>
    <x v="6"/>
    <n v="3"/>
  </r>
  <r>
    <x v="37"/>
    <n v="1463.4"/>
    <x v="31"/>
    <n v="19509"/>
    <n v="45910"/>
    <d v="2002-02-08T00:00:00"/>
    <s v=""/>
    <s v="Brazil"/>
    <x v="6"/>
    <n v="3"/>
  </r>
  <r>
    <x v="38"/>
    <n v="2562"/>
    <x v="32"/>
    <n v="19408"/>
    <n v="45758"/>
    <d v="1996-03-01T00:00:00"/>
    <s v=""/>
    <s v="Canada"/>
    <x v="6"/>
    <n v="3"/>
  </r>
  <r>
    <x v="39"/>
    <n v="1000"/>
    <x v="33"/>
    <n v="19255"/>
    <n v="45453"/>
    <d v="2000-05-30T00:00:00"/>
    <s v=""/>
    <s v="China"/>
    <x v="6"/>
    <n v="3"/>
  </r>
  <r>
    <x v="40"/>
    <n v="1000"/>
    <x v="10"/>
    <n v="19440"/>
    <n v="45795"/>
    <d v="2002-09-12T00:00:00"/>
    <s v=""/>
    <s v="Croatia"/>
    <x v="6"/>
    <n v="3"/>
  </r>
  <r>
    <x v="41"/>
    <n v="2016.29"/>
    <x v="14"/>
    <n v="19480"/>
    <n v="45872"/>
    <d v="2001-10-01T00:00:00"/>
    <s v=""/>
    <s v="Czech Republic"/>
    <x v="6"/>
    <n v="3"/>
  </r>
  <r>
    <x v="42"/>
    <n v="1000"/>
    <x v="34"/>
    <n v="19043"/>
    <n v="45122"/>
    <d v="2024-06-19T00:00:00"/>
    <s v=""/>
    <s v="Ecuador"/>
    <x v="6"/>
    <n v="2"/>
  </r>
  <r>
    <x v="43"/>
    <n v="8050"/>
    <x v="14"/>
    <n v="19455"/>
    <n v="45821"/>
    <d v="2009-10-06T00:00:00"/>
    <s v=""/>
    <s v="China"/>
    <x v="6"/>
    <n v="3"/>
  </r>
  <r>
    <x v="44"/>
    <n v="23939.83"/>
    <x v="8"/>
    <n v="19435"/>
    <n v="45789"/>
    <d v="1996-08-01T00:00:00"/>
    <s v=""/>
    <s v="Netherlands"/>
    <x v="6"/>
    <n v="3"/>
  </r>
  <r>
    <x v="45"/>
    <n v="8456.1"/>
    <x v="35"/>
    <n v="18962"/>
    <n v="44997"/>
    <d v="2010-04-15T00:00:00"/>
    <s v=""/>
    <s v="Norway"/>
    <x v="6"/>
    <n v="2"/>
  </r>
  <r>
    <x v="46"/>
    <n v="1000"/>
    <x v="33"/>
    <n v="19253"/>
    <n v="45451"/>
    <d v="2023-11-21T00:00:00"/>
    <s v=""/>
    <s v="Slovakia"/>
    <x v="6"/>
    <n v="3"/>
  </r>
  <r>
    <x v="47"/>
    <n v="1215"/>
    <x v="36"/>
    <n v="19312"/>
    <n v="45563"/>
    <d v="2000-05-23T00:00:00"/>
    <s v=""/>
    <s v="Taiwan"/>
    <x v="6"/>
    <n v="3"/>
  </r>
  <r>
    <x v="48"/>
    <n v="9344.16"/>
    <x v="1"/>
    <n v="19479"/>
    <n v="45871"/>
    <d v="1999-01-05T00:00:00"/>
    <s v=""/>
    <s v="United Kingdom"/>
    <x v="6"/>
    <n v="3"/>
  </r>
  <r>
    <x v="49"/>
    <n v="5460"/>
    <x v="37"/>
    <n v="19301"/>
    <n v="45540"/>
    <d v="2017-04-05T00:00:00"/>
    <s v="Government/Professional Associations/Academic Institution"/>
    <s v="Estonia"/>
    <x v="1"/>
    <n v="3"/>
  </r>
  <r>
    <x v="50"/>
    <n v="1545"/>
    <x v="8"/>
    <n v="19422"/>
    <n v="45776"/>
    <d v="2026-03-25T00:00:00"/>
    <s v="Supplier/Vendor"/>
    <s v="United States"/>
    <x v="1"/>
    <n v="3"/>
  </r>
  <r>
    <x v="51"/>
    <n v="75"/>
    <x v="38"/>
    <n v="19292"/>
    <n v="45526"/>
    <d v="2026-03-13T00:00:00"/>
    <s v=""/>
    <s v="United States"/>
    <x v="7"/>
    <n v="3"/>
  </r>
  <r>
    <x v="52"/>
    <n v="1545"/>
    <x v="16"/>
    <n v="18891"/>
    <n v="44881"/>
    <d v="2000-02-14T00:00:00"/>
    <s v="Government/Professional Associations/Academic Institution"/>
    <s v="United States"/>
    <x v="1"/>
    <n v="2"/>
  </r>
  <r>
    <x v="53"/>
    <n v="23375"/>
    <x v="23"/>
    <n v="18752"/>
    <n v="44676"/>
    <d v="2012-12-13T00:00:00"/>
    <s v="Consultant"/>
    <s v="United States"/>
    <x v="1"/>
    <n v="1"/>
  </r>
  <r>
    <x v="54"/>
    <n v="5460"/>
    <x v="39"/>
    <n v="18650"/>
    <n v="44548"/>
    <d v="2009-06-25T00:00:00"/>
    <s v="Government/Professional Associations/Academic Institution"/>
    <s v="United States"/>
    <x v="1"/>
    <n v="1"/>
  </r>
  <r>
    <x v="55"/>
    <n v="40000"/>
    <x v="36"/>
    <n v="19316"/>
    <n v="45566"/>
    <d v="2009-07-07T00:00:00"/>
    <s v="Supplier/Vendor"/>
    <s v="United States"/>
    <x v="3"/>
    <n v="3"/>
  </r>
  <r>
    <x v="56"/>
    <n v="5770"/>
    <x v="38"/>
    <n v="19294"/>
    <n v="45528"/>
    <d v="2025-04-18T00:00:00"/>
    <s v="Consultant"/>
    <s v="United States"/>
    <x v="1"/>
    <n v="3"/>
  </r>
  <r>
    <x v="57"/>
    <n v="775"/>
    <x v="40"/>
    <n v="18392"/>
    <n v="44254"/>
    <d v="2026-01-06T00:00:00"/>
    <s v=""/>
    <s v="United States"/>
    <x v="4"/>
    <n v="1"/>
  </r>
  <r>
    <x v="58"/>
    <n v="14420"/>
    <x v="27"/>
    <n v="18849"/>
    <n v="44821"/>
    <d v="2003-12-08T00:00:00"/>
    <s v="Provider"/>
    <s v="United States"/>
    <x v="1"/>
    <n v="2"/>
  </r>
  <r>
    <x v="59"/>
    <n v="775"/>
    <x v="4"/>
    <n v="19136"/>
    <n v="45235"/>
    <d v="2019-02-27T00:00:00"/>
    <s v=""/>
    <s v="United States"/>
    <x v="4"/>
    <n v="3"/>
  </r>
  <r>
    <x v="60"/>
    <n v="100"/>
    <x v="9"/>
    <n v="18927"/>
    <n v="44951"/>
    <d v="1996-08-15T00:00:00"/>
    <s v=""/>
    <s v="United States"/>
    <x v="5"/>
    <n v="2"/>
  </r>
  <r>
    <x v="61"/>
    <n v="1545"/>
    <x v="41"/>
    <n v="18802"/>
    <n v="44761"/>
    <d v="2024-01-12T00:00:00"/>
    <s v="Supplier/Vendor"/>
    <s v="United States"/>
    <x v="1"/>
    <n v="1"/>
  </r>
  <r>
    <x v="62"/>
    <n v="775"/>
    <x v="42"/>
    <n v="19224"/>
    <n v="45388"/>
    <d v="2025-03-25T00:00:00"/>
    <s v=""/>
    <s v=""/>
    <x v="4"/>
    <n v="3"/>
  </r>
  <r>
    <x v="63"/>
    <n v="16175"/>
    <x v="13"/>
    <n v="18994"/>
    <n v="45037"/>
    <d v="2010-01-27T00:00:00"/>
    <s v="Supplier/Vendor"/>
    <s v="United States"/>
    <x v="1"/>
    <n v="2"/>
  </r>
  <r>
    <x v="64"/>
    <n v="775"/>
    <x v="43"/>
    <n v="19382"/>
    <n v="45724"/>
    <d v="2026-03-20T00:00:00"/>
    <s v=""/>
    <s v="United States"/>
    <x v="4"/>
    <n v="3"/>
  </r>
  <r>
    <x v="65"/>
    <n v="775"/>
    <x v="27"/>
    <n v="18853"/>
    <n v="44825"/>
    <d v="2024-02-22T00:00:00"/>
    <s v=""/>
    <s v=""/>
    <x v="4"/>
    <n v="2"/>
  </r>
  <r>
    <x v="66"/>
    <n v="1905"/>
    <x v="35"/>
    <n v="18958"/>
    <n v="44993"/>
    <d v="2020-05-15T00:00:00"/>
    <s v="Government/Professional Associations/Academic Institution"/>
    <s v="United States"/>
    <x v="2"/>
    <n v="2"/>
  </r>
  <r>
    <x v="67"/>
    <n v="2370"/>
    <x v="15"/>
    <n v="18672"/>
    <n v="44570"/>
    <d v="2014-12-15T00:00:00"/>
    <s v="Supplier/Vendor"/>
    <s v="United States"/>
    <x v="1"/>
    <n v="1"/>
  </r>
  <r>
    <x v="68"/>
    <n v="1650"/>
    <x v="14"/>
    <n v="19449"/>
    <n v="45813"/>
    <d v="2016-03-30T00:00:00"/>
    <s v="Provider"/>
    <s v="South Africa"/>
    <x v="1"/>
    <n v="3"/>
  </r>
  <r>
    <x v="69"/>
    <n v="1905"/>
    <x v="44"/>
    <n v="18717"/>
    <n v="44617"/>
    <d v="2018-12-31T00:00:00"/>
    <s v="Supplier/Vendor"/>
    <s v="United States"/>
    <x v="2"/>
    <n v="1"/>
  </r>
  <r>
    <x v="70"/>
    <n v="16500"/>
    <x v="24"/>
    <n v="19240"/>
    <n v="45428"/>
    <d v="2012-04-05T00:00:00"/>
    <s v="Government/Professional Associations/Academic Institution"/>
    <s v="United States"/>
    <x v="3"/>
    <n v="3"/>
  </r>
  <r>
    <x v="71"/>
    <n v="1905"/>
    <x v="4"/>
    <n v="19156"/>
    <n v="45291"/>
    <d v="2011-06-27T00:00:00"/>
    <s v="Government/Professional Associations/Academic Institution"/>
    <s v="United States"/>
    <x v="2"/>
    <n v="3"/>
  </r>
  <r>
    <x v="72"/>
    <n v="1545"/>
    <x v="39"/>
    <n v="18652"/>
    <n v="44550"/>
    <d v="2006-01-03T00:00:00"/>
    <s v="Government/Professional Associations/Academic Institution"/>
    <s v="United States"/>
    <x v="1"/>
    <n v="1"/>
  </r>
  <r>
    <x v="73"/>
    <n v="5460"/>
    <x v="24"/>
    <n v="19245"/>
    <n v="45433"/>
    <d v="2023-05-23T00:00:00"/>
    <s v="Government/Professional Associations/Academic Institution"/>
    <s v="United States"/>
    <x v="1"/>
    <n v="3"/>
  </r>
  <r>
    <x v="74"/>
    <n v="2990"/>
    <x v="45"/>
    <n v="18722"/>
    <n v="44622"/>
    <d v="2025-01-25T00:00:00"/>
    <s v="Supplier/Vendor"/>
    <s v="United States"/>
    <x v="2"/>
    <n v="1"/>
  </r>
  <r>
    <x v="75"/>
    <n v="18025"/>
    <x v="8"/>
    <n v="19426"/>
    <n v="45780"/>
    <d v="2020-04-15T00:00:00"/>
    <s v="Provider"/>
    <s v="United States"/>
    <x v="2"/>
    <n v="3"/>
  </r>
  <r>
    <x v="76"/>
    <n v="36050"/>
    <x v="8"/>
    <n v="19421"/>
    <n v="45775"/>
    <d v="2010-09-20T00:00:00"/>
    <s v="Government/Professional Associations/Academic Institution"/>
    <s v="United States"/>
    <x v="3"/>
    <n v="3"/>
  </r>
  <r>
    <x v="77"/>
    <n v="2990"/>
    <x v="46"/>
    <n v="18479"/>
    <n v="44361"/>
    <d v="2021-01-13T00:00:00"/>
    <s v="Supplier/Vendor"/>
    <s v="United States"/>
    <x v="2"/>
    <n v="1"/>
  </r>
  <r>
    <x v="78"/>
    <n v="108.79"/>
    <x v="46"/>
    <n v="18507"/>
    <n v="44390"/>
    <d v="2025-04-30T00:00:00"/>
    <s v="Supplier/Vendor"/>
    <s v="United States"/>
    <x v="2"/>
    <n v="1"/>
  </r>
  <r>
    <x v="78"/>
    <n v="460.04"/>
    <x v="46"/>
    <n v="18491"/>
    <n v="44373"/>
    <d v="2025-04-30T00:00:00"/>
    <s v="Supplier/Vendor"/>
    <s v="United States"/>
    <x v="1"/>
    <n v="1"/>
  </r>
  <r>
    <x v="79"/>
    <n v="23375"/>
    <x v="43"/>
    <n v="19374"/>
    <n v="45692"/>
    <d v="2011-06-24T00:00:00"/>
    <s v="Supplier/Vendor"/>
    <s v="United States"/>
    <x v="1"/>
    <n v="3"/>
  </r>
  <r>
    <x v="80"/>
    <n v="1545"/>
    <x v="7"/>
    <n v="18359"/>
    <n v="44215"/>
    <d v="2010-02-16T00:00:00"/>
    <s v="Consultant"/>
    <s v="United States"/>
    <x v="1"/>
    <n v="1"/>
  </r>
  <r>
    <x v="81"/>
    <n v="21630"/>
    <x v="11"/>
    <n v="18908"/>
    <n v="44897"/>
    <d v="2015-10-27T00:00:00"/>
    <s v="Supplier/Vendor"/>
    <s v="United States"/>
    <x v="3"/>
    <n v="2"/>
  </r>
  <r>
    <x v="82"/>
    <n v="2370"/>
    <x v="14"/>
    <n v="19461"/>
    <n v="45835"/>
    <d v="2005-12-22T00:00:00"/>
    <s v="Supplier/Vendor"/>
    <s v="United States"/>
    <x v="1"/>
    <n v="3"/>
  </r>
  <r>
    <x v="83"/>
    <n v="2160"/>
    <x v="47"/>
    <n v="18975"/>
    <n v="45010"/>
    <d v="1998-08-25T00:00:00"/>
    <s v="Provider"/>
    <s v="United States"/>
    <x v="2"/>
    <n v="2"/>
  </r>
  <r>
    <x v="84"/>
    <n v="1620"/>
    <x v="48"/>
    <n v="19394"/>
    <n v="45737"/>
    <d v="2023-08-30T00:00:00"/>
    <s v="Supplier/Vendor"/>
    <s v="United States"/>
    <x v="1"/>
    <n v="3"/>
  </r>
  <r>
    <x v="85"/>
    <n v="775"/>
    <x v="42"/>
    <n v="19198"/>
    <n v="45356"/>
    <d v="2022-03-09T00:00:00"/>
    <s v=""/>
    <s v="United States"/>
    <x v="4"/>
    <n v="3"/>
  </r>
  <r>
    <x v="86"/>
    <n v="23375"/>
    <x v="2"/>
    <n v="18940"/>
    <n v="44972"/>
    <d v="2013-01-28T00:00:00"/>
    <s v="Supplier/Vendor"/>
    <s v="Switzerland"/>
    <x v="1"/>
    <n v="2"/>
  </r>
  <r>
    <x v="87"/>
    <n v="775"/>
    <x v="12"/>
    <n v="18585"/>
    <n v="44482"/>
    <d v="2026-01-12T00:00:00"/>
    <s v=""/>
    <s v="United States"/>
    <x v="4"/>
    <n v="1"/>
  </r>
  <r>
    <x v="88"/>
    <n v="775"/>
    <x v="35"/>
    <n v="18965"/>
    <n v="45000"/>
    <d v="2023-03-28T00:00:00"/>
    <s v=""/>
    <s v="United States"/>
    <x v="4"/>
    <n v="2"/>
  </r>
  <r>
    <x v="89"/>
    <n v="1545"/>
    <x v="5"/>
    <n v="18620"/>
    <n v="44519"/>
    <d v="2013-02-12T00:00:00"/>
    <s v="Government/Professional Associations/Academic Institution"/>
    <s v="United States"/>
    <x v="1"/>
    <n v="1"/>
  </r>
  <r>
    <x v="90"/>
    <n v="775"/>
    <x v="26"/>
    <n v="18695"/>
    <n v="44595"/>
    <d v="2025-01-24T00:00:00"/>
    <s v=""/>
    <s v=""/>
    <x v="4"/>
    <n v="1"/>
  </r>
  <r>
    <x v="91"/>
    <n v="1545"/>
    <x v="49"/>
    <n v="18421"/>
    <n v="44301"/>
    <d v="2026-01-07T00:00:00"/>
    <s v="Supplier/Vendor"/>
    <s v="United States"/>
    <x v="1"/>
    <n v="1"/>
  </r>
  <r>
    <x v="92"/>
    <n v="775"/>
    <x v="49"/>
    <n v="18418"/>
    <n v="44298"/>
    <d v="2023-05-04T00:00:00"/>
    <s v=""/>
    <s v="United States"/>
    <x v="4"/>
    <n v="1"/>
  </r>
  <r>
    <x v="93"/>
    <n v="775"/>
    <x v="27"/>
    <n v="18845"/>
    <n v="44817"/>
    <d v="2026-02-02T00:00:00"/>
    <s v=""/>
    <s v="United States"/>
    <x v="4"/>
    <n v="2"/>
  </r>
  <r>
    <x v="94"/>
    <n v="775"/>
    <x v="50"/>
    <n v="18862"/>
    <n v="44835"/>
    <d v="2026-02-03T00:00:00"/>
    <s v=""/>
    <s v="United States"/>
    <x v="4"/>
    <n v="2"/>
  </r>
  <r>
    <x v="95"/>
    <n v="1545"/>
    <x v="18"/>
    <n v="18947"/>
    <n v="44979"/>
    <d v="2021-12-08T00:00:00"/>
    <s v="Supplier/Vendor"/>
    <s v="United States"/>
    <x v="1"/>
    <n v="2"/>
  </r>
  <r>
    <x v="96"/>
    <n v="23375"/>
    <x v="28"/>
    <n v="19076"/>
    <n v="45158"/>
    <d v="2002-12-12T00:00:00"/>
    <s v="Supplier/Vendor"/>
    <s v="United States"/>
    <x v="1"/>
    <n v="2"/>
  </r>
  <r>
    <x v="97"/>
    <n v="2680"/>
    <x v="51"/>
    <n v="18656"/>
    <n v="44554"/>
    <d v="2001-04-04T00:00:00"/>
    <s v="Government/Professional Associations/Academic Institution"/>
    <s v="United States"/>
    <x v="1"/>
    <n v="1"/>
  </r>
  <r>
    <x v="98"/>
    <n v="1545"/>
    <x v="15"/>
    <n v="18683"/>
    <n v="44583"/>
    <d v="2025-01-22T00:00:00"/>
    <s v="Supplier/Vendor"/>
    <s v="United States"/>
    <x v="1"/>
    <n v="1"/>
  </r>
  <r>
    <x v="99"/>
    <n v="775"/>
    <x v="52"/>
    <n v="18774"/>
    <n v="44713"/>
    <d v="2026-01-28T00:00:00"/>
    <s v=""/>
    <s v="Japan"/>
    <x v="4"/>
    <n v="1"/>
  </r>
  <r>
    <x v="100"/>
    <n v="1545"/>
    <x v="42"/>
    <n v="19227"/>
    <n v="45392"/>
    <d v="2009-08-26T00:00:00"/>
    <s v="Government/Professional Associations/Academic Institution"/>
    <s v="United States"/>
    <x v="1"/>
    <n v="3"/>
  </r>
  <r>
    <x v="101"/>
    <n v="1905"/>
    <x v="1"/>
    <n v="19477"/>
    <n v="45869"/>
    <d v="2011-03-28T00:00:00"/>
    <s v="Government/Professional Associations/Academic Institution"/>
    <s v="United States"/>
    <x v="2"/>
    <n v="3"/>
  </r>
  <r>
    <x v="102"/>
    <n v="1905"/>
    <x v="24"/>
    <n v="19241"/>
    <n v="45429"/>
    <d v="2022-06-06T00:00:00"/>
    <s v="Government/Professional Associations/Academic Institution"/>
    <s v="United States"/>
    <x v="2"/>
    <n v="3"/>
  </r>
  <r>
    <x v="103"/>
    <n v="775"/>
    <x v="32"/>
    <n v="19406"/>
    <n v="45756"/>
    <d v="2022-01-16T00:00:00"/>
    <s v=""/>
    <s v="United States"/>
    <x v="4"/>
    <n v="3"/>
  </r>
  <r>
    <x v="104"/>
    <n v="1905"/>
    <x v="18"/>
    <n v="18949"/>
    <n v="44981"/>
    <d v="2020-09-21T00:00:00"/>
    <s v="Government/Professional Associations/Academic Institution"/>
    <s v="United States"/>
    <x v="2"/>
    <n v="2"/>
  </r>
  <r>
    <x v="105"/>
    <n v="1650"/>
    <x v="31"/>
    <n v="19507"/>
    <n v="45907"/>
    <d v="2002-04-05T00:00:00"/>
    <s v="Provider"/>
    <s v="United States"/>
    <x v="1"/>
    <n v="3"/>
  </r>
  <r>
    <x v="106"/>
    <n v="7570"/>
    <x v="31"/>
    <n v="19505"/>
    <n v="45905"/>
    <d v="2006-05-30T00:00:00"/>
    <s v="Provider"/>
    <s v="United States"/>
    <x v="1"/>
    <n v="3"/>
  </r>
  <r>
    <x v="107"/>
    <n v="2680"/>
    <x v="51"/>
    <n v="18660"/>
    <n v="44559"/>
    <d v="2011-12-20T00:00:00"/>
    <s v="Government/Professional Associations/Academic Institution"/>
    <s v="United States"/>
    <x v="1"/>
    <n v="1"/>
  </r>
  <r>
    <x v="108"/>
    <n v="775"/>
    <x v="53"/>
    <n v="19359"/>
    <n v="45652"/>
    <d v="2026-03-19T00:00:00"/>
    <s v=""/>
    <s v="United States"/>
    <x v="4"/>
    <n v="3"/>
  </r>
  <r>
    <x v="109"/>
    <n v="5770"/>
    <x v="14"/>
    <n v="19453"/>
    <n v="45819"/>
    <d v="2003-01-09T00:00:00"/>
    <s v="Payer"/>
    <s v="United States"/>
    <x v="1"/>
    <n v="3"/>
  </r>
  <r>
    <x v="110"/>
    <n v="1545"/>
    <x v="10"/>
    <n v="19437"/>
    <n v="45792"/>
    <d v="2013-04-25T00:00:00"/>
    <s v="Consultant"/>
    <s v="United States"/>
    <x v="1"/>
    <n v="3"/>
  </r>
  <r>
    <x v="111"/>
    <n v="2680"/>
    <x v="20"/>
    <n v="18826"/>
    <n v="44799"/>
    <d v="2017-07-26T00:00:00"/>
    <s v="Government/Professional Associations/Academic Institution"/>
    <s v="United States"/>
    <x v="1"/>
    <n v="1"/>
  </r>
  <r>
    <x v="112"/>
    <n v="1545"/>
    <x v="32"/>
    <n v="19413"/>
    <n v="45764"/>
    <d v="2010-12-10T00:00:00"/>
    <s v="Government/Professional Associations/Academic Institution"/>
    <s v="United States"/>
    <x v="1"/>
    <n v="3"/>
  </r>
  <r>
    <x v="113"/>
    <n v="775"/>
    <x v="1"/>
    <n v="19470"/>
    <n v="45856"/>
    <d v="2020-04-01T00:00:00"/>
    <s v=""/>
    <s v="United States"/>
    <x v="4"/>
    <n v="3"/>
  </r>
  <r>
    <x v="114"/>
    <n v="10170"/>
    <x v="43"/>
    <n v="19377"/>
    <n v="45703"/>
    <d v="2018-09-04T00:00:00"/>
    <s v="Supplier/Vendor"/>
    <s v="United States"/>
    <x v="1"/>
    <n v="3"/>
  </r>
  <r>
    <x v="115"/>
    <n v="1545"/>
    <x v="43"/>
    <n v="19372"/>
    <n v="45683"/>
    <d v="2024-05-03T00:00:00"/>
    <s v="Supplier/Vendor"/>
    <s v="United States"/>
    <x v="1"/>
    <n v="3"/>
  </r>
  <r>
    <x v="116"/>
    <n v="2370"/>
    <x v="53"/>
    <n v="19365"/>
    <n v="45676"/>
    <d v="2026-03-19T00:00:00"/>
    <s v="Supplier/Vendor"/>
    <s v="United States"/>
    <x v="1"/>
    <n v="3"/>
  </r>
  <r>
    <x v="117"/>
    <n v="2990"/>
    <x v="42"/>
    <n v="19228"/>
    <n v="45393"/>
    <d v="2025-04-28T00:00:00"/>
    <s v="Supplier/Vendor"/>
    <s v="United States"/>
    <x v="2"/>
    <n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Beata Piehl Household"/>
    <n v="775"/>
    <d v="2026-01-11T00:00:00"/>
    <n v="18551"/>
    <n v="44438"/>
    <d v="2024-04-03T00:00:00"/>
    <s v=""/>
    <s v=""/>
    <x v="0"/>
    <x v="0"/>
  </r>
  <r>
    <s v="Bellese Technologies"/>
    <n v="775"/>
    <d v="2026-01-05T00:00:00"/>
    <n v="18371"/>
    <n v="44227"/>
    <d v="2021-08-25T00:00:00"/>
    <s v=""/>
    <s v="United States"/>
    <x v="0"/>
    <x v="0"/>
  </r>
  <r>
    <s v="Brandon Noffsinger Household"/>
    <n v="775"/>
    <d v="2026-03-26T00:00:00"/>
    <n v="19433"/>
    <n v="45787"/>
    <d v="2026-03-26T00:00:00"/>
    <s v=""/>
    <s v="United States"/>
    <x v="0"/>
    <x v="1"/>
  </r>
  <r>
    <s v="CSIRO"/>
    <n v="775"/>
    <d v="2026-01-12T00:00:00"/>
    <n v="18605"/>
    <n v="44503"/>
    <d v="2026-01-12T00:00:00"/>
    <s v=""/>
    <s v="Australia"/>
    <x v="0"/>
    <x v="0"/>
  </r>
  <r>
    <s v="DUANE VEACH Household"/>
    <n v="775"/>
    <d v="2026-03-23T00:00:00"/>
    <n v="19400"/>
    <n v="45749"/>
    <d v="2026-03-23T00:00:00"/>
    <s v=""/>
    <s v="United States"/>
    <x v="0"/>
    <x v="1"/>
  </r>
  <r>
    <s v="Daniel Ries Household"/>
    <n v="100"/>
    <d v="2026-02-16T00:00:00"/>
    <n v="18946"/>
    <n v="44978"/>
    <d v="2023-02-02T00:00:00"/>
    <s v=""/>
    <s v="United States"/>
    <x v="1"/>
    <x v="2"/>
  </r>
  <r>
    <s v="Dennis Loucks Household"/>
    <n v="775"/>
    <d v="2026-01-31T00:00:00"/>
    <n v="18840"/>
    <n v="44813"/>
    <d v="2021-12-16T00:00:00"/>
    <s v=""/>
    <s v=""/>
    <x v="0"/>
    <x v="0"/>
  </r>
  <r>
    <s v="Donald Kurtz Household"/>
    <n v="775"/>
    <d v="2026-01-30T00:00:00"/>
    <n v="18833"/>
    <n v="44806"/>
    <d v="2026-01-30T00:00:00"/>
    <s v=""/>
    <s v="United States"/>
    <x v="0"/>
    <x v="0"/>
  </r>
  <r>
    <s v="Eli Streitmatter Household"/>
    <n v="775"/>
    <d v="2026-03-18T00:00:00"/>
    <n v="19340"/>
    <n v="45627"/>
    <d v="2026-03-18T00:00:00"/>
    <s v=""/>
    <s v="United States"/>
    <x v="0"/>
    <x v="1"/>
  </r>
  <r>
    <s v="First Databank"/>
    <n v="775"/>
    <d v="2026-01-21T00:00:00"/>
    <n v="18708"/>
    <n v="44608"/>
    <d v="2015-02-03T00:00:00"/>
    <s v="Supplier/Vendor"/>
    <s v="United States"/>
    <x v="0"/>
    <x v="0"/>
  </r>
  <r>
    <s v="Glen Rigby Household"/>
    <n v="775"/>
    <d v="2026-02-27T00:00:00"/>
    <n v="19083"/>
    <n v="45165"/>
    <d v="2026-02-27T00:00:00"/>
    <s v=""/>
    <s v="United States"/>
    <x v="0"/>
    <x v="2"/>
  </r>
  <r>
    <s v="Hung Vo Household"/>
    <n v="75"/>
    <d v="2026-03-13T00:00:00"/>
    <n v="19292"/>
    <n v="45526"/>
    <d v="2026-03-13T00:00:00"/>
    <s v=""/>
    <s v="United States"/>
    <x v="2"/>
    <x v="1"/>
  </r>
  <r>
    <s v="John Moehrke Household"/>
    <n v="775"/>
    <d v="2026-01-06T00:00:00"/>
    <n v="18392"/>
    <n v="44254"/>
    <d v="2026-01-06T00:00:00"/>
    <s v=""/>
    <s v="United States"/>
    <x v="0"/>
    <x v="0"/>
  </r>
  <r>
    <s v="Jonathan Whitby Household"/>
    <n v="775"/>
    <d v="2026-03-04T00:00:00"/>
    <n v="19136"/>
    <n v="45235"/>
    <d v="2019-02-27T00:00:00"/>
    <s v=""/>
    <s v="United States"/>
    <x v="0"/>
    <x v="1"/>
  </r>
  <r>
    <s v="Ken McCaslin Household"/>
    <n v="100"/>
    <d v="2026-02-11T00:00:00"/>
    <n v="18927"/>
    <n v="44951"/>
    <d v="1996-08-15T00:00:00"/>
    <s v=""/>
    <s v="United States"/>
    <x v="1"/>
    <x v="2"/>
  </r>
  <r>
    <s v="Lisa Nelson Household"/>
    <n v="775"/>
    <d v="2026-03-06T00:00:00"/>
    <n v="19224"/>
    <n v="45388"/>
    <d v="2025-03-25T00:00:00"/>
    <s v=""/>
    <s v=""/>
    <x v="0"/>
    <x v="1"/>
  </r>
  <r>
    <s v="Marc Albers Household"/>
    <n v="775"/>
    <d v="2026-03-20T00:00:00"/>
    <n v="19382"/>
    <n v="45724"/>
    <d v="2026-03-20T00:00:00"/>
    <s v=""/>
    <s v="United States"/>
    <x v="0"/>
    <x v="1"/>
  </r>
  <r>
    <s v="Mark Marciante Household"/>
    <n v="775"/>
    <d v="2026-02-02T00:00:00"/>
    <n v="18853"/>
    <n v="44825"/>
    <d v="2024-02-22T00:00:00"/>
    <s v=""/>
    <s v=""/>
    <x v="0"/>
    <x v="2"/>
  </r>
  <r>
    <s v="Robert Campbell Household"/>
    <n v="775"/>
    <d v="2026-03-06T00:00:00"/>
    <n v="19198"/>
    <n v="45356"/>
    <d v="2022-03-09T00:00:00"/>
    <s v=""/>
    <s v="United States"/>
    <x v="0"/>
    <x v="1"/>
  </r>
  <r>
    <s v="Ryan Lee Household"/>
    <n v="775"/>
    <d v="2026-01-12T00:00:00"/>
    <n v="18585"/>
    <n v="44482"/>
    <d v="2026-01-12T00:00:00"/>
    <s v=""/>
    <s v="United States"/>
    <x v="0"/>
    <x v="0"/>
  </r>
  <r>
    <s v="Ryan Weihler Household"/>
    <n v="775"/>
    <d v="2026-02-17T00:00:00"/>
    <n v="18965"/>
    <n v="45000"/>
    <d v="2023-03-28T00:00:00"/>
    <s v=""/>
    <s v="United States"/>
    <x v="0"/>
    <x v="2"/>
  </r>
  <r>
    <s v="Sam Schifman Household"/>
    <n v="775"/>
    <d v="2026-01-21T00:00:00"/>
    <n v="18695"/>
    <n v="44595"/>
    <d v="2025-01-24T00:00:00"/>
    <s v=""/>
    <s v=""/>
    <x v="0"/>
    <x v="0"/>
  </r>
  <r>
    <s v="Sandy Vance Household"/>
    <n v="775"/>
    <d v="2026-01-07T00:00:00"/>
    <n v="18418"/>
    <n v="44298"/>
    <d v="2023-05-04T00:00:00"/>
    <s v=""/>
    <s v="United States"/>
    <x v="0"/>
    <x v="0"/>
  </r>
  <r>
    <s v="Srinivasan Parthasarathy Household"/>
    <n v="775"/>
    <d v="2026-02-02T00:00:00"/>
    <n v="18845"/>
    <n v="44817"/>
    <d v="2026-02-02T00:00:00"/>
    <s v=""/>
    <s v="United States"/>
    <x v="0"/>
    <x v="2"/>
  </r>
  <r>
    <s v="Stan Rankins Household"/>
    <n v="775"/>
    <d v="2026-02-03T00:00:00"/>
    <n v="18862"/>
    <n v="44835"/>
    <d v="2026-02-03T00:00:00"/>
    <s v=""/>
    <s v="United States"/>
    <x v="0"/>
    <x v="2"/>
  </r>
  <r>
    <s v="Toshiaki Kato Household"/>
    <n v="775"/>
    <d v="2026-01-28T00:00:00"/>
    <n v="18774"/>
    <n v="44713"/>
    <d v="2026-01-28T00:00:00"/>
    <s v=""/>
    <s v="Japan"/>
    <x v="0"/>
    <x v="0"/>
  </r>
  <r>
    <s v="USC/CHLA"/>
    <n v="775"/>
    <d v="2026-03-24T00:00:00"/>
    <n v="19406"/>
    <n v="45756"/>
    <d v="2022-01-16T00:00:00"/>
    <s v=""/>
    <s v="United States"/>
    <x v="0"/>
    <x v="1"/>
  </r>
  <r>
    <s v="Vrushang Patel Household"/>
    <n v="775"/>
    <d v="2026-03-19T00:00:00"/>
    <n v="19359"/>
    <n v="45652"/>
    <d v="2026-03-19T00:00:00"/>
    <s v=""/>
    <s v="United States"/>
    <x v="0"/>
    <x v="1"/>
  </r>
  <r>
    <s v="Yan Heras Household"/>
    <n v="775"/>
    <d v="2026-03-30T00:00:00"/>
    <n v="19470"/>
    <n v="45856"/>
    <d v="2020-04-01T00:00:00"/>
    <s v=""/>
    <s v="United States"/>
    <x v="0"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ARUP Laboratories, Inc."/>
    <n v="1650"/>
    <d v="2026-03-30T00:00:00"/>
    <n v="19487"/>
    <n v="45879"/>
    <d v="2002-07-23T00:00:00"/>
    <s v="Provider"/>
    <s v="United States"/>
    <x v="0"/>
    <n v="3"/>
  </r>
  <r>
    <s v="Acre Security"/>
    <n v="1905"/>
    <d v="2026-02-13T00:00:00"/>
    <n v="18941"/>
    <n v="44973"/>
    <d v="2022-01-10T00:00:00"/>
    <s v="Supplier/Vendor"/>
    <s v="United States"/>
    <x v="1"/>
    <n v="2"/>
  </r>
  <r>
    <s v="American Dental Association"/>
    <n v="1620"/>
    <d v="2026-02-19T00:00:00"/>
    <n v="18996"/>
    <n v="45039"/>
    <d v="2012-03-08T00:00:00"/>
    <s v="Government/Professional Associations/Academic Institution"/>
    <s v="United States"/>
    <x v="0"/>
    <n v="2"/>
  </r>
  <r>
    <s v="American Medical Association"/>
    <n v="16500"/>
    <d v="2026-03-04T00:00:00"/>
    <n v="19145"/>
    <n v="45249"/>
    <d v="2009-12-15T00:00:00"/>
    <s v="Government/Professional Associations/Academic Institution"/>
    <s v="United States"/>
    <x v="2"/>
    <n v="3"/>
  </r>
  <r>
    <s v="Apelon, Inc."/>
    <n v="2370"/>
    <d v="2026-01-13T00:00:00"/>
    <n v="18613"/>
    <n v="44511"/>
    <d v="2003-08-06T00:00:00"/>
    <s v="Supplier/Vendor"/>
    <s v="United States"/>
    <x v="0"/>
    <n v="1"/>
  </r>
  <r>
    <s v="Becton Dickinson"/>
    <n v="23375"/>
    <d v="2026-02-19T00:00:00"/>
    <n v="18995"/>
    <n v="45038"/>
    <d v="2015-10-20T00:00:00"/>
    <s v="Supplier/Vendor"/>
    <s v="United States"/>
    <x v="0"/>
    <n v="2"/>
  </r>
  <r>
    <s v="Benedictine Health System"/>
    <n v="2680"/>
    <d v="2026-03-25T00:00:00"/>
    <n v="19429"/>
    <n v="45783"/>
    <d v="2019-04-04T00:00:00"/>
    <s v="Provider"/>
    <s v="United States"/>
    <x v="0"/>
    <n v="3"/>
  </r>
  <r>
    <s v="Blue Cross Blue Shield Association"/>
    <n v="5770"/>
    <d v="2026-02-11T00:00:00"/>
    <n v="18923"/>
    <n v="44942"/>
    <d v="1999-07-19T00:00:00"/>
    <s v="Payer"/>
    <s v="United States"/>
    <x v="0"/>
    <n v="2"/>
  </r>
  <r>
    <s v="CAL2CAL Corporation"/>
    <n v="1905"/>
    <d v="2026-02-09T00:00:00"/>
    <n v="18906"/>
    <n v="44895"/>
    <d v="2003-04-14T00:00:00"/>
    <s v="Supplier/Vendor"/>
    <s v="United States"/>
    <x v="1"/>
    <n v="2"/>
  </r>
  <r>
    <s v="Children's Hospital of Philadelphia"/>
    <n v="9990"/>
    <d v="2026-02-20T00:00:00"/>
    <n v="18993"/>
    <n v="45036"/>
    <d v="2009-06-19T00:00:00"/>
    <s v="Provider"/>
    <s v="United States"/>
    <x v="0"/>
    <n v="2"/>
  </r>
  <r>
    <s v="Clinicomp, Intl"/>
    <n v="16175"/>
    <d v="2026-03-27T00:00:00"/>
    <n v="19452"/>
    <n v="45818"/>
    <d v="2010-01-01T00:00:00"/>
    <s v="Supplier/Vendor"/>
    <s v="United States"/>
    <x v="0"/>
    <n v="3"/>
  </r>
  <r>
    <s v="College of American Pathologists"/>
    <n v="1545"/>
    <d v="2026-01-20T00:00:00"/>
    <n v="18678"/>
    <n v="44578"/>
    <d v="2010-01-01T00:00:00"/>
    <s v="Government/Professional Associations/Academic Institution"/>
    <s v="United States"/>
    <x v="0"/>
    <n v="1"/>
  </r>
  <r>
    <s v="CyncHealth"/>
    <n v="7210"/>
    <d v="2026-02-06T00:00:00"/>
    <n v="18957"/>
    <n v="44992"/>
    <d v="2023-08-30T00:00:00"/>
    <s v="Provider"/>
    <s v="United States"/>
    <x v="0"/>
    <n v="2"/>
  </r>
  <r>
    <s v="Dataware Sdn Bhd"/>
    <n v="1545"/>
    <d v="2026-02-09T00:00:00"/>
    <n v="18914"/>
    <n v="44907"/>
    <d v="2012-08-16T00:00:00"/>
    <s v="Supplier/Vendor"/>
    <s v="Malaysia"/>
    <x v="0"/>
    <n v="2"/>
  </r>
  <r>
    <s v="Duteau Design Inc"/>
    <n v="1905"/>
    <d v="2026-03-02T00:00:00"/>
    <n v="19109"/>
    <n v="45195"/>
    <d v="2020-12-15T00:00:00"/>
    <s v="Consultant"/>
    <s v="Canada"/>
    <x v="1"/>
    <n v="3"/>
  </r>
  <r>
    <s v="Epic"/>
    <n v="38100"/>
    <d v="2026-01-26T00:00:00"/>
    <n v="18755"/>
    <n v="44679"/>
    <d v="1998-05-10T00:00:00"/>
    <s v="Supplier/Vendor"/>
    <s v="United States"/>
    <x v="2"/>
    <n v="1"/>
  </r>
  <r>
    <s v="Federal Electronic Health Record Modernization Office"/>
    <n v="35000"/>
    <d v="2026-03-09T00:00:00"/>
    <n v="19242"/>
    <n v="45430"/>
    <d v="2016-07-07T00:00:00"/>
    <s v="Government/Professional Associations/Academic Institution"/>
    <s v="United States"/>
    <x v="2"/>
    <n v="3"/>
  </r>
  <r>
    <s v="Firely USA"/>
    <n v="1905"/>
    <d v="2026-01-08T00:00:00"/>
    <n v="18444"/>
    <n v="44327"/>
    <d v="2024-02-19T00:00:00"/>
    <s v="Supplier/Vendor"/>
    <s v="United States"/>
    <x v="1"/>
    <n v="1"/>
  </r>
  <r>
    <s v="Flatiron Health"/>
    <n v="9685"/>
    <d v="2026-01-30T00:00:00"/>
    <n v="18825"/>
    <n v="44798"/>
    <d v="2015-05-20T00:00:00"/>
    <s v="Supplier/Vendor"/>
    <s v="United States"/>
    <x v="0"/>
    <n v="1"/>
  </r>
  <r>
    <s v="Fresenius Vial"/>
    <n v="23375"/>
    <d v="2026-02-02T00:00:00"/>
    <n v="18851"/>
    <n v="44823"/>
    <d v="2013-10-11T00:00:00"/>
    <s v="Supplier/Vendor"/>
    <s v="France"/>
    <x v="0"/>
    <n v="2"/>
  </r>
  <r>
    <s v="Global Alliant Inc"/>
    <n v="9685"/>
    <d v="2026-03-11T00:00:00"/>
    <n v="19269"/>
    <n v="45476"/>
    <d v="2024-04-18T00:00:00"/>
    <s v="Supplier/Vendor"/>
    <s v="United States"/>
    <x v="0"/>
    <n v="3"/>
  </r>
  <r>
    <s v="HIMSS"/>
    <n v="1905"/>
    <d v="2026-02-02T00:00:00"/>
    <n v="18850"/>
    <n v="44822"/>
    <d v="2009-09-11T00:00:00"/>
    <s v="Government/Professional Associations/Academic Institution"/>
    <s v="United States"/>
    <x v="1"/>
    <n v="2"/>
  </r>
  <r>
    <s v="Health and Welfare Information Systems Centre"/>
    <n v="5460"/>
    <d v="2026-03-16T00:00:00"/>
    <n v="19301"/>
    <n v="45540"/>
    <d v="2017-04-05T00:00:00"/>
    <s v="Government/Professional Associations/Academic Institution"/>
    <s v="Estonia"/>
    <x v="0"/>
    <n v="3"/>
  </r>
  <r>
    <s v="Helios Software"/>
    <n v="1545"/>
    <d v="2026-03-25T00:00:00"/>
    <n v="19422"/>
    <n v="45776"/>
    <d v="2026-03-25T00:00:00"/>
    <s v="Supplier/Vendor"/>
    <s v="United States"/>
    <x v="0"/>
    <n v="3"/>
  </r>
  <r>
    <s v="ICCBBA, Inc."/>
    <n v="1545"/>
    <d v="2026-02-06T00:00:00"/>
    <n v="18891"/>
    <n v="44881"/>
    <d v="2000-02-14T00:00:00"/>
    <s v="Government/Professional Associations/Academic Institution"/>
    <s v="United States"/>
    <x v="0"/>
    <n v="2"/>
  </r>
  <r>
    <s v="ICF"/>
    <n v="23375"/>
    <d v="2026-01-26T00:00:00"/>
    <n v="18752"/>
    <n v="44676"/>
    <d v="2012-12-13T00:00:00"/>
    <s v="Consultant"/>
    <s v="United States"/>
    <x v="0"/>
    <n v="1"/>
  </r>
  <r>
    <s v="Indian Health Service"/>
    <n v="5460"/>
    <d v="2026-01-15T00:00:00"/>
    <n v="18650"/>
    <n v="44548"/>
    <d v="2009-06-25T00:00:00"/>
    <s v="Government/Professional Associations/Academic Institution"/>
    <s v="United States"/>
    <x v="0"/>
    <n v="1"/>
  </r>
  <r>
    <s v="InterSystems"/>
    <n v="40000"/>
    <d v="2026-03-17T00:00:00"/>
    <n v="19316"/>
    <n v="45566"/>
    <d v="2009-07-07T00:00:00"/>
    <s v="Supplier/Vendor"/>
    <s v="United States"/>
    <x v="2"/>
    <n v="3"/>
  </r>
  <r>
    <s v="Intrepid Ascent"/>
    <n v="5770"/>
    <d v="2026-03-13T00:00:00"/>
    <n v="19294"/>
    <n v="45528"/>
    <d v="2025-04-18T00:00:00"/>
    <s v="Consultant"/>
    <s v="United States"/>
    <x v="0"/>
    <n v="3"/>
  </r>
  <r>
    <s v="Johns Hopkins Hospital"/>
    <n v="14420"/>
    <d v="2026-02-02T00:00:00"/>
    <n v="18849"/>
    <n v="44821"/>
    <d v="2003-12-08T00:00:00"/>
    <s v="Provider"/>
    <s v="United States"/>
    <x v="0"/>
    <n v="2"/>
  </r>
  <r>
    <s v="KlearTrust"/>
    <n v="1545"/>
    <d v="2026-01-29T00:00:00"/>
    <n v="18802"/>
    <n v="44761"/>
    <d v="2024-01-12T00:00:00"/>
    <s v="Supplier/Vendor"/>
    <s v="United States"/>
    <x v="0"/>
    <n v="1"/>
  </r>
  <r>
    <s v="MEDENT"/>
    <n v="16175"/>
    <d v="2026-02-20T00:00:00"/>
    <n v="18994"/>
    <n v="45037"/>
    <d v="2010-01-27T00:00:00"/>
    <s v="Supplier/Vendor"/>
    <s v="United States"/>
    <x v="0"/>
    <n v="2"/>
  </r>
  <r>
    <s v="Massachusetts Health Data Consortium"/>
    <n v="1905"/>
    <d v="2026-02-17T00:00:00"/>
    <n v="18958"/>
    <n v="44993"/>
    <d v="2020-05-15T00:00:00"/>
    <s v="Government/Professional Associations/Academic Institution"/>
    <s v="United States"/>
    <x v="1"/>
    <n v="2"/>
  </r>
  <r>
    <s v="MedicaSoft"/>
    <n v="2370"/>
    <d v="2026-01-20T00:00:00"/>
    <n v="18672"/>
    <n v="44570"/>
    <d v="2014-12-15T00:00:00"/>
    <s v="Supplier/Vendor"/>
    <s v="United States"/>
    <x v="0"/>
    <n v="1"/>
  </r>
  <r>
    <s v="Mediclinic Southern Africa"/>
    <n v="1650"/>
    <d v="2026-03-27T00:00:00"/>
    <n v="19449"/>
    <n v="45813"/>
    <d v="2016-03-30T00:00:00"/>
    <s v="Provider"/>
    <s v="South Africa"/>
    <x v="0"/>
    <n v="3"/>
  </r>
  <r>
    <s v="MyDirectives"/>
    <n v="1905"/>
    <d v="2026-01-22T00:00:00"/>
    <n v="18717"/>
    <n v="44617"/>
    <d v="2018-12-31T00:00:00"/>
    <s v="Supplier/Vendor"/>
    <s v="United States"/>
    <x v="1"/>
    <n v="1"/>
  </r>
  <r>
    <s v="NCQA"/>
    <n v="16500"/>
    <d v="2026-03-09T00:00:00"/>
    <n v="19240"/>
    <n v="45428"/>
    <d v="2012-04-05T00:00:00"/>
    <s v="Government/Professional Associations/Academic Institution"/>
    <s v="United States"/>
    <x v="2"/>
    <n v="3"/>
  </r>
  <r>
    <s v="NYC Department of Health and Mental Hygiene"/>
    <n v="1905"/>
    <d v="2026-03-04T00:00:00"/>
    <n v="19156"/>
    <n v="45291"/>
    <d v="2011-06-27T00:00:00"/>
    <s v="Government/Professional Associations/Academic Institution"/>
    <s v="United States"/>
    <x v="1"/>
    <n v="3"/>
  </r>
  <r>
    <s v="National Association of Dental Plans"/>
    <n v="1545"/>
    <d v="2026-01-15T00:00:00"/>
    <n v="18652"/>
    <n v="44550"/>
    <d v="2006-01-03T00:00:00"/>
    <s v="Government/Professional Associations/Academic Institution"/>
    <s v="United States"/>
    <x v="0"/>
    <n v="1"/>
  </r>
  <r>
    <s v="Nava"/>
    <n v="5460"/>
    <d v="2026-03-09T00:00:00"/>
    <n v="19245"/>
    <n v="45433"/>
    <d v="2023-05-23T00:00:00"/>
    <s v="Government/Professional Associations/Academic Institution"/>
    <s v="United States"/>
    <x v="0"/>
    <n v="3"/>
  </r>
  <r>
    <s v="New Fields Technologies LLC"/>
    <n v="2990"/>
    <d v="2026-01-23T00:00:00"/>
    <n v="18722"/>
    <n v="44622"/>
    <d v="2025-01-25T00:00:00"/>
    <s v="Supplier/Vendor"/>
    <s v="United States"/>
    <x v="1"/>
    <n v="1"/>
  </r>
  <r>
    <s v="Northwestern Medicine"/>
    <n v="18025"/>
    <d v="2026-03-25T00:00:00"/>
    <n v="19426"/>
    <n v="45780"/>
    <d v="2020-04-15T00:00:00"/>
    <s v="Provider"/>
    <s v="United States"/>
    <x v="1"/>
    <n v="3"/>
  </r>
  <r>
    <s v="Office of the National Coordinator for Health IT"/>
    <n v="36050"/>
    <d v="2026-03-25T00:00:00"/>
    <n v="19421"/>
    <n v="45775"/>
    <d v="2010-09-20T00:00:00"/>
    <s v="Government/Professional Associations/Academic Institution"/>
    <s v="United States"/>
    <x v="2"/>
    <n v="3"/>
  </r>
  <r>
    <s v="Onyx Technology LLC"/>
    <n v="2990"/>
    <d v="2026-01-09T00:00:00"/>
    <n v="18479"/>
    <n v="44361"/>
    <d v="2021-01-13T00:00:00"/>
    <s v="Supplier/Vendor"/>
    <s v="United States"/>
    <x v="1"/>
    <n v="1"/>
  </r>
  <r>
    <s v="Patient Centric Solutions"/>
    <n v="108.79"/>
    <d v="2026-01-09T00:00:00"/>
    <n v="18507"/>
    <n v="44390"/>
    <d v="2025-04-30T00:00:00"/>
    <s v="Supplier/Vendor"/>
    <s v="United States"/>
    <x v="1"/>
    <n v="1"/>
  </r>
  <r>
    <s v="Patient Centric Solutions"/>
    <n v="460.04"/>
    <d v="2026-01-09T00:00:00"/>
    <n v="18491"/>
    <n v="44373"/>
    <d v="2025-04-30T00:00:00"/>
    <s v="Supplier/Vendor"/>
    <s v="United States"/>
    <x v="0"/>
    <n v="1"/>
  </r>
  <r>
    <s v="Premier Healthcare Alliance"/>
    <n v="23375"/>
    <d v="2026-03-20T00:00:00"/>
    <n v="19374"/>
    <n v="45692"/>
    <d v="2011-06-24T00:00:00"/>
    <s v="Supplier/Vendor"/>
    <s v="United States"/>
    <x v="0"/>
    <n v="3"/>
  </r>
  <r>
    <s v="Professional Laboratory Management, Inc."/>
    <n v="1545"/>
    <d v="2026-01-05T00:00:00"/>
    <n v="18359"/>
    <n v="44215"/>
    <d v="2010-02-16T00:00:00"/>
    <s v="Consultant"/>
    <s v="United States"/>
    <x v="0"/>
    <n v="1"/>
  </r>
  <r>
    <s v="Ready Computing LLC"/>
    <n v="21630"/>
    <d v="2026-02-09T00:00:00"/>
    <n v="18908"/>
    <n v="44897"/>
    <d v="2015-10-27T00:00:00"/>
    <s v="Supplier/Vendor"/>
    <s v="United States"/>
    <x v="2"/>
    <n v="2"/>
  </r>
  <r>
    <s v="Reed Technology and Information Services Inc."/>
    <n v="2370"/>
    <d v="2026-03-27T00:00:00"/>
    <n v="19461"/>
    <n v="45835"/>
    <d v="2005-12-22T00:00:00"/>
    <s v="Supplier/Vendor"/>
    <s v="United States"/>
    <x v="0"/>
    <n v="3"/>
  </r>
  <r>
    <s v="Regenstrief Institute, Inc."/>
    <n v="2160"/>
    <d v="2026-02-18T00:00:00"/>
    <n v="18975"/>
    <n v="45010"/>
    <d v="1998-08-25T00:00:00"/>
    <s v="Provider"/>
    <s v="United States"/>
    <x v="1"/>
    <n v="2"/>
  </r>
  <r>
    <s v="RevDoc, LLC"/>
    <n v="1620"/>
    <d v="2026-03-21T00:00:00"/>
    <n v="19394"/>
    <n v="45737"/>
    <d v="2023-08-30T00:00:00"/>
    <s v="Supplier/Vendor"/>
    <s v="United States"/>
    <x v="0"/>
    <n v="3"/>
  </r>
  <r>
    <s v="Roche Diagnostics International Ltd."/>
    <n v="23375"/>
    <d v="2026-02-13T00:00:00"/>
    <n v="18940"/>
    <n v="44972"/>
    <d v="2013-01-28T00:00:00"/>
    <s v="Supplier/Vendor"/>
    <s v="Switzerland"/>
    <x v="0"/>
    <n v="2"/>
  </r>
  <r>
    <s v="SLI Compliance"/>
    <n v="1545"/>
    <d v="2026-01-13T00:00:00"/>
    <n v="18620"/>
    <n v="44519"/>
    <d v="2013-02-12T00:00:00"/>
    <s v="Government/Professional Associations/Academic Institution"/>
    <s v="United States"/>
    <x v="0"/>
    <n v="1"/>
  </r>
  <r>
    <s v="SandwYch, Inc."/>
    <n v="1545"/>
    <d v="2026-01-07T00:00:00"/>
    <n v="18421"/>
    <n v="44301"/>
    <d v="2026-01-07T00:00:00"/>
    <s v="Supplier/Vendor"/>
    <s v="United States"/>
    <x v="0"/>
    <n v="1"/>
  </r>
  <r>
    <s v="Stedi"/>
    <n v="1545"/>
    <d v="2026-02-16T00:00:00"/>
    <n v="18947"/>
    <n v="44979"/>
    <d v="2021-12-08T00:00:00"/>
    <s v="Supplier/Vendor"/>
    <s v="United States"/>
    <x v="0"/>
    <n v="2"/>
  </r>
  <r>
    <s v="Surescripts"/>
    <n v="23375"/>
    <d v="2026-02-27T00:00:00"/>
    <n v="19076"/>
    <n v="45158"/>
    <d v="2002-12-12T00:00:00"/>
    <s v="Supplier/Vendor"/>
    <s v="United States"/>
    <x v="0"/>
    <n v="2"/>
  </r>
  <r>
    <s v="Tennessee Department of Health"/>
    <n v="2680"/>
    <d v="2026-01-16T00:00:00"/>
    <n v="18656"/>
    <n v="44554"/>
    <d v="2001-04-04T00:00:00"/>
    <s v="Government/Professional Associations/Academic Institution"/>
    <s v="United States"/>
    <x v="0"/>
    <n v="1"/>
  </r>
  <r>
    <s v="Tetra Fields LLC"/>
    <n v="1545"/>
    <d v="2026-01-20T00:00:00"/>
    <n v="18683"/>
    <n v="44583"/>
    <d v="2025-01-22T00:00:00"/>
    <s v="Supplier/Vendor"/>
    <s v="United States"/>
    <x v="0"/>
    <n v="1"/>
  </r>
  <r>
    <s v="UHIN"/>
    <n v="1545"/>
    <d v="2026-03-06T00:00:00"/>
    <n v="19227"/>
    <n v="45392"/>
    <d v="2009-08-26T00:00:00"/>
    <s v="Government/Professional Associations/Academic Institution"/>
    <s v="United States"/>
    <x v="0"/>
    <n v="3"/>
  </r>
  <r>
    <s v="UNC School of Medicine"/>
    <n v="1905"/>
    <d v="2026-03-30T00:00:00"/>
    <n v="19477"/>
    <n v="45869"/>
    <d v="2011-03-28T00:00:00"/>
    <s v="Government/Professional Associations/Academic Institution"/>
    <s v="United States"/>
    <x v="1"/>
    <n v="3"/>
  </r>
  <r>
    <s v="USAging"/>
    <n v="1905"/>
    <d v="2026-03-09T00:00:00"/>
    <n v="19241"/>
    <n v="45429"/>
    <d v="2022-06-06T00:00:00"/>
    <s v="Government/Professional Associations/Academic Institution"/>
    <s v="United States"/>
    <x v="1"/>
    <n v="3"/>
  </r>
  <r>
    <s v="Univ of TX Health Science Center San Antonio"/>
    <n v="1905"/>
    <d v="2026-02-16T00:00:00"/>
    <n v="18949"/>
    <n v="44981"/>
    <d v="2020-09-21T00:00:00"/>
    <s v="Government/Professional Associations/Academic Institution"/>
    <s v="United States"/>
    <x v="1"/>
    <n v="2"/>
  </r>
  <r>
    <s v="University of Nebraska Medical Center"/>
    <n v="1650"/>
    <d v="2026-03-31T00:00:00"/>
    <n v="19507"/>
    <n v="45907"/>
    <d v="2002-04-05T00:00:00"/>
    <s v="Provider"/>
    <s v="United States"/>
    <x v="0"/>
    <n v="3"/>
  </r>
  <r>
    <s v="University of Utah Health Care"/>
    <n v="7570"/>
    <d v="2026-03-31T00:00:00"/>
    <n v="19505"/>
    <n v="45905"/>
    <d v="2006-05-30T00:00:00"/>
    <s v="Provider"/>
    <s v="United States"/>
    <x v="0"/>
    <n v="3"/>
  </r>
  <r>
    <s v="Virginia Department of Health"/>
    <n v="2680"/>
    <d v="2026-01-16T00:00:00"/>
    <n v="18660"/>
    <n v="44559"/>
    <d v="2011-12-20T00:00:00"/>
    <s v="Government/Professional Associations/Academic Institution"/>
    <s v="United States"/>
    <x v="0"/>
    <n v="1"/>
  </r>
  <r>
    <s v="WPS Health Solutions"/>
    <n v="5770"/>
    <d v="2026-03-27T00:00:00"/>
    <n v="19453"/>
    <n v="45819"/>
    <d v="2003-01-09T00:00:00"/>
    <s v="Payer"/>
    <s v="United States"/>
    <x v="0"/>
    <n v="3"/>
  </r>
  <r>
    <s v="WaveOne Associates Inc."/>
    <n v="1545"/>
    <d v="2026-03-26T00:00:00"/>
    <n v="19437"/>
    <n v="45792"/>
    <d v="2013-04-25T00:00:00"/>
    <s v="Consultant"/>
    <s v="United States"/>
    <x v="0"/>
    <n v="3"/>
  </r>
  <r>
    <s v="West Virginia Departments of Human Services, Health and Health Facilities"/>
    <n v="2680"/>
    <d v="2026-01-30T00:00:00"/>
    <n v="18826"/>
    <n v="44799"/>
    <d v="2017-07-26T00:00:00"/>
    <s v="Government/Professional Associations/Academic Institution"/>
    <s v="United States"/>
    <x v="0"/>
    <n v="1"/>
  </r>
  <r>
    <s v="Westat"/>
    <n v="1545"/>
    <d v="2026-03-24T00:00:00"/>
    <n v="19413"/>
    <n v="45764"/>
    <d v="2010-12-10T00:00:00"/>
    <s v="Government/Professional Associations/Academic Institution"/>
    <s v="United States"/>
    <x v="0"/>
    <n v="3"/>
  </r>
  <r>
    <s v="Yardi Systems, Inc."/>
    <n v="10170"/>
    <d v="2026-03-20T00:00:00"/>
    <n v="19377"/>
    <n v="45703"/>
    <d v="2018-09-04T00:00:00"/>
    <s v="Supplier/Vendor"/>
    <s v="United States"/>
    <x v="0"/>
    <n v="3"/>
  </r>
  <r>
    <s v="Zus Health"/>
    <n v="1545"/>
    <d v="2026-03-20T00:00:00"/>
    <n v="19372"/>
    <n v="45683"/>
    <d v="2024-05-03T00:00:00"/>
    <s v="Supplier/Vendor"/>
    <s v="United States"/>
    <x v="0"/>
    <n v="3"/>
  </r>
  <r>
    <s v="innoVet Health, LLC"/>
    <n v="2370"/>
    <d v="2026-03-19T00:00:00"/>
    <n v="19365"/>
    <n v="45676"/>
    <d v="2026-03-19T00:00:00"/>
    <s v="Supplier/Vendor"/>
    <s v="United States"/>
    <x v="0"/>
    <n v="3"/>
  </r>
  <r>
    <s v="tuuthfairy, Inc."/>
    <n v="2990"/>
    <d v="2026-03-06T00:00:00"/>
    <n v="19228"/>
    <n v="45393"/>
    <d v="2025-04-28T00:00:00"/>
    <s v="Supplier/Vendor"/>
    <s v="United States"/>
    <x v="1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6A709-78A3-44E1-B2EE-58557666F57D}" name="PivotTable7" cacheId="4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" baseField="0" baseItem="0" numFmtId="44"/>
  </dataFields>
  <formats count="2">
    <format dxfId="43">
      <pivotArea outline="0" collapsedLevelsAreSubtotals="1" fieldPosition="0"/>
    </format>
    <format dxfId="42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Accounts_with_Mem_and_Receipts">
        <x15:activeTabTopLevelEntity name="[Accounts_with_Mem_and_Receip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58221-7D53-4C27-90DB-68D12206D4C2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0:K14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96D6C-0AA7-487F-9212-34D7F6B7F9DC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J3:J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formats count="2">
    <format dxfId="45">
      <pivotArea outline="0" collapsedLevelsAreSubtotals="1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CB0AD-C62A-475A-9567-14E9C9D09E6F}" name="PivotTable10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7" firstHeaderRow="1" firstDataRow="1" firstDataCol="1"/>
  <pivotFields count="10"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tem Nam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DC05B-93CB-44B0-AA3C-A95E1040BB66}" name="PivotTable3" cacheId="3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" baseField="0" baseItem="0"/>
  </dataFields>
  <formats count="1">
    <format dxfId="35">
      <pivotArea collapsedLevelsAreSubtotals="1" fieldPosition="0">
        <references count="1">
          <reference field="0" count="0"/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Processed">
        <x15:activeTabTopLevelEntity name="[Process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B87D9-A316-4771-8CB7-73C0C5518F9A}" name="PivotTable8" cacheId="3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3:B27" firstHeaderRow="1" firstDataRow="1" firstDataCol="1"/>
  <pivotFields count="2">
    <pivotField axis="axisRow" allDrilled="1" subtotalTop="0" showAll="0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" baseField="0" baseItem="0" numFmtId="44"/>
  </dataFields>
  <formats count="2">
    <format dxfId="37">
      <pivotArea outline="0" collapsedLevelsAreSubtotals="1" fieldPosition="0"/>
    </format>
    <format dxfId="36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Processed">
        <x15:activeTabTopLevelEntity name="[Process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88EC4-A140-4629-8D5F-169267161F7E}" name="PivotTable1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26" firstHeaderRow="1" firstDataRow="1" firstDataCol="1"/>
  <pivotFields count="10"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tem Nam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A51CB-9ECD-4079-985B-A6EAB3F47C16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0"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2"/>
        <item x="1"/>
        <item m="1" x="10"/>
        <item m="1" x="11"/>
        <item m="1" x="7"/>
        <item m="1" x="5"/>
        <item m="1" x="3"/>
        <item m="1" x="4"/>
        <item m="1" x="9"/>
        <item m="1" x="6"/>
        <item m="1" x="8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" baseField="0" baseItem="0" numFmtId="44"/>
  </dataFields>
  <formats count="1">
    <format dxfId="34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C8321-BCF2-434E-B6D4-6BDA40970C3A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E20" firstHeaderRow="1" firstDataRow="4" firstDataCol="1" rowPageCount="1" colPageCount="1"/>
  <pivotFields count="12">
    <pivotField axis="axisRow" showAll="0">
      <items count="119">
        <item x="2"/>
        <item x="3"/>
        <item x="5"/>
        <item x="6"/>
        <item x="7"/>
        <item x="8"/>
        <item x="10"/>
        <item x="12"/>
        <item x="14"/>
        <item x="16"/>
        <item x="17"/>
        <item x="18"/>
        <item x="13"/>
        <item x="19"/>
        <item x="21"/>
        <item x="22"/>
        <item x="23"/>
        <item x="24"/>
        <item x="27"/>
        <item x="29"/>
        <item x="30"/>
        <item x="31"/>
        <item x="32"/>
        <item x="33"/>
        <item x="35"/>
        <item x="42"/>
        <item x="45"/>
        <item x="52"/>
        <item x="53"/>
        <item x="54"/>
        <item x="57"/>
        <item x="58"/>
        <item x="60"/>
        <item x="61"/>
        <item x="65"/>
        <item x="66"/>
        <item x="63"/>
        <item x="67"/>
        <item x="69"/>
        <item x="72"/>
        <item x="74"/>
        <item x="77"/>
        <item x="78"/>
        <item x="80"/>
        <item x="81"/>
        <item x="83"/>
        <item x="86"/>
        <item x="87"/>
        <item x="88"/>
        <item x="90"/>
        <item x="91"/>
        <item x="92"/>
        <item x="89"/>
        <item x="93"/>
        <item x="94"/>
        <item x="95"/>
        <item x="96"/>
        <item x="97"/>
        <item x="98"/>
        <item x="99"/>
        <item x="104"/>
        <item x="107"/>
        <item x="111"/>
        <item x="0"/>
        <item x="1"/>
        <item x="4"/>
        <item x="9"/>
        <item x="11"/>
        <item x="15"/>
        <item x="20"/>
        <item x="25"/>
        <item x="26"/>
        <item x="28"/>
        <item x="34"/>
        <item x="36"/>
        <item x="37"/>
        <item x="38"/>
        <item x="39"/>
        <item x="40"/>
        <item x="41"/>
        <item x="43"/>
        <item x="44"/>
        <item x="46"/>
        <item x="47"/>
        <item x="48"/>
        <item x="49"/>
        <item x="50"/>
        <item x="51"/>
        <item x="55"/>
        <item x="56"/>
        <item x="59"/>
        <item x="62"/>
        <item x="64"/>
        <item x="68"/>
        <item x="70"/>
        <item x="71"/>
        <item x="73"/>
        <item x="75"/>
        <item x="76"/>
        <item x="79"/>
        <item x="82"/>
        <item x="84"/>
        <item x="85"/>
        <item x="100"/>
        <item x="101"/>
        <item x="102"/>
        <item x="103"/>
        <item x="105"/>
        <item x="106"/>
        <item x="108"/>
        <item x="109"/>
        <item x="110"/>
        <item x="112"/>
        <item x="113"/>
        <item x="114"/>
        <item x="115"/>
        <item x="116"/>
        <item x="117"/>
        <item t="default"/>
      </items>
    </pivotField>
    <pivotField dataField="1" showAll="0"/>
    <pivotField axis="axisCol" showAll="0">
      <items count="55">
        <item x="7"/>
        <item x="40"/>
        <item x="49"/>
        <item x="25"/>
        <item x="46"/>
        <item x="6"/>
        <item x="12"/>
        <item x="5"/>
        <item x="39"/>
        <item x="51"/>
        <item x="15"/>
        <item x="26"/>
        <item x="44"/>
        <item x="45"/>
        <item x="23"/>
        <item x="52"/>
        <item x="41"/>
        <item x="20"/>
        <item x="19"/>
        <item x="27"/>
        <item x="50"/>
        <item x="16"/>
        <item x="11"/>
        <item x="9"/>
        <item x="2"/>
        <item x="18"/>
        <item x="35"/>
        <item x="47"/>
        <item x="3"/>
        <item x="13"/>
        <item x="34"/>
        <item x="28"/>
        <item x="0"/>
        <item x="1"/>
        <item x="4"/>
        <item x="8"/>
        <item x="10"/>
        <item x="14"/>
        <item x="17"/>
        <item x="21"/>
        <item x="22"/>
        <item x="24"/>
        <item x="29"/>
        <item x="30"/>
        <item x="31"/>
        <item x="32"/>
        <item x="33"/>
        <item x="36"/>
        <item x="37"/>
        <item x="38"/>
        <item x="42"/>
        <item x="43"/>
        <item x="48"/>
        <item x="53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9">
        <item x="6"/>
        <item h="1" x="3"/>
        <item h="1" x="2"/>
        <item h="1" x="4"/>
        <item h="1" x="1"/>
        <item h="1" x="5"/>
        <item h="1" x="0"/>
        <item h="1" x="7"/>
        <item t="default"/>
      </items>
    </pivotField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14">
    <i>
      <x v="25"/>
    </i>
    <i>
      <x v="26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 t="grand">
      <x/>
    </i>
  </rowItems>
  <colFields count="3">
    <field x="11"/>
    <field x="10"/>
    <field x="2"/>
  </colFields>
  <colItems count="3">
    <i>
      <x v="2"/>
    </i>
    <i>
      <x v="3"/>
    </i>
    <i t="grand">
      <x/>
    </i>
  </colItems>
  <pageFields count="1">
    <pageField fld="8" hier="-1"/>
  </pageFields>
  <dataFields count="1">
    <dataField name="Sum of 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39F6D-E79B-42E4-AB47-DEFBBB97001D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M6:N13" firstHeaderRow="1" firstDataRow="1" firstDataCol="1"/>
  <pivotFields count="11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1"/>
        <item x="5"/>
        <item x="3"/>
        <item x="4"/>
        <item x="2"/>
        <item x="0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Years Member" fld="1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B12DD-807D-4FBA-9005-4678480CE21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2:E23" firstHeaderRow="1" firstDataRow="1" firstDataCol="1"/>
  <pivotFields count="2">
    <pivotField axis="axisRow" dataField="1" numFmtId="9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pct" fld="0" subtotal="count" baseField="0" baseItem="0"/>
  </dataFields>
  <chartFormats count="2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939E32A-6B3F-4D4E-8379-B33A94FB1752}" autoFormatId="16" applyNumberFormats="0" applyBorderFormats="0" applyFontFormats="0" applyPatternFormats="0" applyAlignmentFormats="0" applyWidthHeightFormats="0">
  <queryTableRefresh nextId="11">
    <queryTableFields count="10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25621CD-01D0-4752-B01E-20D4986A55A4}" autoFormatId="16" applyNumberFormats="0" applyBorderFormats="0" applyFontFormats="0" applyPatternFormats="0" applyAlignmentFormats="0" applyWidthHeightFormats="0">
  <queryTableRefresh nextId="11">
    <queryTableFields count="10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674E1B6-3516-4F9C-8C85-F921BD04BA9A}" autoFormatId="16" applyNumberFormats="0" applyBorderFormats="0" applyFontFormats="0" applyPatternFormats="0" applyAlignmentFormats="0" applyWidthHeightFormats="0">
  <queryTableRefresh nextId="13">
    <queryTableFields count="11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  <queryTableField id="12" name="Years Member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25CF60-7640-46DD-8060-F5DF19CD1E06}" autoFormatId="16" applyNumberFormats="0" applyBorderFormats="0" applyFontFormats="0" applyPatternFormats="0" applyAlignmentFormats="0" applyWidthHeightFormats="0">
  <queryTableRefresh nextId="11">
    <queryTableFields count="10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605841-21C6-4A3A-9671-42B381F66ACF}" name="Table10" displayName="Table10" ref="F3:G7" totalsRowCount="1">
  <autoFilter ref="F3:G6" xr:uid="{43605841-21C6-4A3A-9671-42B381F66ACF}"/>
  <tableColumns count="2">
    <tableColumn id="1" xr3:uid="{E1B23E9D-966B-4463-8E08-4C5BE7B39A1C}" name="Membership Class" totalsRowLabel="Grand Total" dataDxfId="41" totalsRowDxfId="40"/>
    <tableColumn id="2" xr3:uid="{4B9EBADE-A69E-47F4-A148-E91327D51523}" name="2026 Dues Total" totalsRowFunction="sum" dataDxfId="39" totalsRowDxfId="38" dataCellStyle="Currency" totalsRow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0785D2-41D0-425F-A7E7-F1262EAD59C7}" name="tblGauge" displayName="tblGauge" ref="B15:D38" totalsRowShown="0">
  <autoFilter ref="B15:D38" xr:uid="{A20785D2-41D0-425F-A7E7-F1262EAD59C7}"/>
  <tableColumns count="3">
    <tableColumn id="1" xr3:uid="{1E86A602-1569-42FD-A6E6-84FF4C4AE602}" name="Labels"/>
    <tableColumn id="2" xr3:uid="{956F1B96-EB00-4167-A7E3-0D0A94D0414C}" name="Values"/>
    <tableColumn id="3" xr3:uid="{5B7B24AD-D106-486F-8298-37442BFDCB1C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24B561D-3DE1-4073-8C70-585970459B4A}" name="tblSpeedo" displayName="tblSpeedo" ref="B39:C42" totalsRowShown="0">
  <autoFilter ref="B39:C42" xr:uid="{124B561D-3DE1-4073-8C70-585970459B4A}"/>
  <tableColumns count="2">
    <tableColumn id="1" xr3:uid="{C2FF714A-314E-49D7-AE45-DABAAD85226D}" name="Labels"/>
    <tableColumn id="2" xr3:uid="{79B46D6F-04AF-412E-82E9-4C0937467656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3CAA2A-3019-4CC4-8AA3-D44C337802CF}" name="Orgs" displayName="Orgs" ref="A1:J75" tableType="queryTable" totalsRowShown="0">
  <autoFilter ref="A1:J75" xr:uid="{773CAA2A-3019-4CC4-8AA3-D44C337802CF}"/>
  <tableColumns count="10">
    <tableColumn id="1" xr3:uid="{E76B5370-4112-4033-B309-979487D5D651}" uniqueName="1" name="Account Name" queryTableFieldId="1" dataDxfId="13"/>
    <tableColumn id="2" xr3:uid="{1D6F9AE6-5DC1-49F7-8782-34127926E9F0}" uniqueName="2" name="Total" queryTableFieldId="2"/>
    <tableColumn id="3" xr3:uid="{A191BF75-CA82-4ED7-BFE4-409FE5356D9C}" uniqueName="3" name="Posted Date" queryTableFieldId="3" dataDxfId="12"/>
    <tableColumn id="4" xr3:uid="{A3F179DB-DA41-4354-B404-E8A40F06566A}" uniqueName="4" name="Receipt Number" queryTableFieldId="4"/>
    <tableColumn id="5" xr3:uid="{0298857D-5D55-4E40-8DAD-4E0ECC432912}" uniqueName="5" name="Receipt Line ID" queryTableFieldId="5"/>
    <tableColumn id="6" xr3:uid="{84EB94B0-158A-42E8-8229-46F4189724D9}" uniqueName="6" name="Member Since" queryTableFieldId="6" dataDxfId="11"/>
    <tableColumn id="7" xr3:uid="{F5080EF2-13D6-4CF1-827D-B66B46B17BA6}" uniqueName="7" name="Account Category" queryTableFieldId="7" dataDxfId="10"/>
    <tableColumn id="8" xr3:uid="{8916CA15-871D-4A88-815C-AC351C43C54F}" uniqueName="8" name="Billing Country" queryTableFieldId="8" dataDxfId="9"/>
    <tableColumn id="9" xr3:uid="{D1E6271C-71EE-4185-B3CA-750E086D4BC6}" uniqueName="9" name="Item Name" queryTableFieldId="9" dataDxfId="8"/>
    <tableColumn id="10" xr3:uid="{5E9CF964-1DEF-4766-8A2A-AC838D7CCB71}" uniqueName="10" name="Paid_Month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2C88D8-0AB0-4869-83BD-80D3CA0AD69E}" name="Individual" displayName="Individual" ref="A1:J30" tableType="queryTable" totalsRowShown="0">
  <autoFilter ref="A1:J30" xr:uid="{822C88D8-0AB0-4869-83BD-80D3CA0AD69E}"/>
  <tableColumns count="10">
    <tableColumn id="1" xr3:uid="{0A652639-F825-4C53-9F52-54EA8FC3A182}" uniqueName="1" name="Account Name" queryTableFieldId="1" dataDxfId="21"/>
    <tableColumn id="2" xr3:uid="{725D92B3-6CD2-4C2A-A995-97D9C1928297}" uniqueName="2" name="Total" queryTableFieldId="2"/>
    <tableColumn id="3" xr3:uid="{81AB5C1B-B72F-42FD-96C0-58225280C517}" uniqueName="3" name="Posted Date" queryTableFieldId="3" dataDxfId="20"/>
    <tableColumn id="4" xr3:uid="{B5F11B3D-0B3F-4AB5-8653-B1D7921F2692}" uniqueName="4" name="Receipt Number" queryTableFieldId="4"/>
    <tableColumn id="5" xr3:uid="{E4E1E67D-759D-4BDB-89CA-39994CE359EA}" uniqueName="5" name="Receipt Line ID" queryTableFieldId="5"/>
    <tableColumn id="6" xr3:uid="{6A5E8887-37AD-4A6E-ADD4-36633C979DD5}" uniqueName="6" name="Member Since" queryTableFieldId="6" dataDxfId="19"/>
    <tableColumn id="7" xr3:uid="{ACD237DA-FE0E-42F8-BB56-9534A3ADA619}" uniqueName="7" name="Account Category" queryTableFieldId="7" dataDxfId="18"/>
    <tableColumn id="8" xr3:uid="{191EAEF7-5E8A-41EA-95D1-B72B1D3A54E4}" uniqueName="8" name="Billing Country" queryTableFieldId="8" dataDxfId="17"/>
    <tableColumn id="9" xr3:uid="{ED098656-FE58-4097-83FE-EF15347A26E0}" uniqueName="9" name="Item Name" queryTableFieldId="9" dataDxfId="16"/>
    <tableColumn id="10" xr3:uid="{ECB65B2F-1281-4872-B492-860C1060170C}" uniqueName="10" name="Paid_Month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FBE7B8-77BE-44BB-9872-DD5A4D2E4E5A}" name="Yrs_of_Membership" displayName="Yrs_of_Membership" ref="A1:K119" tableType="queryTable" totalsRowShown="0">
  <autoFilter ref="A1:K119" xr:uid="{40FBE7B8-77BE-44BB-9872-DD5A4D2E4E5A}"/>
  <tableColumns count="11">
    <tableColumn id="1" xr3:uid="{A549FE1F-7DC6-4CAF-90B5-76688494F756}" uniqueName="1" name="Account Name" queryTableFieldId="1" dataDxfId="27"/>
    <tableColumn id="2" xr3:uid="{C64CD669-1D75-4D76-9379-A84CA4D633B7}" uniqueName="2" name="Total" queryTableFieldId="2"/>
    <tableColumn id="3" xr3:uid="{A32854CB-3828-4DD5-A903-94970370A90D}" uniqueName="3" name="Posted Date" queryTableFieldId="3" dataDxfId="26"/>
    <tableColumn id="4" xr3:uid="{EB795AA9-9E55-427D-A509-F41C23C7DA8B}" uniqueName="4" name="Receipt Number" queryTableFieldId="4"/>
    <tableColumn id="5" xr3:uid="{7CEA1745-3D9F-422D-9208-1848045D860B}" uniqueName="5" name="Receipt Line ID" queryTableFieldId="5"/>
    <tableColumn id="6" xr3:uid="{7C13E1B5-3485-4FB5-862E-809A2ADE3164}" uniqueName="6" name="Member Since" queryTableFieldId="6" dataDxfId="25"/>
    <tableColumn id="7" xr3:uid="{12B6136F-CBD4-47E3-974A-E3B2B5072EF1}" uniqueName="7" name="Account Category" queryTableFieldId="7" dataDxfId="24"/>
    <tableColumn id="8" xr3:uid="{BFC06638-8592-4622-AE3C-D6883A16C797}" uniqueName="8" name="Billing Country" queryTableFieldId="8" dataDxfId="23"/>
    <tableColumn id="9" xr3:uid="{44370CA2-1A63-4695-BF21-F48C5D096090}" uniqueName="9" name="Item Name" queryTableFieldId="9" dataDxfId="22"/>
    <tableColumn id="10" xr3:uid="{7095F994-6FE0-4539-B41F-60D7C19DC7AD}" uniqueName="10" name="Paid_Month" queryTableFieldId="10"/>
    <tableColumn id="12" xr3:uid="{04BBA9F9-0F2C-489F-8D32-A0B440DB5142}" uniqueName="12" name="Years Member" queryTableField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35BBB-6D46-4CB5-BB2B-53CE1293C4E3}" name="Accounts_with_Mem_and_Receipts" displayName="Accounts_with_Mem_and_Receipts" ref="A1:J121" tableType="queryTable" totalsRowShown="0">
  <autoFilter ref="A1:J121" xr:uid="{77F35BBB-6D46-4CB5-BB2B-53CE1293C4E3}"/>
  <tableColumns count="10">
    <tableColumn id="1" xr3:uid="{DA042C2E-F709-4840-873D-B19848EB4F96}" uniqueName="1" name="Account Name" queryTableFieldId="1" dataDxfId="33"/>
    <tableColumn id="2" xr3:uid="{69A741DC-F257-40C2-B91D-56A9AD0708E4}" uniqueName="2" name="Total" queryTableFieldId="2"/>
    <tableColumn id="3" xr3:uid="{B9AD17EF-4D79-46D2-922C-E66C05DDF247}" uniqueName="3" name="Posted Date" queryTableFieldId="3" dataDxfId="32"/>
    <tableColumn id="4" xr3:uid="{8837DB35-4DF1-44A4-8ABC-6723EF0F3665}" uniqueName="4" name="Receipt Number" queryTableFieldId="4"/>
    <tableColumn id="5" xr3:uid="{5E6DCBCD-E72A-4085-AA76-10241DEEFBAB}" uniqueName="5" name="Receipt Line ID" queryTableFieldId="5"/>
    <tableColumn id="6" xr3:uid="{9C06C63C-B1B5-4DD4-99EC-9FC7379FE8A7}" uniqueName="6" name="Member Since" queryTableFieldId="6" dataDxfId="31"/>
    <tableColumn id="7" xr3:uid="{3A413C51-D921-4E0B-B08B-25E40C57731B}" uniqueName="7" name="Account Category" queryTableFieldId="7" dataDxfId="30"/>
    <tableColumn id="8" xr3:uid="{4CD917E1-EF27-4C98-9F0B-23CB8418A848}" uniqueName="8" name="Billing Country" queryTableFieldId="8" dataDxfId="29"/>
    <tableColumn id="9" xr3:uid="{9F824C32-5E81-411D-A170-144E6B4BB618}" uniqueName="9" name="Item Name" queryTableFieldId="9" dataDxfId="28"/>
    <tableColumn id="10" xr3:uid="{E2697497-9215-4CFA-B973-F86EBEE30B9D}" uniqueName="10" name="Paid_Month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2923-A81F-42C2-B0E6-4E162B03C5CE}">
  <dimension ref="A1"/>
  <sheetViews>
    <sheetView tabSelected="1" zoomScale="90" zoomScaleNormal="90" workbookViewId="0">
      <selection activeCell="L30" sqref="L3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679B-A534-45B7-9F9E-CF4BB7C468F3}">
  <dimension ref="A1:L44"/>
  <sheetViews>
    <sheetView zoomScale="90" zoomScaleNormal="90" workbookViewId="0">
      <selection activeCell="G7" sqref="F3:G7"/>
    </sheetView>
  </sheetViews>
  <sheetFormatPr defaultRowHeight="14.5" x14ac:dyDescent="0.35"/>
  <cols>
    <col min="1" max="1" width="50.6328125" bestFit="1" customWidth="1"/>
    <col min="2" max="2" width="12.453125" bestFit="1" customWidth="1"/>
    <col min="3" max="3" width="14.453125" bestFit="1" customWidth="1"/>
    <col min="6" max="6" width="24.08984375" bestFit="1" customWidth="1"/>
    <col min="7" max="7" width="16.26953125" bestFit="1" customWidth="1"/>
    <col min="10" max="11" width="24.08984375" bestFit="1" customWidth="1"/>
    <col min="12" max="12" width="20.6328125" bestFit="1" customWidth="1"/>
  </cols>
  <sheetData>
    <row r="1" spans="1:12" x14ac:dyDescent="0.35">
      <c r="F1" t="s">
        <v>45</v>
      </c>
      <c r="J1" t="s">
        <v>46</v>
      </c>
    </row>
    <row r="2" spans="1:12" x14ac:dyDescent="0.35">
      <c r="A2" t="s">
        <v>44</v>
      </c>
    </row>
    <row r="3" spans="1:12" x14ac:dyDescent="0.35">
      <c r="A3" s="2" t="s">
        <v>29</v>
      </c>
      <c r="B3" s="4" t="s">
        <v>31</v>
      </c>
      <c r="F3" s="3" t="s">
        <v>40</v>
      </c>
      <c r="G3" t="s">
        <v>86</v>
      </c>
      <c r="J3" s="2" t="s">
        <v>29</v>
      </c>
    </row>
    <row r="4" spans="1:12" x14ac:dyDescent="0.35">
      <c r="A4" s="3" t="s">
        <v>0</v>
      </c>
      <c r="B4" s="4">
        <v>34140</v>
      </c>
      <c r="F4" s="3" t="s">
        <v>41</v>
      </c>
      <c r="G4" s="7">
        <f>GETPIVOTDATA("Total",Affiliate!$B$4)</f>
        <v>72667.78</v>
      </c>
      <c r="J4" s="3" t="s">
        <v>41</v>
      </c>
    </row>
    <row r="5" spans="1:12" x14ac:dyDescent="0.35">
      <c r="A5" s="3" t="s">
        <v>11</v>
      </c>
      <c r="B5" s="4">
        <v>150790</v>
      </c>
      <c r="F5" s="3" t="s">
        <v>42</v>
      </c>
      <c r="G5" s="8">
        <f>GETPIVOTDATA("Total",'Ind Revenues'!$A$3)</f>
        <v>20425</v>
      </c>
      <c r="J5" s="3" t="s">
        <v>42</v>
      </c>
    </row>
    <row r="6" spans="1:12" x14ac:dyDescent="0.35">
      <c r="A6" s="3" t="s">
        <v>17</v>
      </c>
      <c r="B6" s="4">
        <v>318343.83</v>
      </c>
      <c r="F6" s="3" t="s">
        <v>43</v>
      </c>
      <c r="G6" s="8">
        <f>GETPIVOTDATA("[Measures].[Sum of Total]",'Org Revenues'!$A$3)</f>
        <v>581043.82999999996</v>
      </c>
      <c r="J6" s="3" t="s">
        <v>43</v>
      </c>
    </row>
    <row r="7" spans="1:12" x14ac:dyDescent="0.35">
      <c r="A7" s="3" t="s">
        <v>30</v>
      </c>
      <c r="B7" s="4">
        <v>503273.82999999996</v>
      </c>
      <c r="F7" s="3" t="s">
        <v>30</v>
      </c>
      <c r="G7" s="8">
        <f>SUBTOTAL(109,Table10[2026 Dues Total])</f>
        <v>674136.61</v>
      </c>
      <c r="J7" s="3" t="s">
        <v>30</v>
      </c>
      <c r="L7" t="str">
        <f>"Grand Total "&amp;TEXT(Table10[[#Totals],[2026 Dues Total]],"$#,###")</f>
        <v>Grand Total $674,137</v>
      </c>
    </row>
    <row r="10" spans="1:12" x14ac:dyDescent="0.35">
      <c r="C10" t="str">
        <f>"Grand Total "&amp;TEXT(GETPIVOTDATA("[Measures].[Sum of Total 2]",$A$3),"$#,###")</f>
        <v>Grand Total $503,274</v>
      </c>
      <c r="K10" s="2" t="s">
        <v>29</v>
      </c>
    </row>
    <row r="11" spans="1:12" x14ac:dyDescent="0.35">
      <c r="K11" s="3" t="s">
        <v>41</v>
      </c>
    </row>
    <row r="12" spans="1:12" x14ac:dyDescent="0.35">
      <c r="A12" s="3" t="s">
        <v>53</v>
      </c>
      <c r="B12" s="10">
        <v>2847751</v>
      </c>
      <c r="C12" s="6" t="str">
        <f>CONCATENATE(A12," ",TEXT(B12,"$#,###,###"))</f>
        <v>Goal:  $2,847,751</v>
      </c>
      <c r="E12" s="12">
        <f>C40/B12</f>
        <v>0.11836298363164476</v>
      </c>
      <c r="K12" s="3" t="s">
        <v>42</v>
      </c>
    </row>
    <row r="13" spans="1:12" x14ac:dyDescent="0.35">
      <c r="B13" s="11">
        <f>B12/10</f>
        <v>284775.09999999998</v>
      </c>
      <c r="C13" s="11">
        <f>B13/10</f>
        <v>28477.51</v>
      </c>
      <c r="K13" s="3" t="s">
        <v>43</v>
      </c>
    </row>
    <row r="14" spans="1:12" x14ac:dyDescent="0.35">
      <c r="K14" s="3" t="s">
        <v>30</v>
      </c>
    </row>
    <row r="15" spans="1:12" x14ac:dyDescent="0.35">
      <c r="B15" t="s">
        <v>47</v>
      </c>
      <c r="C15" t="s">
        <v>48</v>
      </c>
      <c r="D15" t="s">
        <v>62</v>
      </c>
    </row>
    <row r="16" spans="1:12" x14ac:dyDescent="0.35">
      <c r="B16" s="9">
        <v>0.1</v>
      </c>
      <c r="C16" s="11">
        <v>284775.09999999998</v>
      </c>
      <c r="D16">
        <v>10</v>
      </c>
    </row>
    <row r="17" spans="2:4" x14ac:dyDescent="0.35">
      <c r="B17" s="9">
        <v>0.2</v>
      </c>
      <c r="C17" s="11">
        <v>284775.09999999998</v>
      </c>
      <c r="D17">
        <v>10</v>
      </c>
    </row>
    <row r="18" spans="2:4" x14ac:dyDescent="0.35">
      <c r="B18" s="9">
        <v>0.3</v>
      </c>
      <c r="C18" s="11">
        <v>284775.09999999998</v>
      </c>
      <c r="D18">
        <v>10</v>
      </c>
    </row>
    <row r="19" spans="2:4" x14ac:dyDescent="0.35">
      <c r="B19" s="9">
        <v>0.4</v>
      </c>
      <c r="C19" s="11">
        <v>284775.09999999998</v>
      </c>
      <c r="D19">
        <v>10</v>
      </c>
    </row>
    <row r="20" spans="2:4" x14ac:dyDescent="0.35">
      <c r="B20" s="9">
        <v>0.5</v>
      </c>
      <c r="C20" s="11">
        <v>284775.09999999998</v>
      </c>
      <c r="D20">
        <v>10</v>
      </c>
    </row>
    <row r="21" spans="2:4" x14ac:dyDescent="0.35">
      <c r="B21" s="9">
        <v>0.6</v>
      </c>
      <c r="C21" s="11">
        <v>284775.09999999998</v>
      </c>
      <c r="D21">
        <v>10</v>
      </c>
    </row>
    <row r="22" spans="2:4" x14ac:dyDescent="0.35">
      <c r="B22" s="9">
        <v>0.7</v>
      </c>
      <c r="C22" s="11">
        <v>284775.09999999998</v>
      </c>
      <c r="D22">
        <v>10</v>
      </c>
    </row>
    <row r="23" spans="2:4" x14ac:dyDescent="0.35">
      <c r="B23" s="9">
        <v>0.8</v>
      </c>
      <c r="C23" s="11">
        <v>284775.09999999998</v>
      </c>
      <c r="D23">
        <v>10</v>
      </c>
    </row>
    <row r="24" spans="2:4" x14ac:dyDescent="0.35">
      <c r="B24" s="9">
        <v>0.9</v>
      </c>
      <c r="C24" s="11">
        <v>284775.09999999998</v>
      </c>
      <c r="D24">
        <v>10</v>
      </c>
    </row>
    <row r="25" spans="2:4" x14ac:dyDescent="0.35">
      <c r="B25" s="9">
        <v>1</v>
      </c>
      <c r="C25" s="11">
        <v>284775.09999999998</v>
      </c>
      <c r="D25">
        <v>10</v>
      </c>
    </row>
    <row r="26" spans="2:4" x14ac:dyDescent="0.35">
      <c r="B26" s="9">
        <v>1.1000000000000001</v>
      </c>
      <c r="C26" s="11">
        <v>284775.09999999998</v>
      </c>
      <c r="D26">
        <v>10</v>
      </c>
    </row>
    <row r="27" spans="2:4" x14ac:dyDescent="0.35">
      <c r="B27" s="9">
        <v>1.2</v>
      </c>
      <c r="C27">
        <v>0</v>
      </c>
      <c r="D27">
        <v>10</v>
      </c>
    </row>
    <row r="28" spans="2:4" x14ac:dyDescent="0.35">
      <c r="B28" s="9">
        <v>1.3</v>
      </c>
      <c r="C28">
        <v>0</v>
      </c>
      <c r="D28">
        <v>10</v>
      </c>
    </row>
    <row r="29" spans="2:4" x14ac:dyDescent="0.35">
      <c r="B29" s="9">
        <v>1.4</v>
      </c>
      <c r="C29">
        <v>0</v>
      </c>
      <c r="D29">
        <v>10</v>
      </c>
    </row>
    <row r="30" spans="2:4" x14ac:dyDescent="0.35">
      <c r="B30" s="9">
        <v>1.5</v>
      </c>
      <c r="C30">
        <v>0</v>
      </c>
      <c r="D30">
        <v>10</v>
      </c>
    </row>
    <row r="31" spans="2:4" x14ac:dyDescent="0.35">
      <c r="B31" s="9">
        <v>1.6</v>
      </c>
      <c r="C31">
        <v>0</v>
      </c>
      <c r="D31">
        <v>10</v>
      </c>
    </row>
    <row r="32" spans="2:4" x14ac:dyDescent="0.35">
      <c r="B32" s="9">
        <v>1.7</v>
      </c>
      <c r="C32">
        <v>0</v>
      </c>
      <c r="D32">
        <v>10</v>
      </c>
    </row>
    <row r="33" spans="2:4" x14ac:dyDescent="0.35">
      <c r="B33" s="9">
        <v>1.8</v>
      </c>
      <c r="C33">
        <v>0</v>
      </c>
      <c r="D33">
        <v>10</v>
      </c>
    </row>
    <row r="34" spans="2:4" x14ac:dyDescent="0.35">
      <c r="B34" s="9">
        <v>1.9</v>
      </c>
      <c r="C34">
        <v>0</v>
      </c>
      <c r="D34">
        <v>10</v>
      </c>
    </row>
    <row r="35" spans="2:4" x14ac:dyDescent="0.35">
      <c r="B35" s="9">
        <v>2</v>
      </c>
      <c r="C35">
        <v>0</v>
      </c>
      <c r="D35">
        <v>10</v>
      </c>
    </row>
    <row r="36" spans="2:4" x14ac:dyDescent="0.35">
      <c r="B36" s="9"/>
    </row>
    <row r="37" spans="2:4" x14ac:dyDescent="0.35">
      <c r="B37" s="9"/>
    </row>
    <row r="38" spans="2:4" x14ac:dyDescent="0.35">
      <c r="B38" s="9"/>
    </row>
    <row r="39" spans="2:4" x14ac:dyDescent="0.35">
      <c r="B39" t="s">
        <v>47</v>
      </c>
      <c r="C39" t="s">
        <v>49</v>
      </c>
    </row>
    <row r="40" spans="2:4" x14ac:dyDescent="0.35">
      <c r="B40" t="s">
        <v>50</v>
      </c>
      <c r="C40" s="5">
        <f>G7/2</f>
        <v>337068.30499999999</v>
      </c>
    </row>
    <row r="41" spans="2:4" x14ac:dyDescent="0.35">
      <c r="B41" t="s">
        <v>51</v>
      </c>
      <c r="C41">
        <v>30000</v>
      </c>
    </row>
    <row r="42" spans="2:4" x14ac:dyDescent="0.35">
      <c r="B42" t="s">
        <v>52</v>
      </c>
      <c r="C42" s="10">
        <f>C26-B12</f>
        <v>-2562975.9</v>
      </c>
    </row>
    <row r="44" spans="2:4" x14ac:dyDescent="0.35">
      <c r="B44" t="str">
        <f>CONCATENATE("Current: ",TEXT(2*C40,"$#,###"),", ",TEXT(2*E12,"0%"))</f>
        <v>Current: $674,137, 24%</v>
      </c>
    </row>
  </sheetData>
  <phoneticPr fontId="2" type="noConversion"/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CAA6-2DD0-4837-A4EE-84ECAC325805}">
  <dimension ref="A3:M27"/>
  <sheetViews>
    <sheetView workbookViewId="0">
      <selection activeCell="L4" sqref="L4"/>
    </sheetView>
  </sheetViews>
  <sheetFormatPr defaultRowHeight="14.5" x14ac:dyDescent="0.35"/>
  <cols>
    <col min="1" max="1" width="23.1796875" bestFit="1" customWidth="1"/>
    <col min="2" max="2" width="15.6328125" customWidth="1"/>
    <col min="3" max="3" width="17" bestFit="1" customWidth="1"/>
    <col min="11" max="11" width="23.1796875" bestFit="1" customWidth="1"/>
    <col min="12" max="12" width="17.54296875" bestFit="1" customWidth="1"/>
  </cols>
  <sheetData>
    <row r="3" spans="1:13" x14ac:dyDescent="0.35">
      <c r="A3" s="2" t="s">
        <v>29</v>
      </c>
      <c r="B3" t="s">
        <v>31</v>
      </c>
      <c r="K3" s="2" t="s">
        <v>29</v>
      </c>
      <c r="L3" t="s">
        <v>54</v>
      </c>
    </row>
    <row r="4" spans="1:13" x14ac:dyDescent="0.35">
      <c r="A4" s="3" t="s">
        <v>21</v>
      </c>
      <c r="B4" s="5">
        <v>203780</v>
      </c>
      <c r="K4" s="3" t="s">
        <v>21</v>
      </c>
      <c r="L4" s="21">
        <v>7</v>
      </c>
      <c r="M4" t="str">
        <f>"Benefactor: "&amp;GETPIVOTDATA("Item Name",$K$3,"Item Name","Benefactor Membership")</f>
        <v>Benefactor: 7</v>
      </c>
    </row>
    <row r="5" spans="1:13" x14ac:dyDescent="0.35">
      <c r="A5" s="3" t="s">
        <v>13</v>
      </c>
      <c r="B5" s="5">
        <v>50218.79</v>
      </c>
      <c r="K5" s="3" t="s">
        <v>13</v>
      </c>
      <c r="L5" s="21">
        <v>17</v>
      </c>
      <c r="M5" t="str">
        <f>"Gold: "&amp;GETPIVOTDATA("Item Name",$K$4,"Item Name","Gold Membership")</f>
        <v>Gold: 17</v>
      </c>
    </row>
    <row r="6" spans="1:13" x14ac:dyDescent="0.35">
      <c r="A6" s="3" t="s">
        <v>18</v>
      </c>
      <c r="B6" s="5">
        <v>327045.03999999998</v>
      </c>
      <c r="K6" s="3" t="s">
        <v>18</v>
      </c>
      <c r="L6" s="21">
        <v>50</v>
      </c>
      <c r="M6" t="str">
        <f>"Organization: "&amp;GETPIVOTDATA("Item Name",$K$3,"Item Name","Organizational Membership")</f>
        <v>Organization: 50</v>
      </c>
    </row>
    <row r="7" spans="1:13" x14ac:dyDescent="0.35">
      <c r="A7" s="3" t="s">
        <v>30</v>
      </c>
      <c r="B7" s="21">
        <v>581043.82999999996</v>
      </c>
      <c r="K7" s="3" t="s">
        <v>30</v>
      </c>
      <c r="L7" s="21">
        <v>74</v>
      </c>
    </row>
    <row r="21" spans="1:2" x14ac:dyDescent="0.35">
      <c r="A21" t="s">
        <v>39</v>
      </c>
    </row>
    <row r="23" spans="1:2" x14ac:dyDescent="0.35">
      <c r="A23" s="2" t="s">
        <v>29</v>
      </c>
      <c r="B23" s="4" t="s">
        <v>31</v>
      </c>
    </row>
    <row r="24" spans="1:2" x14ac:dyDescent="0.35">
      <c r="A24" s="3">
        <v>1</v>
      </c>
      <c r="B24" s="4">
        <v>110573.83</v>
      </c>
    </row>
    <row r="25" spans="1:2" x14ac:dyDescent="0.35">
      <c r="A25" s="3">
        <v>2</v>
      </c>
      <c r="B25" s="4">
        <v>186635</v>
      </c>
    </row>
    <row r="26" spans="1:2" x14ac:dyDescent="0.35">
      <c r="A26" s="3">
        <v>3</v>
      </c>
      <c r="B26" s="4">
        <v>283835</v>
      </c>
    </row>
    <row r="27" spans="1:2" x14ac:dyDescent="0.35">
      <c r="A27" s="3" t="s">
        <v>30</v>
      </c>
      <c r="B27" s="4">
        <v>581043.82999999996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A594-FB02-473F-9541-C982C5FAF7E6}">
  <dimension ref="A1:J75"/>
  <sheetViews>
    <sheetView workbookViewId="0">
      <selection activeCell="A6" sqref="A6"/>
    </sheetView>
  </sheetViews>
  <sheetFormatPr defaultRowHeight="14.5" x14ac:dyDescent="0.35"/>
  <cols>
    <col min="1" max="1" width="61.81640625" bestFit="1" customWidth="1"/>
    <col min="2" max="2" width="7.179687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50.26953125" bestFit="1" customWidth="1"/>
    <col min="8" max="8" width="15.453125" bestFit="1" customWidth="1"/>
    <col min="9" max="9" width="23.1796875" bestFit="1" customWidth="1"/>
    <col min="10" max="10" width="12.90625" bestFit="1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5">
      <c r="A2" s="21" t="s">
        <v>127</v>
      </c>
      <c r="B2">
        <v>1650</v>
      </c>
      <c r="C2" s="1">
        <v>46111</v>
      </c>
      <c r="D2">
        <v>19487</v>
      </c>
      <c r="E2">
        <v>45879</v>
      </c>
      <c r="F2" s="1">
        <v>37460</v>
      </c>
      <c r="G2" s="21" t="s">
        <v>94</v>
      </c>
      <c r="H2" s="21" t="s">
        <v>12</v>
      </c>
      <c r="I2" s="21" t="s">
        <v>18</v>
      </c>
      <c r="J2">
        <v>3</v>
      </c>
    </row>
    <row r="3" spans="1:10" x14ac:dyDescent="0.35">
      <c r="A3" s="21" t="s">
        <v>87</v>
      </c>
      <c r="B3">
        <v>1905</v>
      </c>
      <c r="C3" s="1">
        <v>46066</v>
      </c>
      <c r="D3">
        <v>18941</v>
      </c>
      <c r="E3">
        <v>44973</v>
      </c>
      <c r="F3" s="1">
        <v>44571</v>
      </c>
      <c r="G3" s="21" t="s">
        <v>17</v>
      </c>
      <c r="H3" s="21" t="s">
        <v>12</v>
      </c>
      <c r="I3" s="21" t="s">
        <v>13</v>
      </c>
      <c r="J3">
        <v>2</v>
      </c>
    </row>
    <row r="4" spans="1:10" x14ac:dyDescent="0.35">
      <c r="A4" s="21" t="s">
        <v>88</v>
      </c>
      <c r="B4">
        <v>1620</v>
      </c>
      <c r="C4" s="1">
        <v>46072</v>
      </c>
      <c r="D4">
        <v>18996</v>
      </c>
      <c r="E4">
        <v>45039</v>
      </c>
      <c r="F4" s="1">
        <v>40976</v>
      </c>
      <c r="G4" s="21" t="s">
        <v>11</v>
      </c>
      <c r="H4" s="21" t="s">
        <v>12</v>
      </c>
      <c r="I4" s="21" t="s">
        <v>18</v>
      </c>
      <c r="J4">
        <v>2</v>
      </c>
    </row>
    <row r="5" spans="1:10" x14ac:dyDescent="0.35">
      <c r="A5" s="21" t="s">
        <v>128</v>
      </c>
      <c r="B5">
        <v>16500</v>
      </c>
      <c r="C5" s="1">
        <v>46085</v>
      </c>
      <c r="D5">
        <v>19145</v>
      </c>
      <c r="E5">
        <v>45249</v>
      </c>
      <c r="F5" s="1">
        <v>40162</v>
      </c>
      <c r="G5" s="21" t="s">
        <v>11</v>
      </c>
      <c r="H5" s="21" t="s">
        <v>12</v>
      </c>
      <c r="I5" s="21" t="s">
        <v>21</v>
      </c>
      <c r="J5">
        <v>3</v>
      </c>
    </row>
    <row r="6" spans="1:10" x14ac:dyDescent="0.35">
      <c r="A6" s="21" t="s">
        <v>64</v>
      </c>
      <c r="B6">
        <v>2370</v>
      </c>
      <c r="C6" s="1">
        <v>46035</v>
      </c>
      <c r="D6">
        <v>18613</v>
      </c>
      <c r="E6">
        <v>44511</v>
      </c>
      <c r="F6" s="1">
        <v>37839</v>
      </c>
      <c r="G6" s="21" t="s">
        <v>17</v>
      </c>
      <c r="H6" s="21" t="s">
        <v>12</v>
      </c>
      <c r="I6" s="21" t="s">
        <v>18</v>
      </c>
      <c r="J6">
        <v>1</v>
      </c>
    </row>
    <row r="7" spans="1:10" x14ac:dyDescent="0.35">
      <c r="A7" s="21" t="s">
        <v>89</v>
      </c>
      <c r="B7">
        <v>23375</v>
      </c>
      <c r="C7" s="1">
        <v>46072</v>
      </c>
      <c r="D7">
        <v>18995</v>
      </c>
      <c r="E7">
        <v>45038</v>
      </c>
      <c r="F7" s="1">
        <v>42297</v>
      </c>
      <c r="G7" s="21" t="s">
        <v>17</v>
      </c>
      <c r="H7" s="21" t="s">
        <v>12</v>
      </c>
      <c r="I7" s="21" t="s">
        <v>18</v>
      </c>
      <c r="J7">
        <v>2</v>
      </c>
    </row>
    <row r="8" spans="1:10" x14ac:dyDescent="0.35">
      <c r="A8" s="21" t="s">
        <v>129</v>
      </c>
      <c r="B8">
        <v>2680</v>
      </c>
      <c r="C8" s="1">
        <v>46106</v>
      </c>
      <c r="D8">
        <v>19429</v>
      </c>
      <c r="E8">
        <v>45783</v>
      </c>
      <c r="F8" s="1">
        <v>43559</v>
      </c>
      <c r="G8" s="21" t="s">
        <v>94</v>
      </c>
      <c r="H8" s="21" t="s">
        <v>12</v>
      </c>
      <c r="I8" s="21" t="s">
        <v>18</v>
      </c>
      <c r="J8">
        <v>3</v>
      </c>
    </row>
    <row r="9" spans="1:10" x14ac:dyDescent="0.35">
      <c r="A9" s="21" t="s">
        <v>90</v>
      </c>
      <c r="B9">
        <v>5770</v>
      </c>
      <c r="C9" s="1">
        <v>46064</v>
      </c>
      <c r="D9">
        <v>18923</v>
      </c>
      <c r="E9">
        <v>44942</v>
      </c>
      <c r="F9" s="1">
        <v>36360</v>
      </c>
      <c r="G9" s="21" t="s">
        <v>91</v>
      </c>
      <c r="H9" s="21" t="s">
        <v>12</v>
      </c>
      <c r="I9" s="21" t="s">
        <v>18</v>
      </c>
      <c r="J9">
        <v>2</v>
      </c>
    </row>
    <row r="10" spans="1:10" x14ac:dyDescent="0.35">
      <c r="A10" s="21" t="s">
        <v>92</v>
      </c>
      <c r="B10">
        <v>1905</v>
      </c>
      <c r="C10" s="1">
        <v>46062</v>
      </c>
      <c r="D10">
        <v>18906</v>
      </c>
      <c r="E10">
        <v>44895</v>
      </c>
      <c r="F10" s="1">
        <v>37725</v>
      </c>
      <c r="G10" s="21" t="s">
        <v>17</v>
      </c>
      <c r="H10" s="21" t="s">
        <v>12</v>
      </c>
      <c r="I10" s="21" t="s">
        <v>13</v>
      </c>
      <c r="J10">
        <v>2</v>
      </c>
    </row>
    <row r="11" spans="1:10" x14ac:dyDescent="0.35">
      <c r="A11" s="21" t="s">
        <v>93</v>
      </c>
      <c r="B11">
        <v>9990</v>
      </c>
      <c r="C11" s="1">
        <v>46073</v>
      </c>
      <c r="D11">
        <v>18993</v>
      </c>
      <c r="E11">
        <v>45036</v>
      </c>
      <c r="F11" s="1">
        <v>39983</v>
      </c>
      <c r="G11" s="21" t="s">
        <v>94</v>
      </c>
      <c r="H11" s="21" t="s">
        <v>12</v>
      </c>
      <c r="I11" s="21" t="s">
        <v>18</v>
      </c>
      <c r="J11">
        <v>2</v>
      </c>
    </row>
    <row r="12" spans="1:10" x14ac:dyDescent="0.35">
      <c r="A12" s="21" t="s">
        <v>131</v>
      </c>
      <c r="B12">
        <v>16175</v>
      </c>
      <c r="C12" s="1">
        <v>46108</v>
      </c>
      <c r="D12">
        <v>19452</v>
      </c>
      <c r="E12">
        <v>45818</v>
      </c>
      <c r="F12" s="1">
        <v>40179</v>
      </c>
      <c r="G12" s="21" t="s">
        <v>17</v>
      </c>
      <c r="H12" s="21" t="s">
        <v>12</v>
      </c>
      <c r="I12" s="21" t="s">
        <v>18</v>
      </c>
      <c r="J12">
        <v>3</v>
      </c>
    </row>
    <row r="13" spans="1:10" x14ac:dyDescent="0.35">
      <c r="A13" s="21" t="s">
        <v>70</v>
      </c>
      <c r="B13">
        <v>1545</v>
      </c>
      <c r="C13" s="1">
        <v>46042</v>
      </c>
      <c r="D13">
        <v>18678</v>
      </c>
      <c r="E13">
        <v>44578</v>
      </c>
      <c r="F13" s="1">
        <v>40179</v>
      </c>
      <c r="G13" s="21" t="s">
        <v>11</v>
      </c>
      <c r="H13" s="21" t="s">
        <v>12</v>
      </c>
      <c r="I13" s="21" t="s">
        <v>18</v>
      </c>
      <c r="J13">
        <v>1</v>
      </c>
    </row>
    <row r="14" spans="1:10" x14ac:dyDescent="0.35">
      <c r="A14" s="21" t="s">
        <v>97</v>
      </c>
      <c r="B14">
        <v>7210</v>
      </c>
      <c r="C14" s="1">
        <v>46059</v>
      </c>
      <c r="D14">
        <v>18957</v>
      </c>
      <c r="E14">
        <v>44992</v>
      </c>
      <c r="F14" s="1">
        <v>45168</v>
      </c>
      <c r="G14" s="21" t="s">
        <v>94</v>
      </c>
      <c r="H14" s="21" t="s">
        <v>12</v>
      </c>
      <c r="I14" s="21" t="s">
        <v>18</v>
      </c>
      <c r="J14">
        <v>2</v>
      </c>
    </row>
    <row r="15" spans="1:10" x14ac:dyDescent="0.35">
      <c r="A15" s="21" t="s">
        <v>100</v>
      </c>
      <c r="B15">
        <v>1545</v>
      </c>
      <c r="C15" s="1">
        <v>46062</v>
      </c>
      <c r="D15">
        <v>18914</v>
      </c>
      <c r="E15">
        <v>44907</v>
      </c>
      <c r="F15" s="1">
        <v>41137</v>
      </c>
      <c r="G15" s="21" t="s">
        <v>17</v>
      </c>
      <c r="H15" s="21" t="s">
        <v>101</v>
      </c>
      <c r="I15" s="21" t="s">
        <v>18</v>
      </c>
      <c r="J15">
        <v>2</v>
      </c>
    </row>
    <row r="16" spans="1:10" x14ac:dyDescent="0.35">
      <c r="A16" s="21" t="s">
        <v>133</v>
      </c>
      <c r="B16">
        <v>1905</v>
      </c>
      <c r="C16" s="1">
        <v>46083</v>
      </c>
      <c r="D16">
        <v>19109</v>
      </c>
      <c r="E16">
        <v>45195</v>
      </c>
      <c r="F16" s="1">
        <v>44180</v>
      </c>
      <c r="G16" s="21" t="s">
        <v>0</v>
      </c>
      <c r="H16" s="21" t="s">
        <v>134</v>
      </c>
      <c r="I16" s="21" t="s">
        <v>13</v>
      </c>
      <c r="J16">
        <v>3</v>
      </c>
    </row>
    <row r="17" spans="1:10" x14ac:dyDescent="0.35">
      <c r="A17" s="21" t="s">
        <v>73</v>
      </c>
      <c r="B17">
        <v>38100</v>
      </c>
      <c r="C17" s="1">
        <v>46048</v>
      </c>
      <c r="D17">
        <v>18755</v>
      </c>
      <c r="E17">
        <v>44679</v>
      </c>
      <c r="F17" s="1">
        <v>35925</v>
      </c>
      <c r="G17" s="21" t="s">
        <v>17</v>
      </c>
      <c r="H17" s="21" t="s">
        <v>12</v>
      </c>
      <c r="I17" s="21" t="s">
        <v>21</v>
      </c>
      <c r="J17">
        <v>1</v>
      </c>
    </row>
    <row r="18" spans="1:10" x14ac:dyDescent="0.35">
      <c r="A18" s="21" t="s">
        <v>136</v>
      </c>
      <c r="B18">
        <v>35000</v>
      </c>
      <c r="C18" s="1">
        <v>46090</v>
      </c>
      <c r="D18">
        <v>19242</v>
      </c>
      <c r="E18">
        <v>45430</v>
      </c>
      <c r="F18" s="1">
        <v>42558</v>
      </c>
      <c r="G18" s="21" t="s">
        <v>11</v>
      </c>
      <c r="H18" s="21" t="s">
        <v>12</v>
      </c>
      <c r="I18" s="21" t="s">
        <v>21</v>
      </c>
      <c r="J18">
        <v>3</v>
      </c>
    </row>
    <row r="19" spans="1:10" x14ac:dyDescent="0.35">
      <c r="A19" s="21" t="s">
        <v>24</v>
      </c>
      <c r="B19">
        <v>1905</v>
      </c>
      <c r="C19" s="1">
        <v>46030</v>
      </c>
      <c r="D19">
        <v>18444</v>
      </c>
      <c r="E19">
        <v>44327</v>
      </c>
      <c r="F19" s="1">
        <v>45341</v>
      </c>
      <c r="G19" s="21" t="s">
        <v>17</v>
      </c>
      <c r="H19" s="21" t="s">
        <v>12</v>
      </c>
      <c r="I19" s="21" t="s">
        <v>13</v>
      </c>
      <c r="J19">
        <v>1</v>
      </c>
    </row>
    <row r="20" spans="1:10" x14ac:dyDescent="0.35">
      <c r="A20" s="21" t="s">
        <v>26</v>
      </c>
      <c r="B20">
        <v>9685</v>
      </c>
      <c r="C20" s="1">
        <v>46052</v>
      </c>
      <c r="D20">
        <v>18825</v>
      </c>
      <c r="E20">
        <v>44798</v>
      </c>
      <c r="F20" s="1">
        <v>42144</v>
      </c>
      <c r="G20" s="21" t="s">
        <v>17</v>
      </c>
      <c r="H20" s="21" t="s">
        <v>12</v>
      </c>
      <c r="I20" s="21" t="s">
        <v>18</v>
      </c>
      <c r="J20">
        <v>1</v>
      </c>
    </row>
    <row r="21" spans="1:10" x14ac:dyDescent="0.35">
      <c r="A21" s="21" t="s">
        <v>102</v>
      </c>
      <c r="B21">
        <v>23375</v>
      </c>
      <c r="C21" s="1">
        <v>46055</v>
      </c>
      <c r="D21">
        <v>18851</v>
      </c>
      <c r="E21">
        <v>44823</v>
      </c>
      <c r="F21" s="1">
        <v>41558</v>
      </c>
      <c r="G21" s="21" t="s">
        <v>17</v>
      </c>
      <c r="H21" s="21" t="s">
        <v>103</v>
      </c>
      <c r="I21" s="21" t="s">
        <v>18</v>
      </c>
      <c r="J21">
        <v>2</v>
      </c>
    </row>
    <row r="22" spans="1:10" x14ac:dyDescent="0.35">
      <c r="A22" s="21" t="s">
        <v>137</v>
      </c>
      <c r="B22">
        <v>9685</v>
      </c>
      <c r="C22" s="1">
        <v>46092</v>
      </c>
      <c r="D22">
        <v>19269</v>
      </c>
      <c r="E22">
        <v>45476</v>
      </c>
      <c r="F22" s="1">
        <v>45400</v>
      </c>
      <c r="G22" s="21" t="s">
        <v>17</v>
      </c>
      <c r="H22" s="21" t="s">
        <v>12</v>
      </c>
      <c r="I22" s="21" t="s">
        <v>18</v>
      </c>
      <c r="J22">
        <v>3</v>
      </c>
    </row>
    <row r="23" spans="1:10" x14ac:dyDescent="0.35">
      <c r="A23" s="21" t="s">
        <v>105</v>
      </c>
      <c r="B23">
        <v>1905</v>
      </c>
      <c r="C23" s="1">
        <v>46055</v>
      </c>
      <c r="D23">
        <v>18850</v>
      </c>
      <c r="E23">
        <v>44822</v>
      </c>
      <c r="F23" s="1">
        <v>40067</v>
      </c>
      <c r="G23" s="21" t="s">
        <v>11</v>
      </c>
      <c r="H23" s="21" t="s">
        <v>12</v>
      </c>
      <c r="I23" s="21" t="s">
        <v>13</v>
      </c>
      <c r="J23">
        <v>2</v>
      </c>
    </row>
    <row r="24" spans="1:10" x14ac:dyDescent="0.35">
      <c r="A24" s="21" t="s">
        <v>158</v>
      </c>
      <c r="B24">
        <v>5460</v>
      </c>
      <c r="C24" s="1">
        <v>46097</v>
      </c>
      <c r="D24">
        <v>19301</v>
      </c>
      <c r="E24">
        <v>45540</v>
      </c>
      <c r="F24" s="1">
        <v>42830</v>
      </c>
      <c r="G24" s="21" t="s">
        <v>11</v>
      </c>
      <c r="H24" s="21" t="s">
        <v>159</v>
      </c>
      <c r="I24" s="21" t="s">
        <v>18</v>
      </c>
      <c r="J24">
        <v>3</v>
      </c>
    </row>
    <row r="25" spans="1:10" x14ac:dyDescent="0.35">
      <c r="A25" s="21" t="s">
        <v>160</v>
      </c>
      <c r="B25">
        <v>1545</v>
      </c>
      <c r="C25" s="1">
        <v>46106</v>
      </c>
      <c r="D25">
        <v>19422</v>
      </c>
      <c r="E25">
        <v>45776</v>
      </c>
      <c r="F25" s="1">
        <v>46106</v>
      </c>
      <c r="G25" s="21" t="s">
        <v>17</v>
      </c>
      <c r="H25" s="21" t="s">
        <v>12</v>
      </c>
      <c r="I25" s="21" t="s">
        <v>18</v>
      </c>
      <c r="J25">
        <v>3</v>
      </c>
    </row>
    <row r="26" spans="1:10" x14ac:dyDescent="0.35">
      <c r="A26" s="21" t="s">
        <v>111</v>
      </c>
      <c r="B26">
        <v>1545</v>
      </c>
      <c r="C26" s="1">
        <v>46059</v>
      </c>
      <c r="D26">
        <v>18891</v>
      </c>
      <c r="E26">
        <v>44881</v>
      </c>
      <c r="F26" s="1">
        <v>36570</v>
      </c>
      <c r="G26" s="21" t="s">
        <v>11</v>
      </c>
      <c r="H26" s="21" t="s">
        <v>12</v>
      </c>
      <c r="I26" s="21" t="s">
        <v>18</v>
      </c>
      <c r="J26">
        <v>2</v>
      </c>
    </row>
    <row r="27" spans="1:10" x14ac:dyDescent="0.35">
      <c r="A27" s="21" t="s">
        <v>75</v>
      </c>
      <c r="B27">
        <v>23375</v>
      </c>
      <c r="C27" s="1">
        <v>46048</v>
      </c>
      <c r="D27">
        <v>18752</v>
      </c>
      <c r="E27">
        <v>44676</v>
      </c>
      <c r="F27" s="1">
        <v>41256</v>
      </c>
      <c r="G27" s="21" t="s">
        <v>0</v>
      </c>
      <c r="H27" s="21" t="s">
        <v>12</v>
      </c>
      <c r="I27" s="21" t="s">
        <v>18</v>
      </c>
      <c r="J27">
        <v>1</v>
      </c>
    </row>
    <row r="28" spans="1:10" x14ac:dyDescent="0.35">
      <c r="A28" s="21" t="s">
        <v>27</v>
      </c>
      <c r="B28">
        <v>5460</v>
      </c>
      <c r="C28" s="1">
        <v>46037</v>
      </c>
      <c r="D28">
        <v>18650</v>
      </c>
      <c r="E28">
        <v>44548</v>
      </c>
      <c r="F28" s="1">
        <v>39989</v>
      </c>
      <c r="G28" s="21" t="s">
        <v>11</v>
      </c>
      <c r="H28" s="21" t="s">
        <v>12</v>
      </c>
      <c r="I28" s="21" t="s">
        <v>18</v>
      </c>
      <c r="J28">
        <v>1</v>
      </c>
    </row>
    <row r="29" spans="1:10" x14ac:dyDescent="0.35">
      <c r="A29" s="21" t="s">
        <v>163</v>
      </c>
      <c r="B29">
        <v>40000</v>
      </c>
      <c r="C29" s="1">
        <v>46098</v>
      </c>
      <c r="D29">
        <v>19316</v>
      </c>
      <c r="E29">
        <v>45566</v>
      </c>
      <c r="F29" s="1">
        <v>40001</v>
      </c>
      <c r="G29" s="21" t="s">
        <v>17</v>
      </c>
      <c r="H29" s="21" t="s">
        <v>12</v>
      </c>
      <c r="I29" s="21" t="s">
        <v>21</v>
      </c>
      <c r="J29">
        <v>3</v>
      </c>
    </row>
    <row r="30" spans="1:10" x14ac:dyDescent="0.35">
      <c r="A30" s="21" t="s">
        <v>164</v>
      </c>
      <c r="B30">
        <v>5770</v>
      </c>
      <c r="C30" s="1">
        <v>46094</v>
      </c>
      <c r="D30">
        <v>19294</v>
      </c>
      <c r="E30">
        <v>45528</v>
      </c>
      <c r="F30" s="1">
        <v>45765</v>
      </c>
      <c r="G30" s="21" t="s">
        <v>0</v>
      </c>
      <c r="H30" s="21" t="s">
        <v>12</v>
      </c>
      <c r="I30" s="21" t="s">
        <v>18</v>
      </c>
      <c r="J30">
        <v>3</v>
      </c>
    </row>
    <row r="31" spans="1:10" x14ac:dyDescent="0.35">
      <c r="A31" s="21" t="s">
        <v>112</v>
      </c>
      <c r="B31">
        <v>14420</v>
      </c>
      <c r="C31" s="1">
        <v>46055</v>
      </c>
      <c r="D31">
        <v>18849</v>
      </c>
      <c r="E31">
        <v>44821</v>
      </c>
      <c r="F31" s="1">
        <v>37963</v>
      </c>
      <c r="G31" s="21" t="s">
        <v>94</v>
      </c>
      <c r="H31" s="21" t="s">
        <v>12</v>
      </c>
      <c r="I31" s="21" t="s">
        <v>18</v>
      </c>
      <c r="J31">
        <v>2</v>
      </c>
    </row>
    <row r="32" spans="1:10" x14ac:dyDescent="0.35">
      <c r="A32" s="21" t="s">
        <v>22</v>
      </c>
      <c r="B32">
        <v>1545</v>
      </c>
      <c r="C32" s="1">
        <v>46051</v>
      </c>
      <c r="D32">
        <v>18802</v>
      </c>
      <c r="E32">
        <v>44761</v>
      </c>
      <c r="F32" s="1">
        <v>45303</v>
      </c>
      <c r="G32" s="21" t="s">
        <v>17</v>
      </c>
      <c r="H32" s="21" t="s">
        <v>12</v>
      </c>
      <c r="I32" s="21" t="s">
        <v>18</v>
      </c>
      <c r="J32">
        <v>1</v>
      </c>
    </row>
    <row r="33" spans="1:10" x14ac:dyDescent="0.35">
      <c r="A33" s="21" t="s">
        <v>114</v>
      </c>
      <c r="B33">
        <v>16175</v>
      </c>
      <c r="C33" s="1">
        <v>46073</v>
      </c>
      <c r="D33">
        <v>18994</v>
      </c>
      <c r="E33">
        <v>45037</v>
      </c>
      <c r="F33" s="1">
        <v>40205</v>
      </c>
      <c r="G33" s="21" t="s">
        <v>17</v>
      </c>
      <c r="H33" s="21" t="s">
        <v>12</v>
      </c>
      <c r="I33" s="21" t="s">
        <v>18</v>
      </c>
      <c r="J33">
        <v>2</v>
      </c>
    </row>
    <row r="34" spans="1:10" x14ac:dyDescent="0.35">
      <c r="A34" s="21" t="s">
        <v>116</v>
      </c>
      <c r="B34">
        <v>1905</v>
      </c>
      <c r="C34" s="1">
        <v>46070</v>
      </c>
      <c r="D34">
        <v>18958</v>
      </c>
      <c r="E34">
        <v>44993</v>
      </c>
      <c r="F34" s="1">
        <v>43966</v>
      </c>
      <c r="G34" s="21" t="s">
        <v>11</v>
      </c>
      <c r="H34" s="21" t="s">
        <v>12</v>
      </c>
      <c r="I34" s="21" t="s">
        <v>13</v>
      </c>
      <c r="J34">
        <v>2</v>
      </c>
    </row>
    <row r="35" spans="1:10" x14ac:dyDescent="0.35">
      <c r="A35" s="21" t="s">
        <v>63</v>
      </c>
      <c r="B35">
        <v>2370</v>
      </c>
      <c r="C35" s="1">
        <v>46042</v>
      </c>
      <c r="D35">
        <v>18672</v>
      </c>
      <c r="E35">
        <v>44570</v>
      </c>
      <c r="F35" s="1">
        <v>41988</v>
      </c>
      <c r="G35" s="21" t="s">
        <v>17</v>
      </c>
      <c r="H35" s="21" t="s">
        <v>12</v>
      </c>
      <c r="I35" s="21" t="s">
        <v>18</v>
      </c>
      <c r="J35">
        <v>1</v>
      </c>
    </row>
    <row r="36" spans="1:10" x14ac:dyDescent="0.35">
      <c r="A36" s="21" t="s">
        <v>168</v>
      </c>
      <c r="B36">
        <v>1650</v>
      </c>
      <c r="C36" s="1">
        <v>46108</v>
      </c>
      <c r="D36">
        <v>19449</v>
      </c>
      <c r="E36">
        <v>45813</v>
      </c>
      <c r="F36" s="1">
        <v>42459</v>
      </c>
      <c r="G36" s="21" t="s">
        <v>94</v>
      </c>
      <c r="H36" s="21" t="s">
        <v>169</v>
      </c>
      <c r="I36" s="21" t="s">
        <v>18</v>
      </c>
      <c r="J36">
        <v>3</v>
      </c>
    </row>
    <row r="37" spans="1:10" x14ac:dyDescent="0.35">
      <c r="A37" s="21" t="s">
        <v>77</v>
      </c>
      <c r="B37">
        <v>1905</v>
      </c>
      <c r="C37" s="1">
        <v>46044</v>
      </c>
      <c r="D37">
        <v>18717</v>
      </c>
      <c r="E37">
        <v>44617</v>
      </c>
      <c r="F37" s="1">
        <v>43465</v>
      </c>
      <c r="G37" s="21" t="s">
        <v>17</v>
      </c>
      <c r="H37" s="21" t="s">
        <v>12</v>
      </c>
      <c r="I37" s="21" t="s">
        <v>13</v>
      </c>
      <c r="J37">
        <v>1</v>
      </c>
    </row>
    <row r="38" spans="1:10" x14ac:dyDescent="0.35">
      <c r="A38" s="21" t="s">
        <v>170</v>
      </c>
      <c r="B38">
        <v>16500</v>
      </c>
      <c r="C38" s="1">
        <v>46090</v>
      </c>
      <c r="D38">
        <v>19240</v>
      </c>
      <c r="E38">
        <v>45428</v>
      </c>
      <c r="F38" s="1">
        <v>41004</v>
      </c>
      <c r="G38" s="21" t="s">
        <v>11</v>
      </c>
      <c r="H38" s="21" t="s">
        <v>12</v>
      </c>
      <c r="I38" s="21" t="s">
        <v>21</v>
      </c>
      <c r="J38">
        <v>3</v>
      </c>
    </row>
    <row r="39" spans="1:10" x14ac:dyDescent="0.35">
      <c r="A39" s="21" t="s">
        <v>171</v>
      </c>
      <c r="B39">
        <v>1905</v>
      </c>
      <c r="C39" s="1">
        <v>46085</v>
      </c>
      <c r="D39">
        <v>19156</v>
      </c>
      <c r="E39">
        <v>45291</v>
      </c>
      <c r="F39" s="1">
        <v>40721</v>
      </c>
      <c r="G39" s="21" t="s">
        <v>11</v>
      </c>
      <c r="H39" s="21" t="s">
        <v>12</v>
      </c>
      <c r="I39" s="21" t="s">
        <v>13</v>
      </c>
      <c r="J39">
        <v>3</v>
      </c>
    </row>
    <row r="40" spans="1:10" x14ac:dyDescent="0.35">
      <c r="A40" s="21" t="s">
        <v>14</v>
      </c>
      <c r="B40">
        <v>1545</v>
      </c>
      <c r="C40" s="1">
        <v>46037</v>
      </c>
      <c r="D40">
        <v>18652</v>
      </c>
      <c r="E40">
        <v>44550</v>
      </c>
      <c r="F40" s="1">
        <v>38720</v>
      </c>
      <c r="G40" s="21" t="s">
        <v>11</v>
      </c>
      <c r="H40" s="21" t="s">
        <v>12</v>
      </c>
      <c r="I40" s="21" t="s">
        <v>18</v>
      </c>
      <c r="J40">
        <v>1</v>
      </c>
    </row>
    <row r="41" spans="1:10" x14ac:dyDescent="0.35">
      <c r="A41" s="21" t="s">
        <v>172</v>
      </c>
      <c r="B41">
        <v>5460</v>
      </c>
      <c r="C41" s="1">
        <v>46090</v>
      </c>
      <c r="D41">
        <v>19245</v>
      </c>
      <c r="E41">
        <v>45433</v>
      </c>
      <c r="F41" s="1">
        <v>45069</v>
      </c>
      <c r="G41" s="21" t="s">
        <v>11</v>
      </c>
      <c r="H41" s="21" t="s">
        <v>12</v>
      </c>
      <c r="I41" s="21" t="s">
        <v>18</v>
      </c>
      <c r="J41">
        <v>3</v>
      </c>
    </row>
    <row r="42" spans="1:10" x14ac:dyDescent="0.35">
      <c r="A42" s="21" t="s">
        <v>56</v>
      </c>
      <c r="B42">
        <v>2990</v>
      </c>
      <c r="C42" s="1">
        <v>46045</v>
      </c>
      <c r="D42">
        <v>18722</v>
      </c>
      <c r="E42">
        <v>44622</v>
      </c>
      <c r="F42" s="1">
        <v>45682</v>
      </c>
      <c r="G42" s="21" t="s">
        <v>17</v>
      </c>
      <c r="H42" s="21" t="s">
        <v>12</v>
      </c>
      <c r="I42" s="21" t="s">
        <v>13</v>
      </c>
      <c r="J42">
        <v>1</v>
      </c>
    </row>
    <row r="43" spans="1:10" x14ac:dyDescent="0.35">
      <c r="A43" s="21" t="s">
        <v>173</v>
      </c>
      <c r="B43">
        <v>18025</v>
      </c>
      <c r="C43" s="1">
        <v>46106</v>
      </c>
      <c r="D43">
        <v>19426</v>
      </c>
      <c r="E43">
        <v>45780</v>
      </c>
      <c r="F43" s="1">
        <v>43936</v>
      </c>
      <c r="G43" s="21" t="s">
        <v>94</v>
      </c>
      <c r="H43" s="21" t="s">
        <v>12</v>
      </c>
      <c r="I43" s="21" t="s">
        <v>13</v>
      </c>
      <c r="J43">
        <v>3</v>
      </c>
    </row>
    <row r="44" spans="1:10" x14ac:dyDescent="0.35">
      <c r="A44" s="21" t="s">
        <v>174</v>
      </c>
      <c r="B44">
        <v>36050</v>
      </c>
      <c r="C44" s="1">
        <v>46106</v>
      </c>
      <c r="D44">
        <v>19421</v>
      </c>
      <c r="E44">
        <v>45775</v>
      </c>
      <c r="F44" s="1">
        <v>40441</v>
      </c>
      <c r="G44" s="21" t="s">
        <v>11</v>
      </c>
      <c r="H44" s="21" t="s">
        <v>12</v>
      </c>
      <c r="I44" s="21" t="s">
        <v>21</v>
      </c>
      <c r="J44">
        <v>3</v>
      </c>
    </row>
    <row r="45" spans="1:10" x14ac:dyDescent="0.35">
      <c r="A45" s="21" t="s">
        <v>78</v>
      </c>
      <c r="B45">
        <v>2990</v>
      </c>
      <c r="C45" s="1">
        <v>46031</v>
      </c>
      <c r="D45">
        <v>18479</v>
      </c>
      <c r="E45">
        <v>44361</v>
      </c>
      <c r="F45" s="1">
        <v>44209</v>
      </c>
      <c r="G45" s="21" t="s">
        <v>17</v>
      </c>
      <c r="H45" s="21" t="s">
        <v>12</v>
      </c>
      <c r="I45" s="21" t="s">
        <v>13</v>
      </c>
      <c r="J45">
        <v>1</v>
      </c>
    </row>
    <row r="46" spans="1:10" x14ac:dyDescent="0.35">
      <c r="A46" s="21" t="s">
        <v>67</v>
      </c>
      <c r="B46">
        <v>108.79</v>
      </c>
      <c r="C46" s="1">
        <v>46031</v>
      </c>
      <c r="D46">
        <v>18507</v>
      </c>
      <c r="E46">
        <v>44390</v>
      </c>
      <c r="F46" s="1">
        <v>45777</v>
      </c>
      <c r="G46" s="21" t="s">
        <v>17</v>
      </c>
      <c r="H46" s="21" t="s">
        <v>12</v>
      </c>
      <c r="I46" s="21" t="s">
        <v>13</v>
      </c>
      <c r="J46">
        <v>1</v>
      </c>
    </row>
    <row r="47" spans="1:10" x14ac:dyDescent="0.35">
      <c r="A47" s="21" t="s">
        <v>67</v>
      </c>
      <c r="B47">
        <v>460.04</v>
      </c>
      <c r="C47" s="1">
        <v>46031</v>
      </c>
      <c r="D47">
        <v>18491</v>
      </c>
      <c r="E47">
        <v>44373</v>
      </c>
      <c r="F47" s="1">
        <v>45777</v>
      </c>
      <c r="G47" s="21" t="s">
        <v>17</v>
      </c>
      <c r="H47" s="21" t="s">
        <v>12</v>
      </c>
      <c r="I47" s="21" t="s">
        <v>18</v>
      </c>
      <c r="J47">
        <v>1</v>
      </c>
    </row>
    <row r="48" spans="1:10" x14ac:dyDescent="0.35">
      <c r="A48" s="21" t="s">
        <v>175</v>
      </c>
      <c r="B48">
        <v>23375</v>
      </c>
      <c r="C48" s="1">
        <v>46101</v>
      </c>
      <c r="D48">
        <v>19374</v>
      </c>
      <c r="E48">
        <v>45692</v>
      </c>
      <c r="F48" s="1">
        <v>40718</v>
      </c>
      <c r="G48" s="21" t="s">
        <v>17</v>
      </c>
      <c r="H48" s="21" t="s">
        <v>12</v>
      </c>
      <c r="I48" s="21" t="s">
        <v>18</v>
      </c>
      <c r="J48">
        <v>3</v>
      </c>
    </row>
    <row r="49" spans="1:10" x14ac:dyDescent="0.35">
      <c r="A49" s="21" t="s">
        <v>19</v>
      </c>
      <c r="B49">
        <v>1545</v>
      </c>
      <c r="C49" s="1">
        <v>46027</v>
      </c>
      <c r="D49">
        <v>18359</v>
      </c>
      <c r="E49">
        <v>44215</v>
      </c>
      <c r="F49" s="1">
        <v>40225</v>
      </c>
      <c r="G49" s="21" t="s">
        <v>0</v>
      </c>
      <c r="H49" s="21" t="s">
        <v>12</v>
      </c>
      <c r="I49" s="21" t="s">
        <v>18</v>
      </c>
      <c r="J49">
        <v>1</v>
      </c>
    </row>
    <row r="50" spans="1:10" x14ac:dyDescent="0.35">
      <c r="A50" s="21" t="s">
        <v>117</v>
      </c>
      <c r="B50">
        <v>21630</v>
      </c>
      <c r="C50" s="1">
        <v>46062</v>
      </c>
      <c r="D50">
        <v>18908</v>
      </c>
      <c r="E50">
        <v>44897</v>
      </c>
      <c r="F50" s="1">
        <v>42304</v>
      </c>
      <c r="G50" s="21" t="s">
        <v>17</v>
      </c>
      <c r="H50" s="21" t="s">
        <v>12</v>
      </c>
      <c r="I50" s="21" t="s">
        <v>21</v>
      </c>
      <c r="J50">
        <v>2</v>
      </c>
    </row>
    <row r="51" spans="1:10" x14ac:dyDescent="0.35">
      <c r="A51" s="21" t="s">
        <v>176</v>
      </c>
      <c r="B51">
        <v>2370</v>
      </c>
      <c r="C51" s="1">
        <v>46108</v>
      </c>
      <c r="D51">
        <v>19461</v>
      </c>
      <c r="E51">
        <v>45835</v>
      </c>
      <c r="F51" s="1">
        <v>38708</v>
      </c>
      <c r="G51" s="21" t="s">
        <v>17</v>
      </c>
      <c r="H51" s="21" t="s">
        <v>12</v>
      </c>
      <c r="I51" s="21" t="s">
        <v>18</v>
      </c>
      <c r="J51">
        <v>3</v>
      </c>
    </row>
    <row r="52" spans="1:10" x14ac:dyDescent="0.35">
      <c r="A52" s="21" t="s">
        <v>118</v>
      </c>
      <c r="B52">
        <v>2160</v>
      </c>
      <c r="C52" s="1">
        <v>46071</v>
      </c>
      <c r="D52">
        <v>18975</v>
      </c>
      <c r="E52">
        <v>45010</v>
      </c>
      <c r="F52" s="1">
        <v>36032</v>
      </c>
      <c r="G52" s="21" t="s">
        <v>94</v>
      </c>
      <c r="H52" s="21" t="s">
        <v>12</v>
      </c>
      <c r="I52" s="21" t="s">
        <v>13</v>
      </c>
      <c r="J52">
        <v>2</v>
      </c>
    </row>
    <row r="53" spans="1:10" x14ac:dyDescent="0.35">
      <c r="A53" s="21" t="s">
        <v>177</v>
      </c>
      <c r="B53">
        <v>1620</v>
      </c>
      <c r="C53" s="1">
        <v>46102</v>
      </c>
      <c r="D53">
        <v>19394</v>
      </c>
      <c r="E53">
        <v>45737</v>
      </c>
      <c r="F53" s="1">
        <v>45168</v>
      </c>
      <c r="G53" s="21" t="s">
        <v>17</v>
      </c>
      <c r="H53" s="21" t="s">
        <v>12</v>
      </c>
      <c r="I53" s="21" t="s">
        <v>18</v>
      </c>
      <c r="J53">
        <v>3</v>
      </c>
    </row>
    <row r="54" spans="1:10" x14ac:dyDescent="0.35">
      <c r="A54" s="21" t="s">
        <v>119</v>
      </c>
      <c r="B54">
        <v>23375</v>
      </c>
      <c r="C54" s="1">
        <v>46066</v>
      </c>
      <c r="D54">
        <v>18940</v>
      </c>
      <c r="E54">
        <v>44972</v>
      </c>
      <c r="F54" s="1">
        <v>41302</v>
      </c>
      <c r="G54" s="21" t="s">
        <v>17</v>
      </c>
      <c r="H54" s="21" t="s">
        <v>120</v>
      </c>
      <c r="I54" s="21" t="s">
        <v>18</v>
      </c>
      <c r="J54">
        <v>2</v>
      </c>
    </row>
    <row r="55" spans="1:10" x14ac:dyDescent="0.35">
      <c r="A55" s="21" t="s">
        <v>23</v>
      </c>
      <c r="B55">
        <v>1545</v>
      </c>
      <c r="C55" s="1">
        <v>46035</v>
      </c>
      <c r="D55">
        <v>18620</v>
      </c>
      <c r="E55">
        <v>44519</v>
      </c>
      <c r="F55" s="1">
        <v>41317</v>
      </c>
      <c r="G55" s="21" t="s">
        <v>11</v>
      </c>
      <c r="H55" s="21" t="s">
        <v>12</v>
      </c>
      <c r="I55" s="21" t="s">
        <v>18</v>
      </c>
      <c r="J55">
        <v>1</v>
      </c>
    </row>
    <row r="56" spans="1:10" x14ac:dyDescent="0.35">
      <c r="A56" s="21" t="s">
        <v>80</v>
      </c>
      <c r="B56">
        <v>1545</v>
      </c>
      <c r="C56" s="1">
        <v>46029</v>
      </c>
      <c r="D56">
        <v>18421</v>
      </c>
      <c r="E56">
        <v>44301</v>
      </c>
      <c r="F56" s="1">
        <v>46029</v>
      </c>
      <c r="G56" s="21" t="s">
        <v>17</v>
      </c>
      <c r="H56" s="21" t="s">
        <v>12</v>
      </c>
      <c r="I56" s="21" t="s">
        <v>18</v>
      </c>
      <c r="J56">
        <v>1</v>
      </c>
    </row>
    <row r="57" spans="1:10" x14ac:dyDescent="0.35">
      <c r="A57" s="21" t="s">
        <v>123</v>
      </c>
      <c r="B57">
        <v>1545</v>
      </c>
      <c r="C57" s="1">
        <v>46069</v>
      </c>
      <c r="D57">
        <v>18947</v>
      </c>
      <c r="E57">
        <v>44979</v>
      </c>
      <c r="F57" s="1">
        <v>44538</v>
      </c>
      <c r="G57" s="21" t="s">
        <v>17</v>
      </c>
      <c r="H57" s="21" t="s">
        <v>12</v>
      </c>
      <c r="I57" s="21" t="s">
        <v>18</v>
      </c>
      <c r="J57">
        <v>2</v>
      </c>
    </row>
    <row r="58" spans="1:10" x14ac:dyDescent="0.35">
      <c r="A58" s="21" t="s">
        <v>124</v>
      </c>
      <c r="B58">
        <v>23375</v>
      </c>
      <c r="C58" s="1">
        <v>46080</v>
      </c>
      <c r="D58">
        <v>19076</v>
      </c>
      <c r="E58">
        <v>45158</v>
      </c>
      <c r="F58" s="1">
        <v>37602</v>
      </c>
      <c r="G58" s="21" t="s">
        <v>17</v>
      </c>
      <c r="H58" s="21" t="s">
        <v>12</v>
      </c>
      <c r="I58" s="21" t="s">
        <v>18</v>
      </c>
      <c r="J58">
        <v>2</v>
      </c>
    </row>
    <row r="59" spans="1:10" x14ac:dyDescent="0.35">
      <c r="A59" s="21" t="s">
        <v>25</v>
      </c>
      <c r="B59">
        <v>2680</v>
      </c>
      <c r="C59" s="1">
        <v>46038</v>
      </c>
      <c r="D59">
        <v>18656</v>
      </c>
      <c r="E59">
        <v>44554</v>
      </c>
      <c r="F59" s="1">
        <v>36985</v>
      </c>
      <c r="G59" s="21" t="s">
        <v>11</v>
      </c>
      <c r="H59" s="21" t="s">
        <v>12</v>
      </c>
      <c r="I59" s="21" t="s">
        <v>18</v>
      </c>
      <c r="J59">
        <v>1</v>
      </c>
    </row>
    <row r="60" spans="1:10" x14ac:dyDescent="0.35">
      <c r="A60" s="21" t="s">
        <v>58</v>
      </c>
      <c r="B60">
        <v>1545</v>
      </c>
      <c r="C60" s="1">
        <v>46042</v>
      </c>
      <c r="D60">
        <v>18683</v>
      </c>
      <c r="E60">
        <v>44583</v>
      </c>
      <c r="F60" s="1">
        <v>45679</v>
      </c>
      <c r="G60" s="21" t="s">
        <v>17</v>
      </c>
      <c r="H60" s="21" t="s">
        <v>12</v>
      </c>
      <c r="I60" s="21" t="s">
        <v>18</v>
      </c>
      <c r="J60">
        <v>1</v>
      </c>
    </row>
    <row r="61" spans="1:10" x14ac:dyDescent="0.35">
      <c r="A61" s="21" t="s">
        <v>179</v>
      </c>
      <c r="B61">
        <v>1545</v>
      </c>
      <c r="C61" s="1">
        <v>46087</v>
      </c>
      <c r="D61">
        <v>19227</v>
      </c>
      <c r="E61">
        <v>45392</v>
      </c>
      <c r="F61" s="1">
        <v>40051</v>
      </c>
      <c r="G61" s="21" t="s">
        <v>11</v>
      </c>
      <c r="H61" s="21" t="s">
        <v>12</v>
      </c>
      <c r="I61" s="21" t="s">
        <v>18</v>
      </c>
      <c r="J61">
        <v>3</v>
      </c>
    </row>
    <row r="62" spans="1:10" x14ac:dyDescent="0.35">
      <c r="A62" s="21" t="s">
        <v>180</v>
      </c>
      <c r="B62">
        <v>1905</v>
      </c>
      <c r="C62" s="1">
        <v>46111</v>
      </c>
      <c r="D62">
        <v>19477</v>
      </c>
      <c r="E62">
        <v>45869</v>
      </c>
      <c r="F62" s="1">
        <v>40630</v>
      </c>
      <c r="G62" s="21" t="s">
        <v>11</v>
      </c>
      <c r="H62" s="21" t="s">
        <v>12</v>
      </c>
      <c r="I62" s="21" t="s">
        <v>13</v>
      </c>
      <c r="J62">
        <v>3</v>
      </c>
    </row>
    <row r="63" spans="1:10" x14ac:dyDescent="0.35">
      <c r="A63" s="21" t="s">
        <v>181</v>
      </c>
      <c r="B63">
        <v>1905</v>
      </c>
      <c r="C63" s="1">
        <v>46090</v>
      </c>
      <c r="D63">
        <v>19241</v>
      </c>
      <c r="E63">
        <v>45429</v>
      </c>
      <c r="F63" s="1">
        <v>44718</v>
      </c>
      <c r="G63" s="21" t="s">
        <v>11</v>
      </c>
      <c r="H63" s="21" t="s">
        <v>12</v>
      </c>
      <c r="I63" s="21" t="s">
        <v>13</v>
      </c>
      <c r="J63">
        <v>3</v>
      </c>
    </row>
    <row r="64" spans="1:10" x14ac:dyDescent="0.35">
      <c r="A64" s="21" t="s">
        <v>125</v>
      </c>
      <c r="B64">
        <v>1905</v>
      </c>
      <c r="C64" s="1">
        <v>46069</v>
      </c>
      <c r="D64">
        <v>18949</v>
      </c>
      <c r="E64">
        <v>44981</v>
      </c>
      <c r="F64" s="1">
        <v>44095</v>
      </c>
      <c r="G64" s="21" t="s">
        <v>11</v>
      </c>
      <c r="H64" s="21" t="s">
        <v>12</v>
      </c>
      <c r="I64" s="21" t="s">
        <v>13</v>
      </c>
      <c r="J64">
        <v>2</v>
      </c>
    </row>
    <row r="65" spans="1:10" x14ac:dyDescent="0.35">
      <c r="A65" s="21" t="s">
        <v>183</v>
      </c>
      <c r="B65">
        <v>1650</v>
      </c>
      <c r="C65" s="1">
        <v>46112</v>
      </c>
      <c r="D65">
        <v>19507</v>
      </c>
      <c r="E65">
        <v>45907</v>
      </c>
      <c r="F65" s="1">
        <v>37351</v>
      </c>
      <c r="G65" s="21" t="s">
        <v>94</v>
      </c>
      <c r="H65" s="21" t="s">
        <v>12</v>
      </c>
      <c r="I65" s="21" t="s">
        <v>18</v>
      </c>
      <c r="J65">
        <v>3</v>
      </c>
    </row>
    <row r="66" spans="1:10" x14ac:dyDescent="0.35">
      <c r="A66" s="21" t="s">
        <v>184</v>
      </c>
      <c r="B66">
        <v>7570</v>
      </c>
      <c r="C66" s="1">
        <v>46112</v>
      </c>
      <c r="D66">
        <v>19505</v>
      </c>
      <c r="E66">
        <v>45905</v>
      </c>
      <c r="F66" s="1">
        <v>38867</v>
      </c>
      <c r="G66" s="21" t="s">
        <v>94</v>
      </c>
      <c r="H66" s="21" t="s">
        <v>12</v>
      </c>
      <c r="I66" s="21" t="s">
        <v>18</v>
      </c>
      <c r="J66">
        <v>3</v>
      </c>
    </row>
    <row r="67" spans="1:10" x14ac:dyDescent="0.35">
      <c r="A67" s="21" t="s">
        <v>84</v>
      </c>
      <c r="B67">
        <v>2680</v>
      </c>
      <c r="C67" s="1">
        <v>46038</v>
      </c>
      <c r="D67">
        <v>18660</v>
      </c>
      <c r="E67">
        <v>44559</v>
      </c>
      <c r="F67" s="1">
        <v>40897</v>
      </c>
      <c r="G67" s="21" t="s">
        <v>11</v>
      </c>
      <c r="H67" s="21" t="s">
        <v>12</v>
      </c>
      <c r="I67" s="21" t="s">
        <v>18</v>
      </c>
      <c r="J67">
        <v>1</v>
      </c>
    </row>
    <row r="68" spans="1:10" x14ac:dyDescent="0.35">
      <c r="A68" s="21" t="s">
        <v>186</v>
      </c>
      <c r="B68">
        <v>5770</v>
      </c>
      <c r="C68" s="1">
        <v>46108</v>
      </c>
      <c r="D68">
        <v>19453</v>
      </c>
      <c r="E68">
        <v>45819</v>
      </c>
      <c r="F68" s="1">
        <v>37630</v>
      </c>
      <c r="G68" s="21" t="s">
        <v>91</v>
      </c>
      <c r="H68" s="21" t="s">
        <v>12</v>
      </c>
      <c r="I68" s="21" t="s">
        <v>18</v>
      </c>
      <c r="J68">
        <v>3</v>
      </c>
    </row>
    <row r="69" spans="1:10" x14ac:dyDescent="0.35">
      <c r="A69" s="21" t="s">
        <v>187</v>
      </c>
      <c r="B69">
        <v>1545</v>
      </c>
      <c r="C69" s="1">
        <v>46107</v>
      </c>
      <c r="D69">
        <v>19437</v>
      </c>
      <c r="E69">
        <v>45792</v>
      </c>
      <c r="F69" s="1">
        <v>41389</v>
      </c>
      <c r="G69" s="21" t="s">
        <v>0</v>
      </c>
      <c r="H69" s="21" t="s">
        <v>12</v>
      </c>
      <c r="I69" s="21" t="s">
        <v>18</v>
      </c>
      <c r="J69">
        <v>3</v>
      </c>
    </row>
    <row r="70" spans="1:10" x14ac:dyDescent="0.35">
      <c r="A70" s="21" t="s">
        <v>85</v>
      </c>
      <c r="B70">
        <v>2680</v>
      </c>
      <c r="C70" s="1">
        <v>46052</v>
      </c>
      <c r="D70">
        <v>18826</v>
      </c>
      <c r="E70">
        <v>44799</v>
      </c>
      <c r="F70" s="1">
        <v>42942</v>
      </c>
      <c r="G70" s="21" t="s">
        <v>11</v>
      </c>
      <c r="H70" s="21" t="s">
        <v>12</v>
      </c>
      <c r="I70" s="21" t="s">
        <v>18</v>
      </c>
      <c r="J70">
        <v>1</v>
      </c>
    </row>
    <row r="71" spans="1:10" x14ac:dyDescent="0.35">
      <c r="A71" s="21" t="s">
        <v>188</v>
      </c>
      <c r="B71">
        <v>1545</v>
      </c>
      <c r="C71" s="1">
        <v>46105</v>
      </c>
      <c r="D71">
        <v>19413</v>
      </c>
      <c r="E71">
        <v>45764</v>
      </c>
      <c r="F71" s="1">
        <v>40522</v>
      </c>
      <c r="G71" s="21" t="s">
        <v>11</v>
      </c>
      <c r="H71" s="21" t="s">
        <v>12</v>
      </c>
      <c r="I71" s="21" t="s">
        <v>18</v>
      </c>
      <c r="J71">
        <v>3</v>
      </c>
    </row>
    <row r="72" spans="1:10" x14ac:dyDescent="0.35">
      <c r="A72" s="21" t="s">
        <v>190</v>
      </c>
      <c r="B72">
        <v>10170</v>
      </c>
      <c r="C72" s="1">
        <v>46101</v>
      </c>
      <c r="D72">
        <v>19377</v>
      </c>
      <c r="E72">
        <v>45703</v>
      </c>
      <c r="F72" s="1">
        <v>43347</v>
      </c>
      <c r="G72" s="21" t="s">
        <v>17</v>
      </c>
      <c r="H72" s="21" t="s">
        <v>12</v>
      </c>
      <c r="I72" s="21" t="s">
        <v>18</v>
      </c>
      <c r="J72">
        <v>3</v>
      </c>
    </row>
    <row r="73" spans="1:10" x14ac:dyDescent="0.35">
      <c r="A73" s="21" t="s">
        <v>191</v>
      </c>
      <c r="B73">
        <v>1545</v>
      </c>
      <c r="C73" s="1">
        <v>46101</v>
      </c>
      <c r="D73">
        <v>19372</v>
      </c>
      <c r="E73">
        <v>45683</v>
      </c>
      <c r="F73" s="1">
        <v>45415</v>
      </c>
      <c r="G73" s="21" t="s">
        <v>17</v>
      </c>
      <c r="H73" s="21" t="s">
        <v>12</v>
      </c>
      <c r="I73" s="21" t="s">
        <v>18</v>
      </c>
      <c r="J73">
        <v>3</v>
      </c>
    </row>
    <row r="74" spans="1:10" x14ac:dyDescent="0.35">
      <c r="A74" s="21" t="s">
        <v>192</v>
      </c>
      <c r="B74">
        <v>2370</v>
      </c>
      <c r="C74" s="1">
        <v>46100</v>
      </c>
      <c r="D74">
        <v>19365</v>
      </c>
      <c r="E74">
        <v>45676</v>
      </c>
      <c r="F74" s="1">
        <v>46100</v>
      </c>
      <c r="G74" s="21" t="s">
        <v>17</v>
      </c>
      <c r="H74" s="21" t="s">
        <v>12</v>
      </c>
      <c r="I74" s="21" t="s">
        <v>18</v>
      </c>
      <c r="J74">
        <v>3</v>
      </c>
    </row>
    <row r="75" spans="1:10" x14ac:dyDescent="0.35">
      <c r="A75" s="21" t="s">
        <v>193</v>
      </c>
      <c r="B75">
        <v>2990</v>
      </c>
      <c r="C75" s="1">
        <v>46087</v>
      </c>
      <c r="D75">
        <v>19228</v>
      </c>
      <c r="E75">
        <v>45393</v>
      </c>
      <c r="F75" s="1">
        <v>45775</v>
      </c>
      <c r="G75" s="21" t="s">
        <v>17</v>
      </c>
      <c r="H75" s="21" t="s">
        <v>12</v>
      </c>
      <c r="I75" s="21" t="s">
        <v>13</v>
      </c>
      <c r="J75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50FD-1B3E-42C1-A05C-8210968609D2}">
  <dimension ref="A3:C27"/>
  <sheetViews>
    <sheetView workbookViewId="0">
      <selection activeCell="B23" sqref="B23"/>
    </sheetView>
  </sheetViews>
  <sheetFormatPr defaultRowHeight="14.5" x14ac:dyDescent="0.35"/>
  <cols>
    <col min="1" max="1" width="12.453125" bestFit="1" customWidth="1"/>
    <col min="2" max="2" width="11.1796875" bestFit="1" customWidth="1"/>
  </cols>
  <sheetData>
    <row r="3" spans="1:3" x14ac:dyDescent="0.35">
      <c r="A3" s="2" t="s">
        <v>29</v>
      </c>
      <c r="B3" t="s">
        <v>31</v>
      </c>
    </row>
    <row r="4" spans="1:3" x14ac:dyDescent="0.35">
      <c r="A4" s="3">
        <v>1</v>
      </c>
      <c r="B4" s="4">
        <v>8525</v>
      </c>
    </row>
    <row r="5" spans="1:3" x14ac:dyDescent="0.35">
      <c r="A5" s="3">
        <v>2</v>
      </c>
      <c r="B5" s="4">
        <v>4075</v>
      </c>
    </row>
    <row r="6" spans="1:3" x14ac:dyDescent="0.35">
      <c r="A6" s="3">
        <v>3</v>
      </c>
      <c r="B6" s="4">
        <v>7825</v>
      </c>
    </row>
    <row r="7" spans="1:3" x14ac:dyDescent="0.35">
      <c r="A7" s="3" t="s">
        <v>30</v>
      </c>
      <c r="B7" s="4">
        <v>20425</v>
      </c>
    </row>
    <row r="16" spans="1:3" x14ac:dyDescent="0.35">
      <c r="C16">
        <f>GETPIVOTDATA("Total",$A$3)</f>
        <v>20425</v>
      </c>
    </row>
    <row r="17" spans="1:3" x14ac:dyDescent="0.35">
      <c r="C17" t="str">
        <f>"Grand Total: $"&amp;TEXT(GETPIVOTDATA("Total",$A$3),"#,###")</f>
        <v>Grand Total: $20,425</v>
      </c>
    </row>
    <row r="22" spans="1:3" x14ac:dyDescent="0.35">
      <c r="A22" s="2" t="s">
        <v>29</v>
      </c>
      <c r="B22" t="s">
        <v>54</v>
      </c>
    </row>
    <row r="23" spans="1:3" x14ac:dyDescent="0.35">
      <c r="A23" s="3" t="s">
        <v>16</v>
      </c>
      <c r="B23" s="21">
        <v>26</v>
      </c>
    </row>
    <row r="24" spans="1:3" x14ac:dyDescent="0.35">
      <c r="A24" s="3" t="s">
        <v>99</v>
      </c>
      <c r="B24" s="21">
        <v>2</v>
      </c>
    </row>
    <row r="25" spans="1:3" x14ac:dyDescent="0.35">
      <c r="A25" s="3" t="s">
        <v>162</v>
      </c>
      <c r="B25" s="21">
        <v>1</v>
      </c>
    </row>
    <row r="26" spans="1:3" x14ac:dyDescent="0.35">
      <c r="A26" s="3" t="s">
        <v>30</v>
      </c>
      <c r="B26" s="21">
        <v>29</v>
      </c>
    </row>
    <row r="27" spans="1:3" x14ac:dyDescent="0.35">
      <c r="C27" t="str">
        <f>CONCATENATE("Individual: ",GETPIVOTDATA("Item Name",$A$22))</f>
        <v>Individual: 29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0264-9DB1-4BB5-BB8C-E3311B49F6F5}">
  <dimension ref="A1:J30"/>
  <sheetViews>
    <sheetView workbookViewId="0">
      <selection activeCell="A7" sqref="A7"/>
    </sheetView>
  </sheetViews>
  <sheetFormatPr defaultRowHeight="14.5" x14ac:dyDescent="0.35"/>
  <cols>
    <col min="1" max="1" width="30.26953125" bestFit="1" customWidth="1"/>
    <col min="2" max="2" width="7.179687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17.81640625" bestFit="1" customWidth="1"/>
    <col min="8" max="8" width="15.453125" bestFit="1" customWidth="1"/>
    <col min="9" max="9" width="19" bestFit="1" customWidth="1"/>
    <col min="10" max="10" width="12.90625" bestFit="1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5">
      <c r="A2" s="21" t="s">
        <v>28</v>
      </c>
      <c r="B2">
        <v>775</v>
      </c>
      <c r="C2" s="1">
        <v>46033</v>
      </c>
      <c r="D2">
        <v>18551</v>
      </c>
      <c r="E2">
        <v>44438</v>
      </c>
      <c r="F2" s="1">
        <v>45385</v>
      </c>
      <c r="G2" s="21" t="s">
        <v>15</v>
      </c>
      <c r="H2" s="21" t="s">
        <v>15</v>
      </c>
      <c r="I2" s="21" t="s">
        <v>16</v>
      </c>
      <c r="J2">
        <v>1</v>
      </c>
    </row>
    <row r="3" spans="1:10" x14ac:dyDescent="0.35">
      <c r="A3" s="21" t="s">
        <v>55</v>
      </c>
      <c r="B3">
        <v>775</v>
      </c>
      <c r="C3" s="1">
        <v>46027</v>
      </c>
      <c r="D3">
        <v>18371</v>
      </c>
      <c r="E3">
        <v>44227</v>
      </c>
      <c r="F3" s="1">
        <v>44433</v>
      </c>
      <c r="G3" s="21" t="s">
        <v>15</v>
      </c>
      <c r="H3" s="21" t="s">
        <v>12</v>
      </c>
      <c r="I3" s="21" t="s">
        <v>16</v>
      </c>
      <c r="J3">
        <v>1</v>
      </c>
    </row>
    <row r="4" spans="1:10" x14ac:dyDescent="0.35">
      <c r="A4" s="21" t="s">
        <v>130</v>
      </c>
      <c r="B4">
        <v>775</v>
      </c>
      <c r="C4" s="1">
        <v>46107</v>
      </c>
      <c r="D4">
        <v>19433</v>
      </c>
      <c r="E4">
        <v>45787</v>
      </c>
      <c r="F4" s="1">
        <v>46107</v>
      </c>
      <c r="G4" s="21" t="s">
        <v>15</v>
      </c>
      <c r="H4" s="21" t="s">
        <v>12</v>
      </c>
      <c r="I4" s="21" t="s">
        <v>16</v>
      </c>
      <c r="J4">
        <v>3</v>
      </c>
    </row>
    <row r="5" spans="1:10" x14ac:dyDescent="0.35">
      <c r="A5" s="21" t="s">
        <v>69</v>
      </c>
      <c r="B5">
        <v>775</v>
      </c>
      <c r="C5" s="1">
        <v>46034</v>
      </c>
      <c r="D5">
        <v>18605</v>
      </c>
      <c r="E5">
        <v>44503</v>
      </c>
      <c r="F5" s="1">
        <v>46034</v>
      </c>
      <c r="G5" s="21" t="s">
        <v>15</v>
      </c>
      <c r="H5" s="21" t="s">
        <v>20</v>
      </c>
      <c r="I5" s="21" t="s">
        <v>16</v>
      </c>
      <c r="J5">
        <v>1</v>
      </c>
    </row>
    <row r="6" spans="1:10" x14ac:dyDescent="0.35">
      <c r="A6" s="21" t="s">
        <v>132</v>
      </c>
      <c r="B6">
        <v>775</v>
      </c>
      <c r="C6" s="1">
        <v>46104</v>
      </c>
      <c r="D6">
        <v>19400</v>
      </c>
      <c r="E6">
        <v>45749</v>
      </c>
      <c r="F6" s="1">
        <v>46104</v>
      </c>
      <c r="G6" s="21" t="s">
        <v>15</v>
      </c>
      <c r="H6" s="21" t="s">
        <v>12</v>
      </c>
      <c r="I6" s="21" t="s">
        <v>16</v>
      </c>
      <c r="J6">
        <v>3</v>
      </c>
    </row>
    <row r="7" spans="1:10" x14ac:dyDescent="0.35">
      <c r="A7" s="21" t="s">
        <v>98</v>
      </c>
      <c r="B7">
        <v>100</v>
      </c>
      <c r="C7" s="1">
        <v>46069</v>
      </c>
      <c r="D7">
        <v>18946</v>
      </c>
      <c r="E7">
        <v>44978</v>
      </c>
      <c r="F7" s="1">
        <v>44959</v>
      </c>
      <c r="G7" s="21" t="s">
        <v>15</v>
      </c>
      <c r="H7" s="21" t="s">
        <v>12</v>
      </c>
      <c r="I7" s="21" t="s">
        <v>99</v>
      </c>
      <c r="J7">
        <v>2</v>
      </c>
    </row>
    <row r="8" spans="1:10" x14ac:dyDescent="0.35">
      <c r="A8" s="21" t="s">
        <v>71</v>
      </c>
      <c r="B8">
        <v>775</v>
      </c>
      <c r="C8" s="1">
        <v>46053</v>
      </c>
      <c r="D8">
        <v>18840</v>
      </c>
      <c r="E8">
        <v>44813</v>
      </c>
      <c r="F8" s="1">
        <v>44546</v>
      </c>
      <c r="G8" s="21" t="s">
        <v>15</v>
      </c>
      <c r="H8" s="21" t="s">
        <v>15</v>
      </c>
      <c r="I8" s="21" t="s">
        <v>16</v>
      </c>
      <c r="J8">
        <v>1</v>
      </c>
    </row>
    <row r="9" spans="1:10" x14ac:dyDescent="0.35">
      <c r="A9" s="21" t="s">
        <v>72</v>
      </c>
      <c r="B9">
        <v>775</v>
      </c>
      <c r="C9" s="1">
        <v>46052</v>
      </c>
      <c r="D9">
        <v>18833</v>
      </c>
      <c r="E9">
        <v>44806</v>
      </c>
      <c r="F9" s="1">
        <v>46052</v>
      </c>
      <c r="G9" s="21" t="s">
        <v>15</v>
      </c>
      <c r="H9" s="21" t="s">
        <v>12</v>
      </c>
      <c r="I9" s="21" t="s">
        <v>16</v>
      </c>
      <c r="J9">
        <v>1</v>
      </c>
    </row>
    <row r="10" spans="1:10" x14ac:dyDescent="0.35">
      <c r="A10" s="21" t="s">
        <v>135</v>
      </c>
      <c r="B10">
        <v>775</v>
      </c>
      <c r="C10" s="1">
        <v>46099</v>
      </c>
      <c r="D10">
        <v>19340</v>
      </c>
      <c r="E10">
        <v>45627</v>
      </c>
      <c r="F10" s="1">
        <v>46099</v>
      </c>
      <c r="G10" s="21" t="s">
        <v>15</v>
      </c>
      <c r="H10" s="21" t="s">
        <v>12</v>
      </c>
      <c r="I10" s="21" t="s">
        <v>16</v>
      </c>
      <c r="J10">
        <v>3</v>
      </c>
    </row>
    <row r="11" spans="1:10" x14ac:dyDescent="0.35">
      <c r="A11" s="21" t="s">
        <v>74</v>
      </c>
      <c r="B11">
        <v>775</v>
      </c>
      <c r="C11" s="1">
        <v>46043</v>
      </c>
      <c r="D11">
        <v>18708</v>
      </c>
      <c r="E11">
        <v>44608</v>
      </c>
      <c r="F11" s="1">
        <v>42038</v>
      </c>
      <c r="G11" s="21" t="s">
        <v>17</v>
      </c>
      <c r="H11" s="21" t="s">
        <v>12</v>
      </c>
      <c r="I11" s="21" t="s">
        <v>16</v>
      </c>
      <c r="J11">
        <v>1</v>
      </c>
    </row>
    <row r="12" spans="1:10" x14ac:dyDescent="0.35">
      <c r="A12" s="21" t="s">
        <v>104</v>
      </c>
      <c r="B12">
        <v>775</v>
      </c>
      <c r="C12" s="1">
        <v>46080</v>
      </c>
      <c r="D12">
        <v>19083</v>
      </c>
      <c r="E12">
        <v>45165</v>
      </c>
      <c r="F12" s="1">
        <v>46080</v>
      </c>
      <c r="G12" s="21" t="s">
        <v>15</v>
      </c>
      <c r="H12" s="21" t="s">
        <v>12</v>
      </c>
      <c r="I12" s="21" t="s">
        <v>16</v>
      </c>
      <c r="J12">
        <v>2</v>
      </c>
    </row>
    <row r="13" spans="1:10" x14ac:dyDescent="0.35">
      <c r="A13" s="21" t="s">
        <v>161</v>
      </c>
      <c r="B13">
        <v>75</v>
      </c>
      <c r="C13" s="1">
        <v>46094</v>
      </c>
      <c r="D13">
        <v>19292</v>
      </c>
      <c r="E13">
        <v>45526</v>
      </c>
      <c r="F13" s="1">
        <v>46094</v>
      </c>
      <c r="G13" s="21" t="s">
        <v>15</v>
      </c>
      <c r="H13" s="21" t="s">
        <v>12</v>
      </c>
      <c r="I13" s="21" t="s">
        <v>162</v>
      </c>
      <c r="J13">
        <v>3</v>
      </c>
    </row>
    <row r="14" spans="1:10" x14ac:dyDescent="0.35">
      <c r="A14" s="21" t="s">
        <v>76</v>
      </c>
      <c r="B14">
        <v>775</v>
      </c>
      <c r="C14" s="1">
        <v>46028</v>
      </c>
      <c r="D14">
        <v>18392</v>
      </c>
      <c r="E14">
        <v>44254</v>
      </c>
      <c r="F14" s="1">
        <v>46028</v>
      </c>
      <c r="G14" s="21" t="s">
        <v>15</v>
      </c>
      <c r="H14" s="21" t="s">
        <v>12</v>
      </c>
      <c r="I14" s="21" t="s">
        <v>16</v>
      </c>
      <c r="J14">
        <v>1</v>
      </c>
    </row>
    <row r="15" spans="1:10" x14ac:dyDescent="0.35">
      <c r="A15" s="21" t="s">
        <v>165</v>
      </c>
      <c r="B15">
        <v>775</v>
      </c>
      <c r="C15" s="1">
        <v>46085</v>
      </c>
      <c r="D15">
        <v>19136</v>
      </c>
      <c r="E15">
        <v>45235</v>
      </c>
      <c r="F15" s="1">
        <v>43523</v>
      </c>
      <c r="G15" s="21" t="s">
        <v>15</v>
      </c>
      <c r="H15" s="21" t="s">
        <v>12</v>
      </c>
      <c r="I15" s="21" t="s">
        <v>16</v>
      </c>
      <c r="J15">
        <v>3</v>
      </c>
    </row>
    <row r="16" spans="1:10" x14ac:dyDescent="0.35">
      <c r="A16" s="21" t="s">
        <v>113</v>
      </c>
      <c r="B16">
        <v>100</v>
      </c>
      <c r="C16" s="1">
        <v>46064</v>
      </c>
      <c r="D16">
        <v>18927</v>
      </c>
      <c r="E16">
        <v>44951</v>
      </c>
      <c r="F16" s="1">
        <v>35292</v>
      </c>
      <c r="G16" s="21" t="s">
        <v>15</v>
      </c>
      <c r="H16" s="21" t="s">
        <v>12</v>
      </c>
      <c r="I16" s="21" t="s">
        <v>99</v>
      </c>
      <c r="J16">
        <v>2</v>
      </c>
    </row>
    <row r="17" spans="1:10" x14ac:dyDescent="0.35">
      <c r="A17" s="21" t="s">
        <v>166</v>
      </c>
      <c r="B17">
        <v>775</v>
      </c>
      <c r="C17" s="1">
        <v>46087</v>
      </c>
      <c r="D17">
        <v>19224</v>
      </c>
      <c r="E17">
        <v>45388</v>
      </c>
      <c r="F17" s="1">
        <v>45741</v>
      </c>
      <c r="G17" s="21" t="s">
        <v>15</v>
      </c>
      <c r="H17" s="21" t="s">
        <v>15</v>
      </c>
      <c r="I17" s="21" t="s">
        <v>16</v>
      </c>
      <c r="J17">
        <v>3</v>
      </c>
    </row>
    <row r="18" spans="1:10" x14ac:dyDescent="0.35">
      <c r="A18" s="21" t="s">
        <v>167</v>
      </c>
      <c r="B18">
        <v>775</v>
      </c>
      <c r="C18" s="1">
        <v>46101</v>
      </c>
      <c r="D18">
        <v>19382</v>
      </c>
      <c r="E18">
        <v>45724</v>
      </c>
      <c r="F18" s="1">
        <v>46101</v>
      </c>
      <c r="G18" s="21" t="s">
        <v>15</v>
      </c>
      <c r="H18" s="21" t="s">
        <v>12</v>
      </c>
      <c r="I18" s="21" t="s">
        <v>16</v>
      </c>
      <c r="J18">
        <v>3</v>
      </c>
    </row>
    <row r="19" spans="1:10" x14ac:dyDescent="0.35">
      <c r="A19" s="21" t="s">
        <v>115</v>
      </c>
      <c r="B19">
        <v>775</v>
      </c>
      <c r="C19" s="1">
        <v>46055</v>
      </c>
      <c r="D19">
        <v>18853</v>
      </c>
      <c r="E19">
        <v>44825</v>
      </c>
      <c r="F19" s="1">
        <v>45344</v>
      </c>
      <c r="G19" s="21" t="s">
        <v>15</v>
      </c>
      <c r="H19" s="21" t="s">
        <v>15</v>
      </c>
      <c r="I19" s="21" t="s">
        <v>16</v>
      </c>
      <c r="J19">
        <v>2</v>
      </c>
    </row>
    <row r="20" spans="1:10" x14ac:dyDescent="0.35">
      <c r="A20" s="21" t="s">
        <v>178</v>
      </c>
      <c r="B20">
        <v>775</v>
      </c>
      <c r="C20" s="1">
        <v>46087</v>
      </c>
      <c r="D20">
        <v>19198</v>
      </c>
      <c r="E20">
        <v>45356</v>
      </c>
      <c r="F20" s="1">
        <v>44629</v>
      </c>
      <c r="G20" s="21" t="s">
        <v>15</v>
      </c>
      <c r="H20" s="21" t="s">
        <v>12</v>
      </c>
      <c r="I20" s="21" t="s">
        <v>16</v>
      </c>
      <c r="J20">
        <v>3</v>
      </c>
    </row>
    <row r="21" spans="1:10" x14ac:dyDescent="0.35">
      <c r="A21" s="21" t="s">
        <v>79</v>
      </c>
      <c r="B21">
        <v>775</v>
      </c>
      <c r="C21" s="1">
        <v>46034</v>
      </c>
      <c r="D21">
        <v>18585</v>
      </c>
      <c r="E21">
        <v>44482</v>
      </c>
      <c r="F21" s="1">
        <v>46034</v>
      </c>
      <c r="G21" s="21" t="s">
        <v>15</v>
      </c>
      <c r="H21" s="21" t="s">
        <v>12</v>
      </c>
      <c r="I21" s="21" t="s">
        <v>16</v>
      </c>
      <c r="J21">
        <v>1</v>
      </c>
    </row>
    <row r="22" spans="1:10" x14ac:dyDescent="0.35">
      <c r="A22" s="21" t="s">
        <v>121</v>
      </c>
      <c r="B22">
        <v>775</v>
      </c>
      <c r="C22" s="1">
        <v>46070</v>
      </c>
      <c r="D22">
        <v>18965</v>
      </c>
      <c r="E22">
        <v>45000</v>
      </c>
      <c r="F22" s="1">
        <v>45013</v>
      </c>
      <c r="G22" s="21" t="s">
        <v>15</v>
      </c>
      <c r="H22" s="21" t="s">
        <v>12</v>
      </c>
      <c r="I22" s="21" t="s">
        <v>16</v>
      </c>
      <c r="J22">
        <v>2</v>
      </c>
    </row>
    <row r="23" spans="1:10" x14ac:dyDescent="0.35">
      <c r="A23" s="21" t="s">
        <v>57</v>
      </c>
      <c r="B23">
        <v>775</v>
      </c>
      <c r="C23" s="1">
        <v>46043</v>
      </c>
      <c r="D23">
        <v>18695</v>
      </c>
      <c r="E23">
        <v>44595</v>
      </c>
      <c r="F23" s="1">
        <v>45681</v>
      </c>
      <c r="G23" s="21" t="s">
        <v>15</v>
      </c>
      <c r="H23" s="21" t="s">
        <v>15</v>
      </c>
      <c r="I23" s="21" t="s">
        <v>16</v>
      </c>
      <c r="J23">
        <v>1</v>
      </c>
    </row>
    <row r="24" spans="1:10" x14ac:dyDescent="0.35">
      <c r="A24" s="21" t="s">
        <v>81</v>
      </c>
      <c r="B24">
        <v>775</v>
      </c>
      <c r="C24" s="1">
        <v>46029</v>
      </c>
      <c r="D24">
        <v>18418</v>
      </c>
      <c r="E24">
        <v>44298</v>
      </c>
      <c r="F24" s="1">
        <v>45050</v>
      </c>
      <c r="G24" s="21" t="s">
        <v>15</v>
      </c>
      <c r="H24" s="21" t="s">
        <v>12</v>
      </c>
      <c r="I24" s="21" t="s">
        <v>16</v>
      </c>
      <c r="J24">
        <v>1</v>
      </c>
    </row>
    <row r="25" spans="1:10" x14ac:dyDescent="0.35">
      <c r="A25" s="21" t="s">
        <v>82</v>
      </c>
      <c r="B25">
        <v>775</v>
      </c>
      <c r="C25" s="1">
        <v>46055</v>
      </c>
      <c r="D25">
        <v>18845</v>
      </c>
      <c r="E25">
        <v>44817</v>
      </c>
      <c r="F25" s="1">
        <v>46055</v>
      </c>
      <c r="G25" s="21" t="s">
        <v>15</v>
      </c>
      <c r="H25" s="21" t="s">
        <v>12</v>
      </c>
      <c r="I25" s="21" t="s">
        <v>16</v>
      </c>
      <c r="J25">
        <v>2</v>
      </c>
    </row>
    <row r="26" spans="1:10" x14ac:dyDescent="0.35">
      <c r="A26" s="21" t="s">
        <v>122</v>
      </c>
      <c r="B26">
        <v>775</v>
      </c>
      <c r="C26" s="1">
        <v>46056</v>
      </c>
      <c r="D26">
        <v>18862</v>
      </c>
      <c r="E26">
        <v>44835</v>
      </c>
      <c r="F26" s="1">
        <v>46056</v>
      </c>
      <c r="G26" s="21" t="s">
        <v>15</v>
      </c>
      <c r="H26" s="21" t="s">
        <v>12</v>
      </c>
      <c r="I26" s="21" t="s">
        <v>16</v>
      </c>
      <c r="J26">
        <v>2</v>
      </c>
    </row>
    <row r="27" spans="1:10" x14ac:dyDescent="0.35">
      <c r="A27" s="21" t="s">
        <v>83</v>
      </c>
      <c r="B27">
        <v>775</v>
      </c>
      <c r="C27" s="1">
        <v>46050</v>
      </c>
      <c r="D27">
        <v>18774</v>
      </c>
      <c r="E27">
        <v>44713</v>
      </c>
      <c r="F27" s="1">
        <v>46050</v>
      </c>
      <c r="G27" s="21" t="s">
        <v>15</v>
      </c>
      <c r="H27" s="21" t="s">
        <v>68</v>
      </c>
      <c r="I27" s="21" t="s">
        <v>16</v>
      </c>
      <c r="J27">
        <v>1</v>
      </c>
    </row>
    <row r="28" spans="1:10" x14ac:dyDescent="0.35">
      <c r="A28" s="21" t="s">
        <v>182</v>
      </c>
      <c r="B28">
        <v>775</v>
      </c>
      <c r="C28" s="1">
        <v>46105</v>
      </c>
      <c r="D28">
        <v>19406</v>
      </c>
      <c r="E28">
        <v>45756</v>
      </c>
      <c r="F28" s="1">
        <v>44577</v>
      </c>
      <c r="G28" s="21" t="s">
        <v>15</v>
      </c>
      <c r="H28" s="21" t="s">
        <v>12</v>
      </c>
      <c r="I28" s="21" t="s">
        <v>16</v>
      </c>
      <c r="J28">
        <v>3</v>
      </c>
    </row>
    <row r="29" spans="1:10" x14ac:dyDescent="0.35">
      <c r="A29" s="21" t="s">
        <v>185</v>
      </c>
      <c r="B29">
        <v>775</v>
      </c>
      <c r="C29" s="1">
        <v>46100</v>
      </c>
      <c r="D29">
        <v>19359</v>
      </c>
      <c r="E29">
        <v>45652</v>
      </c>
      <c r="F29" s="1">
        <v>46100</v>
      </c>
      <c r="G29" s="21" t="s">
        <v>15</v>
      </c>
      <c r="H29" s="21" t="s">
        <v>12</v>
      </c>
      <c r="I29" s="21" t="s">
        <v>16</v>
      </c>
      <c r="J29">
        <v>3</v>
      </c>
    </row>
    <row r="30" spans="1:10" x14ac:dyDescent="0.35">
      <c r="A30" s="21" t="s">
        <v>189</v>
      </c>
      <c r="B30">
        <v>775</v>
      </c>
      <c r="C30" s="1">
        <v>46111</v>
      </c>
      <c r="D30">
        <v>19470</v>
      </c>
      <c r="E30">
        <v>45856</v>
      </c>
      <c r="F30" s="1">
        <v>43922</v>
      </c>
      <c r="G30" s="21" t="s">
        <v>15</v>
      </c>
      <c r="H30" s="21" t="s">
        <v>12</v>
      </c>
      <c r="I30" s="21" t="s">
        <v>16</v>
      </c>
      <c r="J30"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3974-A8E8-4844-A4CA-EBDCF32C2A01}">
  <dimension ref="B1:I20"/>
  <sheetViews>
    <sheetView workbookViewId="0">
      <selection activeCell="C5" sqref="C5"/>
    </sheetView>
  </sheetViews>
  <sheetFormatPr defaultRowHeight="14.5" x14ac:dyDescent="0.35"/>
  <cols>
    <col min="1" max="1" width="15.453125" bestFit="1" customWidth="1"/>
    <col min="2" max="2" width="17" bestFit="1" customWidth="1"/>
    <col min="3" max="3" width="19.81640625" bestFit="1" customWidth="1"/>
    <col min="4" max="4" width="8.81640625" bestFit="1" customWidth="1"/>
    <col min="5" max="5" width="10.36328125" bestFit="1" customWidth="1"/>
    <col min="6" max="6" width="8.81640625" bestFit="1" customWidth="1"/>
    <col min="7" max="7" width="24.6328125" bestFit="1" customWidth="1"/>
    <col min="8" max="8" width="12.1796875" bestFit="1" customWidth="1"/>
    <col min="9" max="9" width="9.90625" bestFit="1" customWidth="1"/>
    <col min="10" max="10" width="8.81640625" bestFit="1" customWidth="1"/>
    <col min="11" max="11" width="10.36328125" bestFit="1" customWidth="1"/>
    <col min="12" max="12" width="9.26953125" bestFit="1" customWidth="1"/>
    <col min="13" max="13" width="11.08984375" bestFit="1" customWidth="1"/>
    <col min="14" max="22" width="9.26953125" bestFit="1" customWidth="1"/>
    <col min="23" max="23" width="31" bestFit="1" customWidth="1"/>
    <col min="24" max="24" width="15.6328125" bestFit="1" customWidth="1"/>
    <col min="25" max="26" width="4.81640625" bestFit="1" customWidth="1"/>
    <col min="27" max="27" width="7.81640625" bestFit="1" customWidth="1"/>
    <col min="28" max="30" width="4.81640625" bestFit="1" customWidth="1"/>
    <col min="31" max="31" width="7.81640625" bestFit="1" customWidth="1"/>
    <col min="32" max="43" width="5.81640625" bestFit="1" customWidth="1"/>
    <col min="44" max="44" width="10.36328125" bestFit="1" customWidth="1"/>
    <col min="45" max="45" width="11" bestFit="1" customWidth="1"/>
    <col min="46" max="46" width="13.81640625" bestFit="1" customWidth="1"/>
    <col min="47" max="47" width="10" bestFit="1" customWidth="1"/>
    <col min="48" max="48" width="12.7265625" bestFit="1" customWidth="1"/>
    <col min="49" max="49" width="10" bestFit="1" customWidth="1"/>
    <col min="50" max="50" width="12.7265625" bestFit="1" customWidth="1"/>
    <col min="51" max="51" width="10" bestFit="1" customWidth="1"/>
    <col min="52" max="52" width="12.7265625" bestFit="1" customWidth="1"/>
    <col min="53" max="53" width="11" bestFit="1" customWidth="1"/>
    <col min="54" max="54" width="13.81640625" bestFit="1" customWidth="1"/>
    <col min="55" max="55" width="11" bestFit="1" customWidth="1"/>
    <col min="56" max="56" width="13.81640625" bestFit="1" customWidth="1"/>
    <col min="57" max="57" width="11" bestFit="1" customWidth="1"/>
    <col min="58" max="58" width="13.81640625" bestFit="1" customWidth="1"/>
    <col min="59" max="59" width="11" bestFit="1" customWidth="1"/>
    <col min="60" max="60" width="13.81640625" bestFit="1" customWidth="1"/>
    <col min="61" max="61" width="11" bestFit="1" customWidth="1"/>
    <col min="62" max="62" width="13.81640625" bestFit="1" customWidth="1"/>
    <col min="63" max="63" width="11" bestFit="1" customWidth="1"/>
    <col min="64" max="64" width="13.81640625" bestFit="1" customWidth="1"/>
    <col min="65" max="65" width="11" bestFit="1" customWidth="1"/>
    <col min="66" max="66" width="13.81640625" bestFit="1" customWidth="1"/>
    <col min="67" max="67" width="11" bestFit="1" customWidth="1"/>
    <col min="68" max="68" width="13.81640625" bestFit="1" customWidth="1"/>
    <col min="69" max="69" width="11" bestFit="1" customWidth="1"/>
    <col min="70" max="70" width="13.81640625" bestFit="1" customWidth="1"/>
    <col min="71" max="71" width="11" bestFit="1" customWidth="1"/>
    <col min="72" max="72" width="13.81640625" bestFit="1" customWidth="1"/>
    <col min="73" max="73" width="11" bestFit="1" customWidth="1"/>
    <col min="74" max="74" width="13.81640625" bestFit="1" customWidth="1"/>
    <col min="75" max="75" width="11" bestFit="1" customWidth="1"/>
    <col min="76" max="76" width="13.81640625" bestFit="1" customWidth="1"/>
    <col min="77" max="77" width="11" bestFit="1" customWidth="1"/>
    <col min="78" max="78" width="13.81640625" bestFit="1" customWidth="1"/>
    <col min="79" max="79" width="11" bestFit="1" customWidth="1"/>
    <col min="80" max="80" width="13.81640625" bestFit="1" customWidth="1"/>
    <col min="81" max="81" width="10" bestFit="1" customWidth="1"/>
    <col min="82" max="82" width="12.7265625" bestFit="1" customWidth="1"/>
    <col min="83" max="83" width="10" bestFit="1" customWidth="1"/>
    <col min="84" max="84" width="12.7265625" bestFit="1" customWidth="1"/>
    <col min="85" max="85" width="10" bestFit="1" customWidth="1"/>
    <col min="86" max="86" width="12.7265625" bestFit="1" customWidth="1"/>
    <col min="87" max="87" width="10" bestFit="1" customWidth="1"/>
    <col min="88" max="88" width="12.7265625" bestFit="1" customWidth="1"/>
    <col min="89" max="89" width="10" bestFit="1" customWidth="1"/>
    <col min="90" max="90" width="12.7265625" bestFit="1" customWidth="1"/>
    <col min="91" max="91" width="11" bestFit="1" customWidth="1"/>
    <col min="92" max="92" width="13.81640625" bestFit="1" customWidth="1"/>
    <col min="93" max="93" width="11" bestFit="1" customWidth="1"/>
    <col min="94" max="94" width="13.81640625" bestFit="1" customWidth="1"/>
    <col min="95" max="95" width="11" bestFit="1" customWidth="1"/>
    <col min="96" max="96" width="13.81640625" bestFit="1" customWidth="1"/>
    <col min="97" max="97" width="11" bestFit="1" customWidth="1"/>
    <col min="98" max="98" width="13.81640625" bestFit="1" customWidth="1"/>
    <col min="99" max="99" width="11" bestFit="1" customWidth="1"/>
    <col min="100" max="100" width="13.81640625" bestFit="1" customWidth="1"/>
    <col min="101" max="101" width="11" bestFit="1" customWidth="1"/>
    <col min="102" max="102" width="13.81640625" bestFit="1" customWidth="1"/>
    <col min="103" max="103" width="11" bestFit="1" customWidth="1"/>
    <col min="104" max="104" width="13.81640625" bestFit="1" customWidth="1"/>
    <col min="105" max="105" width="11" bestFit="1" customWidth="1"/>
    <col min="106" max="106" width="13.81640625" bestFit="1" customWidth="1"/>
    <col min="107" max="107" width="11" bestFit="1" customWidth="1"/>
    <col min="108" max="108" width="13.81640625" bestFit="1" customWidth="1"/>
    <col min="109" max="109" width="11" bestFit="1" customWidth="1"/>
    <col min="110" max="110" width="13.81640625" bestFit="1" customWidth="1"/>
    <col min="111" max="111" width="11" bestFit="1" customWidth="1"/>
    <col min="112" max="112" width="13.81640625" bestFit="1" customWidth="1"/>
    <col min="113" max="113" width="11" bestFit="1" customWidth="1"/>
    <col min="114" max="114" width="13.81640625" bestFit="1" customWidth="1"/>
    <col min="115" max="115" width="11" bestFit="1" customWidth="1"/>
    <col min="116" max="116" width="13.81640625" bestFit="1" customWidth="1"/>
    <col min="117" max="117" width="11" bestFit="1" customWidth="1"/>
    <col min="118" max="118" width="13.81640625" bestFit="1" customWidth="1"/>
    <col min="119" max="119" width="11" bestFit="1" customWidth="1"/>
    <col min="120" max="120" width="13.81640625" bestFit="1" customWidth="1"/>
    <col min="121" max="121" width="11" bestFit="1" customWidth="1"/>
    <col min="122" max="122" width="13.81640625" bestFit="1" customWidth="1"/>
    <col min="123" max="123" width="11" bestFit="1" customWidth="1"/>
    <col min="124" max="124" width="13.81640625" bestFit="1" customWidth="1"/>
    <col min="125" max="125" width="10.36328125" bestFit="1" customWidth="1"/>
  </cols>
  <sheetData>
    <row r="1" spans="2:9" x14ac:dyDescent="0.35">
      <c r="B1" s="2" t="s">
        <v>9</v>
      </c>
      <c r="C1" t="s">
        <v>108</v>
      </c>
    </row>
    <row r="3" spans="2:9" x14ac:dyDescent="0.35">
      <c r="B3" s="2" t="s">
        <v>31</v>
      </c>
      <c r="C3" s="2" t="s">
        <v>66</v>
      </c>
      <c r="G3" t="str">
        <f>"Affiliate Dues Total: "&amp;TEXT(GETPIVOTDATA("Total",$B$4),"$#,###")</f>
        <v>Affiliate Dues Total: $72,668</v>
      </c>
      <c r="H3" s="6">
        <f>GETPIVOTDATA("Total",$B$4)</f>
        <v>72667.78</v>
      </c>
      <c r="I3" t="str">
        <f>CONCATENATE("Affiliate: ",COUNTIF(B:B,"HL7*"))</f>
        <v>Affiliate: 13</v>
      </c>
    </row>
    <row r="4" spans="2:9" x14ac:dyDescent="0.35">
      <c r="C4" t="s">
        <v>65</v>
      </c>
      <c r="D4" t="s">
        <v>194</v>
      </c>
      <c r="E4" t="s">
        <v>30</v>
      </c>
    </row>
    <row r="6" spans="2:9" x14ac:dyDescent="0.35">
      <c r="B6" s="2" t="s">
        <v>29</v>
      </c>
    </row>
    <row r="7" spans="2:9" x14ac:dyDescent="0.35">
      <c r="B7" s="3" t="s">
        <v>106</v>
      </c>
      <c r="C7" s="21">
        <v>1000</v>
      </c>
      <c r="D7" s="21"/>
      <c r="E7" s="21">
        <v>1000</v>
      </c>
    </row>
    <row r="8" spans="2:9" x14ac:dyDescent="0.35">
      <c r="B8" s="3" t="s">
        <v>109</v>
      </c>
      <c r="C8" s="21">
        <v>8456.1</v>
      </c>
      <c r="D8" s="21"/>
      <c r="E8" s="21">
        <v>8456.1</v>
      </c>
    </row>
    <row r="9" spans="2:9" x14ac:dyDescent="0.35">
      <c r="B9" s="3" t="s">
        <v>138</v>
      </c>
      <c r="C9" s="21"/>
      <c r="D9" s="21">
        <v>11621</v>
      </c>
      <c r="E9" s="21">
        <v>11621</v>
      </c>
    </row>
    <row r="10" spans="2:9" x14ac:dyDescent="0.35">
      <c r="B10" s="3" t="s">
        <v>140</v>
      </c>
      <c r="C10" s="21"/>
      <c r="D10" s="21">
        <v>1463.4</v>
      </c>
      <c r="E10" s="21">
        <v>1463.4</v>
      </c>
    </row>
    <row r="11" spans="2:9" x14ac:dyDescent="0.35">
      <c r="B11" s="3" t="s">
        <v>142</v>
      </c>
      <c r="C11" s="21"/>
      <c r="D11" s="21">
        <v>2562</v>
      </c>
      <c r="E11" s="21">
        <v>2562</v>
      </c>
    </row>
    <row r="12" spans="2:9" x14ac:dyDescent="0.35">
      <c r="B12" s="3" t="s">
        <v>143</v>
      </c>
      <c r="C12" s="21"/>
      <c r="D12" s="21">
        <v>1000</v>
      </c>
      <c r="E12" s="21">
        <v>1000</v>
      </c>
    </row>
    <row r="13" spans="2:9" x14ac:dyDescent="0.35">
      <c r="B13" s="3" t="s">
        <v>145</v>
      </c>
      <c r="C13" s="21"/>
      <c r="D13" s="21">
        <v>1000</v>
      </c>
      <c r="E13" s="21">
        <v>1000</v>
      </c>
    </row>
    <row r="14" spans="2:9" x14ac:dyDescent="0.35">
      <c r="B14" s="3" t="s">
        <v>147</v>
      </c>
      <c r="C14" s="21"/>
      <c r="D14" s="21">
        <v>2016.29</v>
      </c>
      <c r="E14" s="21">
        <v>2016.29</v>
      </c>
    </row>
    <row r="15" spans="2:9" x14ac:dyDescent="0.35">
      <c r="B15" s="3" t="s">
        <v>149</v>
      </c>
      <c r="C15" s="21"/>
      <c r="D15" s="21">
        <v>8050</v>
      </c>
      <c r="E15" s="21">
        <v>8050</v>
      </c>
    </row>
    <row r="16" spans="2:9" x14ac:dyDescent="0.35">
      <c r="B16" s="3" t="s">
        <v>150</v>
      </c>
      <c r="C16" s="21"/>
      <c r="D16" s="21">
        <v>23939.83</v>
      </c>
      <c r="E16" s="21">
        <v>23939.83</v>
      </c>
    </row>
    <row r="17" spans="2:5" x14ac:dyDescent="0.35">
      <c r="B17" s="3" t="s">
        <v>152</v>
      </c>
      <c r="C17" s="21"/>
      <c r="D17" s="21">
        <v>1000</v>
      </c>
      <c r="E17" s="21">
        <v>1000</v>
      </c>
    </row>
    <row r="18" spans="2:5" x14ac:dyDescent="0.35">
      <c r="B18" s="3" t="s">
        <v>154</v>
      </c>
      <c r="C18" s="21"/>
      <c r="D18" s="21">
        <v>1215</v>
      </c>
      <c r="E18" s="21">
        <v>1215</v>
      </c>
    </row>
    <row r="19" spans="2:5" x14ac:dyDescent="0.35">
      <c r="B19" s="3" t="s">
        <v>156</v>
      </c>
      <c r="C19" s="21"/>
      <c r="D19" s="21">
        <v>9344.16</v>
      </c>
      <c r="E19" s="21">
        <v>9344.16</v>
      </c>
    </row>
    <row r="20" spans="2:5" x14ac:dyDescent="0.35">
      <c r="B20" s="3" t="s">
        <v>30</v>
      </c>
      <c r="C20" s="21">
        <v>9456.1</v>
      </c>
      <c r="D20" s="21">
        <v>63211.680000000008</v>
      </c>
      <c r="E20" s="21">
        <v>72667.78</v>
      </c>
    </row>
  </sheetData>
  <pageMargins left="0.7" right="0.7" top="0.75" bottom="0.75" header="0.3" footer="0.3"/>
  <pageSetup orientation="portrait" horizontalDpi="1200" verticalDpi="12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BDAF-B02C-40CF-B141-F7BABE9F7DA3}">
  <dimension ref="A1:N119"/>
  <sheetViews>
    <sheetView topLeftCell="G1" workbookViewId="0">
      <selection activeCell="G6" sqref="G6"/>
    </sheetView>
  </sheetViews>
  <sheetFormatPr defaultRowHeight="14.5" x14ac:dyDescent="0.35"/>
  <cols>
    <col min="1" max="1" width="61.81640625" bestFit="1" customWidth="1"/>
    <col min="2" max="2" width="8.8164062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50.26953125" bestFit="1" customWidth="1"/>
    <col min="8" max="8" width="15.453125" bestFit="1" customWidth="1"/>
    <col min="9" max="9" width="23.1796875" bestFit="1" customWidth="1"/>
    <col min="10" max="10" width="12.90625" bestFit="1" customWidth="1"/>
    <col min="11" max="11" width="14.90625" bestFit="1" customWidth="1"/>
    <col min="12" max="12" width="20.81640625" bestFit="1" customWidth="1"/>
    <col min="13" max="13" width="12.453125" bestFit="1" customWidth="1"/>
    <col min="14" max="14" width="20.26953125" bestFit="1" customWidth="1"/>
  </cols>
  <sheetData>
    <row r="1" spans="1:14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32</v>
      </c>
    </row>
    <row r="2" spans="1:14" x14ac:dyDescent="0.35">
      <c r="A2" s="21"/>
      <c r="C2" s="1"/>
      <c r="F2" s="1"/>
      <c r="G2" s="21"/>
      <c r="H2" s="21"/>
      <c r="I2" s="21"/>
    </row>
    <row r="3" spans="1:14" x14ac:dyDescent="0.35">
      <c r="A3" s="21" t="s">
        <v>95</v>
      </c>
      <c r="C3" s="1"/>
      <c r="F3" s="1"/>
      <c r="G3" s="21"/>
      <c r="H3" s="21"/>
      <c r="I3" s="21"/>
    </row>
    <row r="4" spans="1:14" x14ac:dyDescent="0.35">
      <c r="A4" s="21" t="s">
        <v>96</v>
      </c>
      <c r="C4" s="1"/>
      <c r="F4" s="1"/>
      <c r="G4" s="21"/>
      <c r="H4" s="21"/>
      <c r="I4" s="21"/>
    </row>
    <row r="5" spans="1:14" x14ac:dyDescent="0.35">
      <c r="A5" s="21" t="s">
        <v>161</v>
      </c>
      <c r="B5">
        <v>75</v>
      </c>
      <c r="C5" s="1">
        <v>46094</v>
      </c>
      <c r="D5">
        <v>19292</v>
      </c>
      <c r="E5">
        <v>45526</v>
      </c>
      <c r="F5" s="1">
        <v>46023</v>
      </c>
      <c r="G5" s="21" t="s">
        <v>15</v>
      </c>
      <c r="H5" s="21" t="s">
        <v>12</v>
      </c>
      <c r="I5" s="21" t="s">
        <v>162</v>
      </c>
      <c r="J5">
        <v>3</v>
      </c>
      <c r="K5" t="s">
        <v>33</v>
      </c>
    </row>
    <row r="6" spans="1:14" x14ac:dyDescent="0.35">
      <c r="A6" s="21" t="s">
        <v>98</v>
      </c>
      <c r="B6">
        <v>100</v>
      </c>
      <c r="C6" s="1">
        <v>46069</v>
      </c>
      <c r="D6">
        <v>18946</v>
      </c>
      <c r="E6">
        <v>44978</v>
      </c>
      <c r="F6" s="1">
        <v>44927</v>
      </c>
      <c r="G6" s="21" t="s">
        <v>15</v>
      </c>
      <c r="H6" s="21" t="s">
        <v>12</v>
      </c>
      <c r="I6" s="21" t="s">
        <v>99</v>
      </c>
      <c r="J6">
        <v>2</v>
      </c>
      <c r="K6" t="s">
        <v>33</v>
      </c>
      <c r="M6" s="2" t="s">
        <v>29</v>
      </c>
      <c r="N6" t="s">
        <v>38</v>
      </c>
    </row>
    <row r="7" spans="1:14" x14ac:dyDescent="0.35">
      <c r="A7" s="21" t="s">
        <v>113</v>
      </c>
      <c r="B7">
        <v>100</v>
      </c>
      <c r="C7" s="1">
        <v>46064</v>
      </c>
      <c r="D7">
        <v>18927</v>
      </c>
      <c r="E7">
        <v>44951</v>
      </c>
      <c r="F7" s="1">
        <v>35065</v>
      </c>
      <c r="G7" s="21" t="s">
        <v>15</v>
      </c>
      <c r="H7" s="21" t="s">
        <v>12</v>
      </c>
      <c r="I7" s="21" t="s">
        <v>99</v>
      </c>
      <c r="J7">
        <v>2</v>
      </c>
      <c r="K7" t="s">
        <v>34</v>
      </c>
      <c r="M7" s="3" t="s">
        <v>33</v>
      </c>
      <c r="N7">
        <v>23</v>
      </c>
    </row>
    <row r="8" spans="1:14" x14ac:dyDescent="0.35">
      <c r="A8" s="21" t="s">
        <v>67</v>
      </c>
      <c r="B8">
        <v>460.04</v>
      </c>
      <c r="C8" s="1">
        <v>46031</v>
      </c>
      <c r="D8">
        <v>18491</v>
      </c>
      <c r="E8">
        <v>44373</v>
      </c>
      <c r="F8" s="1">
        <v>45658</v>
      </c>
      <c r="G8" s="21" t="s">
        <v>17</v>
      </c>
      <c r="H8" s="21" t="s">
        <v>12</v>
      </c>
      <c r="I8" s="21" t="s">
        <v>18</v>
      </c>
      <c r="J8">
        <v>1</v>
      </c>
      <c r="K8" t="s">
        <v>33</v>
      </c>
      <c r="M8" s="3" t="s">
        <v>36</v>
      </c>
      <c r="N8">
        <v>11</v>
      </c>
    </row>
    <row r="9" spans="1:14" x14ac:dyDescent="0.35">
      <c r="A9" s="21" t="s">
        <v>28</v>
      </c>
      <c r="B9">
        <v>775</v>
      </c>
      <c r="C9" s="1">
        <v>46033</v>
      </c>
      <c r="D9">
        <v>18551</v>
      </c>
      <c r="E9">
        <v>44438</v>
      </c>
      <c r="F9" s="1">
        <v>45292</v>
      </c>
      <c r="G9" s="21" t="s">
        <v>15</v>
      </c>
      <c r="H9" s="21" t="s">
        <v>15</v>
      </c>
      <c r="I9" s="21" t="s">
        <v>16</v>
      </c>
      <c r="J9">
        <v>1</v>
      </c>
      <c r="K9" t="s">
        <v>33</v>
      </c>
      <c r="M9" s="3" t="s">
        <v>37</v>
      </c>
      <c r="N9">
        <v>7</v>
      </c>
    </row>
    <row r="10" spans="1:14" x14ac:dyDescent="0.35">
      <c r="A10" s="21" t="s">
        <v>55</v>
      </c>
      <c r="B10">
        <v>775</v>
      </c>
      <c r="C10" s="1">
        <v>46027</v>
      </c>
      <c r="D10">
        <v>18371</v>
      </c>
      <c r="E10">
        <v>44227</v>
      </c>
      <c r="F10" s="1">
        <v>44197</v>
      </c>
      <c r="G10" s="21" t="s">
        <v>15</v>
      </c>
      <c r="H10" s="21" t="s">
        <v>12</v>
      </c>
      <c r="I10" s="21" t="s">
        <v>16</v>
      </c>
      <c r="J10">
        <v>1</v>
      </c>
      <c r="K10" t="s">
        <v>37</v>
      </c>
      <c r="M10" s="3" t="s">
        <v>35</v>
      </c>
      <c r="N10">
        <v>9</v>
      </c>
    </row>
    <row r="11" spans="1:14" x14ac:dyDescent="0.35">
      <c r="A11" s="21" t="s">
        <v>130</v>
      </c>
      <c r="B11">
        <v>775</v>
      </c>
      <c r="C11" s="1">
        <v>46107</v>
      </c>
      <c r="D11">
        <v>19433</v>
      </c>
      <c r="E11">
        <v>45787</v>
      </c>
      <c r="F11" s="1">
        <v>46023</v>
      </c>
      <c r="G11" s="21" t="s">
        <v>15</v>
      </c>
      <c r="H11" s="21" t="s">
        <v>12</v>
      </c>
      <c r="I11" s="21" t="s">
        <v>16</v>
      </c>
      <c r="J11">
        <v>3</v>
      </c>
      <c r="K11" t="s">
        <v>33</v>
      </c>
      <c r="M11" s="3" t="s">
        <v>34</v>
      </c>
      <c r="N11">
        <v>11</v>
      </c>
    </row>
    <row r="12" spans="1:14" x14ac:dyDescent="0.35">
      <c r="A12" s="21" t="s">
        <v>69</v>
      </c>
      <c r="B12">
        <v>775</v>
      </c>
      <c r="C12" s="1">
        <v>46034</v>
      </c>
      <c r="D12">
        <v>18605</v>
      </c>
      <c r="E12">
        <v>44503</v>
      </c>
      <c r="F12" s="1">
        <v>46023</v>
      </c>
      <c r="G12" s="21" t="s">
        <v>15</v>
      </c>
      <c r="H12" s="21" t="s">
        <v>20</v>
      </c>
      <c r="I12" s="21" t="s">
        <v>16</v>
      </c>
      <c r="J12">
        <v>1</v>
      </c>
      <c r="K12" t="s">
        <v>33</v>
      </c>
      <c r="M12" s="3" t="s">
        <v>126</v>
      </c>
    </row>
    <row r="13" spans="1:14" x14ac:dyDescent="0.35">
      <c r="A13" s="21" t="s">
        <v>132</v>
      </c>
      <c r="B13">
        <v>775</v>
      </c>
      <c r="C13" s="1">
        <v>46104</v>
      </c>
      <c r="D13">
        <v>19400</v>
      </c>
      <c r="E13">
        <v>45749</v>
      </c>
      <c r="F13" s="1">
        <v>46023</v>
      </c>
      <c r="G13" s="21" t="s">
        <v>15</v>
      </c>
      <c r="H13" s="21" t="s">
        <v>12</v>
      </c>
      <c r="I13" s="21" t="s">
        <v>16</v>
      </c>
      <c r="J13">
        <v>3</v>
      </c>
      <c r="K13" t="s">
        <v>33</v>
      </c>
      <c r="M13" s="3" t="s">
        <v>30</v>
      </c>
      <c r="N13">
        <v>61</v>
      </c>
    </row>
    <row r="14" spans="1:14" x14ac:dyDescent="0.35">
      <c r="A14" s="21" t="s">
        <v>71</v>
      </c>
      <c r="B14">
        <v>775</v>
      </c>
      <c r="C14" s="1">
        <v>46053</v>
      </c>
      <c r="D14">
        <v>18840</v>
      </c>
      <c r="E14">
        <v>44813</v>
      </c>
      <c r="F14" s="1">
        <v>44197</v>
      </c>
      <c r="G14" s="21" t="s">
        <v>15</v>
      </c>
      <c r="H14" s="21" t="s">
        <v>15</v>
      </c>
      <c r="I14" s="21" t="s">
        <v>16</v>
      </c>
      <c r="J14">
        <v>1</v>
      </c>
      <c r="K14" t="s">
        <v>37</v>
      </c>
    </row>
    <row r="15" spans="1:14" x14ac:dyDescent="0.35">
      <c r="A15" s="21" t="s">
        <v>72</v>
      </c>
      <c r="B15">
        <v>775</v>
      </c>
      <c r="C15" s="1">
        <v>46052</v>
      </c>
      <c r="D15">
        <v>18833</v>
      </c>
      <c r="E15">
        <v>44806</v>
      </c>
      <c r="F15" s="1">
        <v>46023</v>
      </c>
      <c r="G15" s="21" t="s">
        <v>15</v>
      </c>
      <c r="H15" s="21" t="s">
        <v>12</v>
      </c>
      <c r="I15" s="21" t="s">
        <v>16</v>
      </c>
      <c r="J15">
        <v>1</v>
      </c>
      <c r="K15" t="s">
        <v>33</v>
      </c>
    </row>
    <row r="16" spans="1:14" x14ac:dyDescent="0.35">
      <c r="A16" s="21" t="s">
        <v>135</v>
      </c>
      <c r="B16">
        <v>775</v>
      </c>
      <c r="C16" s="1">
        <v>46099</v>
      </c>
      <c r="D16">
        <v>19340</v>
      </c>
      <c r="E16">
        <v>45627</v>
      </c>
      <c r="F16" s="1">
        <v>46023</v>
      </c>
      <c r="G16" s="21" t="s">
        <v>15</v>
      </c>
      <c r="H16" s="21" t="s">
        <v>12</v>
      </c>
      <c r="I16" s="21" t="s">
        <v>16</v>
      </c>
      <c r="J16">
        <v>3</v>
      </c>
      <c r="K16" t="s">
        <v>33</v>
      </c>
    </row>
    <row r="17" spans="1:11" x14ac:dyDescent="0.35">
      <c r="A17" s="21" t="s">
        <v>74</v>
      </c>
      <c r="B17">
        <v>775</v>
      </c>
      <c r="C17" s="1">
        <v>46043</v>
      </c>
      <c r="D17">
        <v>18708</v>
      </c>
      <c r="E17">
        <v>44608</v>
      </c>
      <c r="F17" s="1">
        <v>42005</v>
      </c>
      <c r="G17" s="21" t="s">
        <v>17</v>
      </c>
      <c r="H17" s="21" t="s">
        <v>12</v>
      </c>
      <c r="I17" s="21" t="s">
        <v>16</v>
      </c>
      <c r="J17">
        <v>1</v>
      </c>
      <c r="K17" t="s">
        <v>35</v>
      </c>
    </row>
    <row r="18" spans="1:11" x14ac:dyDescent="0.35">
      <c r="A18" s="21" t="s">
        <v>104</v>
      </c>
      <c r="B18">
        <v>775</v>
      </c>
      <c r="C18" s="1">
        <v>46080</v>
      </c>
      <c r="D18">
        <v>19083</v>
      </c>
      <c r="E18">
        <v>45165</v>
      </c>
      <c r="F18" s="1">
        <v>46023</v>
      </c>
      <c r="G18" s="21" t="s">
        <v>15</v>
      </c>
      <c r="H18" s="21" t="s">
        <v>12</v>
      </c>
      <c r="I18" s="21" t="s">
        <v>16</v>
      </c>
      <c r="J18">
        <v>2</v>
      </c>
      <c r="K18" t="s">
        <v>33</v>
      </c>
    </row>
    <row r="19" spans="1:11" x14ac:dyDescent="0.35">
      <c r="A19" s="21" t="s">
        <v>76</v>
      </c>
      <c r="B19">
        <v>775</v>
      </c>
      <c r="C19" s="1">
        <v>46028</v>
      </c>
      <c r="D19">
        <v>18392</v>
      </c>
      <c r="E19">
        <v>44254</v>
      </c>
      <c r="F19" s="1">
        <v>46023</v>
      </c>
      <c r="G19" s="21" t="s">
        <v>15</v>
      </c>
      <c r="H19" s="21" t="s">
        <v>12</v>
      </c>
      <c r="I19" s="21" t="s">
        <v>16</v>
      </c>
      <c r="J19">
        <v>1</v>
      </c>
      <c r="K19" t="s">
        <v>33</v>
      </c>
    </row>
    <row r="20" spans="1:11" x14ac:dyDescent="0.35">
      <c r="A20" s="21" t="s">
        <v>165</v>
      </c>
      <c r="B20">
        <v>775</v>
      </c>
      <c r="C20" s="1">
        <v>46085</v>
      </c>
      <c r="D20">
        <v>19136</v>
      </c>
      <c r="E20">
        <v>45235</v>
      </c>
      <c r="F20" s="1">
        <v>43466</v>
      </c>
      <c r="G20" s="21" t="s">
        <v>15</v>
      </c>
      <c r="H20" s="21" t="s">
        <v>12</v>
      </c>
      <c r="I20" s="21" t="s">
        <v>16</v>
      </c>
      <c r="J20">
        <v>3</v>
      </c>
      <c r="K20" t="s">
        <v>37</v>
      </c>
    </row>
    <row r="21" spans="1:11" x14ac:dyDescent="0.35">
      <c r="A21" s="21" t="s">
        <v>166</v>
      </c>
      <c r="B21">
        <v>775</v>
      </c>
      <c r="C21" s="1">
        <v>46087</v>
      </c>
      <c r="D21">
        <v>19224</v>
      </c>
      <c r="E21">
        <v>45388</v>
      </c>
      <c r="F21" s="1">
        <v>45658</v>
      </c>
      <c r="G21" s="21" t="s">
        <v>15</v>
      </c>
      <c r="H21" s="21" t="s">
        <v>15</v>
      </c>
      <c r="I21" s="21" t="s">
        <v>16</v>
      </c>
      <c r="J21">
        <v>3</v>
      </c>
      <c r="K21" t="s">
        <v>33</v>
      </c>
    </row>
    <row r="22" spans="1:11" x14ac:dyDescent="0.35">
      <c r="A22" s="21" t="s">
        <v>167</v>
      </c>
      <c r="B22">
        <v>775</v>
      </c>
      <c r="C22" s="1">
        <v>46101</v>
      </c>
      <c r="D22">
        <v>19382</v>
      </c>
      <c r="E22">
        <v>45724</v>
      </c>
      <c r="F22" s="1">
        <v>46023</v>
      </c>
      <c r="G22" s="21" t="s">
        <v>15</v>
      </c>
      <c r="H22" s="21" t="s">
        <v>12</v>
      </c>
      <c r="I22" s="21" t="s">
        <v>16</v>
      </c>
      <c r="J22">
        <v>3</v>
      </c>
      <c r="K22" t="s">
        <v>33</v>
      </c>
    </row>
    <row r="23" spans="1:11" x14ac:dyDescent="0.35">
      <c r="A23" s="21" t="s">
        <v>115</v>
      </c>
      <c r="B23">
        <v>775</v>
      </c>
      <c r="C23" s="1">
        <v>46055</v>
      </c>
      <c r="D23">
        <v>18853</v>
      </c>
      <c r="E23">
        <v>44825</v>
      </c>
      <c r="F23" s="1">
        <v>45292</v>
      </c>
      <c r="G23" s="21" t="s">
        <v>15</v>
      </c>
      <c r="H23" s="21" t="s">
        <v>15</v>
      </c>
      <c r="I23" s="21" t="s">
        <v>16</v>
      </c>
      <c r="J23">
        <v>2</v>
      </c>
      <c r="K23" t="s">
        <v>33</v>
      </c>
    </row>
    <row r="24" spans="1:11" x14ac:dyDescent="0.35">
      <c r="A24" s="21" t="s">
        <v>178</v>
      </c>
      <c r="B24">
        <v>775</v>
      </c>
      <c r="C24" s="1">
        <v>46087</v>
      </c>
      <c r="D24">
        <v>19198</v>
      </c>
      <c r="E24">
        <v>45356</v>
      </c>
      <c r="F24" s="1">
        <v>44562</v>
      </c>
      <c r="G24" s="21" t="s">
        <v>15</v>
      </c>
      <c r="H24" s="21" t="s">
        <v>12</v>
      </c>
      <c r="I24" s="21" t="s">
        <v>16</v>
      </c>
      <c r="J24">
        <v>3</v>
      </c>
      <c r="K24" t="s">
        <v>33</v>
      </c>
    </row>
    <row r="25" spans="1:11" x14ac:dyDescent="0.35">
      <c r="A25" s="21" t="s">
        <v>79</v>
      </c>
      <c r="B25">
        <v>775</v>
      </c>
      <c r="C25" s="1">
        <v>46034</v>
      </c>
      <c r="D25">
        <v>18585</v>
      </c>
      <c r="E25">
        <v>44482</v>
      </c>
      <c r="F25" s="1">
        <v>46023</v>
      </c>
      <c r="G25" s="21" t="s">
        <v>15</v>
      </c>
      <c r="H25" s="21" t="s">
        <v>12</v>
      </c>
      <c r="I25" s="21" t="s">
        <v>16</v>
      </c>
      <c r="J25">
        <v>1</v>
      </c>
      <c r="K25" t="s">
        <v>33</v>
      </c>
    </row>
    <row r="26" spans="1:11" x14ac:dyDescent="0.35">
      <c r="A26" s="21" t="s">
        <v>121</v>
      </c>
      <c r="B26">
        <v>775</v>
      </c>
      <c r="C26" s="1">
        <v>46070</v>
      </c>
      <c r="D26">
        <v>18965</v>
      </c>
      <c r="E26">
        <v>45000</v>
      </c>
      <c r="F26" s="1">
        <v>44927</v>
      </c>
      <c r="G26" s="21" t="s">
        <v>15</v>
      </c>
      <c r="H26" s="21" t="s">
        <v>12</v>
      </c>
      <c r="I26" s="21" t="s">
        <v>16</v>
      </c>
      <c r="J26">
        <v>2</v>
      </c>
      <c r="K26" t="s">
        <v>33</v>
      </c>
    </row>
    <row r="27" spans="1:11" x14ac:dyDescent="0.35">
      <c r="A27" s="21" t="s">
        <v>57</v>
      </c>
      <c r="B27">
        <v>775</v>
      </c>
      <c r="C27" s="1">
        <v>46043</v>
      </c>
      <c r="D27">
        <v>18695</v>
      </c>
      <c r="E27">
        <v>44595</v>
      </c>
      <c r="F27" s="1">
        <v>45658</v>
      </c>
      <c r="G27" s="21" t="s">
        <v>15</v>
      </c>
      <c r="H27" s="21" t="s">
        <v>15</v>
      </c>
      <c r="I27" s="21" t="s">
        <v>16</v>
      </c>
      <c r="J27">
        <v>1</v>
      </c>
      <c r="K27" t="s">
        <v>33</v>
      </c>
    </row>
    <row r="28" spans="1:11" x14ac:dyDescent="0.35">
      <c r="A28" s="21" t="s">
        <v>81</v>
      </c>
      <c r="B28">
        <v>775</v>
      </c>
      <c r="C28" s="1">
        <v>46029</v>
      </c>
      <c r="D28">
        <v>18418</v>
      </c>
      <c r="E28">
        <v>44298</v>
      </c>
      <c r="F28" s="1">
        <v>44927</v>
      </c>
      <c r="G28" s="21" t="s">
        <v>15</v>
      </c>
      <c r="H28" s="21" t="s">
        <v>12</v>
      </c>
      <c r="I28" s="21" t="s">
        <v>16</v>
      </c>
      <c r="J28">
        <v>1</v>
      </c>
      <c r="K28" t="s">
        <v>33</v>
      </c>
    </row>
    <row r="29" spans="1:11" x14ac:dyDescent="0.35">
      <c r="A29" s="21" t="s">
        <v>82</v>
      </c>
      <c r="B29">
        <v>775</v>
      </c>
      <c r="C29" s="1">
        <v>46055</v>
      </c>
      <c r="D29">
        <v>18845</v>
      </c>
      <c r="E29">
        <v>44817</v>
      </c>
      <c r="F29" s="1">
        <v>46023</v>
      </c>
      <c r="G29" s="21" t="s">
        <v>15</v>
      </c>
      <c r="H29" s="21" t="s">
        <v>12</v>
      </c>
      <c r="I29" s="21" t="s">
        <v>16</v>
      </c>
      <c r="J29">
        <v>2</v>
      </c>
      <c r="K29" t="s">
        <v>33</v>
      </c>
    </row>
    <row r="30" spans="1:11" x14ac:dyDescent="0.35">
      <c r="A30" s="21" t="s">
        <v>122</v>
      </c>
      <c r="B30">
        <v>775</v>
      </c>
      <c r="C30" s="1">
        <v>46056</v>
      </c>
      <c r="D30">
        <v>18862</v>
      </c>
      <c r="E30">
        <v>44835</v>
      </c>
      <c r="F30" s="1">
        <v>46023</v>
      </c>
      <c r="G30" s="21" t="s">
        <v>15</v>
      </c>
      <c r="H30" s="21" t="s">
        <v>12</v>
      </c>
      <c r="I30" s="21" t="s">
        <v>16</v>
      </c>
      <c r="J30">
        <v>2</v>
      </c>
      <c r="K30" t="s">
        <v>33</v>
      </c>
    </row>
    <row r="31" spans="1:11" x14ac:dyDescent="0.35">
      <c r="A31" s="21" t="s">
        <v>83</v>
      </c>
      <c r="B31">
        <v>775</v>
      </c>
      <c r="C31" s="1">
        <v>46050</v>
      </c>
      <c r="D31">
        <v>18774</v>
      </c>
      <c r="E31">
        <v>44713</v>
      </c>
      <c r="F31" s="1">
        <v>46023</v>
      </c>
      <c r="G31" s="21" t="s">
        <v>15</v>
      </c>
      <c r="H31" s="21" t="s">
        <v>68</v>
      </c>
      <c r="I31" s="21" t="s">
        <v>16</v>
      </c>
      <c r="J31">
        <v>1</v>
      </c>
      <c r="K31" t="s">
        <v>33</v>
      </c>
    </row>
    <row r="32" spans="1:11" x14ac:dyDescent="0.35">
      <c r="A32" s="21" t="s">
        <v>182</v>
      </c>
      <c r="B32">
        <v>775</v>
      </c>
      <c r="C32" s="1">
        <v>46105</v>
      </c>
      <c r="D32">
        <v>19406</v>
      </c>
      <c r="E32">
        <v>45756</v>
      </c>
      <c r="F32" s="1">
        <v>44562</v>
      </c>
      <c r="G32" s="21" t="s">
        <v>15</v>
      </c>
      <c r="H32" s="21" t="s">
        <v>12</v>
      </c>
      <c r="I32" s="21" t="s">
        <v>16</v>
      </c>
      <c r="J32">
        <v>3</v>
      </c>
      <c r="K32" t="s">
        <v>33</v>
      </c>
    </row>
    <row r="33" spans="1:11" x14ac:dyDescent="0.35">
      <c r="A33" s="21" t="s">
        <v>185</v>
      </c>
      <c r="B33">
        <v>775</v>
      </c>
      <c r="C33" s="1">
        <v>46100</v>
      </c>
      <c r="D33">
        <v>19359</v>
      </c>
      <c r="E33">
        <v>45652</v>
      </c>
      <c r="F33" s="1">
        <v>46023</v>
      </c>
      <c r="G33" s="21" t="s">
        <v>15</v>
      </c>
      <c r="H33" s="21" t="s">
        <v>12</v>
      </c>
      <c r="I33" s="21" t="s">
        <v>16</v>
      </c>
      <c r="J33">
        <v>3</v>
      </c>
      <c r="K33" t="s">
        <v>33</v>
      </c>
    </row>
    <row r="34" spans="1:11" x14ac:dyDescent="0.35">
      <c r="A34" s="21" t="s">
        <v>189</v>
      </c>
      <c r="B34">
        <v>775</v>
      </c>
      <c r="C34" s="1">
        <v>46111</v>
      </c>
      <c r="D34">
        <v>19470</v>
      </c>
      <c r="E34">
        <v>45856</v>
      </c>
      <c r="F34" s="1">
        <v>43831</v>
      </c>
      <c r="G34" s="21" t="s">
        <v>15</v>
      </c>
      <c r="H34" s="21" t="s">
        <v>12</v>
      </c>
      <c r="I34" s="21" t="s">
        <v>16</v>
      </c>
      <c r="J34">
        <v>3</v>
      </c>
      <c r="K34" t="s">
        <v>37</v>
      </c>
    </row>
    <row r="35" spans="1:11" x14ac:dyDescent="0.35">
      <c r="A35" s="21" t="s">
        <v>143</v>
      </c>
      <c r="B35">
        <v>1000</v>
      </c>
      <c r="C35" s="1">
        <v>46091</v>
      </c>
      <c r="D35">
        <v>19255</v>
      </c>
      <c r="E35">
        <v>45453</v>
      </c>
      <c r="F35" s="1">
        <v>36526</v>
      </c>
      <c r="G35" s="21" t="s">
        <v>15</v>
      </c>
      <c r="H35" s="21" t="s">
        <v>144</v>
      </c>
      <c r="I35" s="21" t="s">
        <v>108</v>
      </c>
      <c r="J35">
        <v>3</v>
      </c>
      <c r="K35" t="s">
        <v>34</v>
      </c>
    </row>
    <row r="36" spans="1:11" x14ac:dyDescent="0.35">
      <c r="A36" s="21" t="s">
        <v>145</v>
      </c>
      <c r="B36">
        <v>1000</v>
      </c>
      <c r="C36" s="1">
        <v>46107</v>
      </c>
      <c r="D36">
        <v>19440</v>
      </c>
      <c r="E36">
        <v>45795</v>
      </c>
      <c r="F36" s="1">
        <v>37257</v>
      </c>
      <c r="G36" s="21" t="s">
        <v>15</v>
      </c>
      <c r="H36" s="21" t="s">
        <v>146</v>
      </c>
      <c r="I36" s="21" t="s">
        <v>108</v>
      </c>
      <c r="J36">
        <v>3</v>
      </c>
      <c r="K36" t="s">
        <v>34</v>
      </c>
    </row>
    <row r="37" spans="1:11" x14ac:dyDescent="0.35">
      <c r="A37" s="21" t="s">
        <v>106</v>
      </c>
      <c r="B37">
        <v>1000</v>
      </c>
      <c r="C37" s="1">
        <v>46079</v>
      </c>
      <c r="D37">
        <v>19043</v>
      </c>
      <c r="E37">
        <v>45122</v>
      </c>
      <c r="F37" s="1">
        <v>45292</v>
      </c>
      <c r="G37" s="21" t="s">
        <v>15</v>
      </c>
      <c r="H37" s="21" t="s">
        <v>107</v>
      </c>
      <c r="I37" s="21" t="s">
        <v>108</v>
      </c>
      <c r="J37">
        <v>2</v>
      </c>
      <c r="K37" t="s">
        <v>33</v>
      </c>
    </row>
    <row r="38" spans="1:11" x14ac:dyDescent="0.35">
      <c r="A38" s="21" t="s">
        <v>152</v>
      </c>
      <c r="B38">
        <v>1000</v>
      </c>
      <c r="C38" s="1">
        <v>46091</v>
      </c>
      <c r="D38">
        <v>19253</v>
      </c>
      <c r="E38">
        <v>45451</v>
      </c>
      <c r="F38" s="1">
        <v>44927</v>
      </c>
      <c r="G38" s="21" t="s">
        <v>15</v>
      </c>
      <c r="H38" s="21" t="s">
        <v>153</v>
      </c>
      <c r="I38" s="21" t="s">
        <v>108</v>
      </c>
      <c r="J38">
        <v>3</v>
      </c>
      <c r="K38" t="s">
        <v>33</v>
      </c>
    </row>
    <row r="39" spans="1:11" x14ac:dyDescent="0.35">
      <c r="A39" s="21" t="s">
        <v>154</v>
      </c>
      <c r="B39">
        <v>1215</v>
      </c>
      <c r="C39" s="1">
        <v>46098</v>
      </c>
      <c r="D39">
        <v>19312</v>
      </c>
      <c r="E39">
        <v>45563</v>
      </c>
      <c r="F39" s="1">
        <v>36526</v>
      </c>
      <c r="G39" s="21" t="s">
        <v>15</v>
      </c>
      <c r="H39" s="21" t="s">
        <v>155</v>
      </c>
      <c r="I39" s="21" t="s">
        <v>108</v>
      </c>
      <c r="J39">
        <v>3</v>
      </c>
      <c r="K39" t="s">
        <v>34</v>
      </c>
    </row>
    <row r="40" spans="1:11" x14ac:dyDescent="0.35">
      <c r="A40" s="21" t="s">
        <v>140</v>
      </c>
      <c r="B40">
        <v>1463.4</v>
      </c>
      <c r="C40" s="1">
        <v>46112</v>
      </c>
      <c r="D40">
        <v>19509</v>
      </c>
      <c r="E40">
        <v>45910</v>
      </c>
      <c r="F40" s="1">
        <v>37257</v>
      </c>
      <c r="G40" s="21" t="s">
        <v>15</v>
      </c>
      <c r="H40" s="21" t="s">
        <v>141</v>
      </c>
      <c r="I40" s="21" t="s">
        <v>108</v>
      </c>
      <c r="J40">
        <v>3</v>
      </c>
      <c r="K40" t="s">
        <v>34</v>
      </c>
    </row>
    <row r="41" spans="1:11" x14ac:dyDescent="0.35">
      <c r="A41" s="21" t="s">
        <v>70</v>
      </c>
      <c r="B41">
        <v>1545</v>
      </c>
      <c r="C41" s="1">
        <v>46042</v>
      </c>
      <c r="D41">
        <v>18678</v>
      </c>
      <c r="E41">
        <v>44578</v>
      </c>
      <c r="F41" s="1">
        <v>40179</v>
      </c>
      <c r="G41" s="21" t="s">
        <v>11</v>
      </c>
      <c r="H41" s="21" t="s">
        <v>12</v>
      </c>
      <c r="I41" s="21" t="s">
        <v>18</v>
      </c>
      <c r="J41">
        <v>1</v>
      </c>
      <c r="K41" t="s">
        <v>36</v>
      </c>
    </row>
    <row r="42" spans="1:11" x14ac:dyDescent="0.35">
      <c r="A42" s="21" t="s">
        <v>100</v>
      </c>
      <c r="B42">
        <v>1545</v>
      </c>
      <c r="C42" s="1">
        <v>46062</v>
      </c>
      <c r="D42">
        <v>18914</v>
      </c>
      <c r="E42">
        <v>44907</v>
      </c>
      <c r="F42" s="1">
        <v>40909</v>
      </c>
      <c r="G42" s="21" t="s">
        <v>17</v>
      </c>
      <c r="H42" s="21" t="s">
        <v>101</v>
      </c>
      <c r="I42" s="21" t="s">
        <v>18</v>
      </c>
      <c r="J42">
        <v>2</v>
      </c>
      <c r="K42" t="s">
        <v>36</v>
      </c>
    </row>
    <row r="43" spans="1:11" x14ac:dyDescent="0.35">
      <c r="A43" s="21" t="s">
        <v>160</v>
      </c>
      <c r="B43">
        <v>1545</v>
      </c>
      <c r="C43" s="1">
        <v>46106</v>
      </c>
      <c r="D43">
        <v>19422</v>
      </c>
      <c r="E43">
        <v>45776</v>
      </c>
      <c r="F43" s="1">
        <v>46023</v>
      </c>
      <c r="G43" s="21" t="s">
        <v>17</v>
      </c>
      <c r="H43" s="21" t="s">
        <v>12</v>
      </c>
      <c r="I43" s="21" t="s">
        <v>18</v>
      </c>
      <c r="J43">
        <v>3</v>
      </c>
      <c r="K43" t="s">
        <v>33</v>
      </c>
    </row>
    <row r="44" spans="1:11" x14ac:dyDescent="0.35">
      <c r="A44" s="21" t="s">
        <v>111</v>
      </c>
      <c r="B44">
        <v>1545</v>
      </c>
      <c r="C44" s="1">
        <v>46059</v>
      </c>
      <c r="D44">
        <v>18891</v>
      </c>
      <c r="E44">
        <v>44881</v>
      </c>
      <c r="F44" s="1">
        <v>36526</v>
      </c>
      <c r="G44" s="21" t="s">
        <v>11</v>
      </c>
      <c r="H44" s="21" t="s">
        <v>12</v>
      </c>
      <c r="I44" s="21" t="s">
        <v>18</v>
      </c>
      <c r="J44">
        <v>2</v>
      </c>
      <c r="K44" t="s">
        <v>34</v>
      </c>
    </row>
    <row r="45" spans="1:11" x14ac:dyDescent="0.35">
      <c r="A45" s="21" t="s">
        <v>22</v>
      </c>
      <c r="B45">
        <v>1545</v>
      </c>
      <c r="C45" s="1">
        <v>46051</v>
      </c>
      <c r="D45">
        <v>18802</v>
      </c>
      <c r="E45">
        <v>44761</v>
      </c>
      <c r="F45" s="1">
        <v>45292</v>
      </c>
      <c r="G45" s="21" t="s">
        <v>17</v>
      </c>
      <c r="H45" s="21" t="s">
        <v>12</v>
      </c>
      <c r="I45" s="21" t="s">
        <v>18</v>
      </c>
      <c r="J45">
        <v>1</v>
      </c>
      <c r="K45" t="s">
        <v>33</v>
      </c>
    </row>
    <row r="46" spans="1:11" x14ac:dyDescent="0.35">
      <c r="A46" s="21" t="s">
        <v>14</v>
      </c>
      <c r="B46">
        <v>1545</v>
      </c>
      <c r="C46" s="1">
        <v>46037</v>
      </c>
      <c r="D46">
        <v>18652</v>
      </c>
      <c r="E46">
        <v>44550</v>
      </c>
      <c r="F46" s="1">
        <v>38718</v>
      </c>
      <c r="G46" s="21" t="s">
        <v>11</v>
      </c>
      <c r="H46" s="21" t="s">
        <v>12</v>
      </c>
      <c r="I46" s="21" t="s">
        <v>18</v>
      </c>
      <c r="J46">
        <v>1</v>
      </c>
      <c r="K46" t="s">
        <v>34</v>
      </c>
    </row>
    <row r="47" spans="1:11" x14ac:dyDescent="0.35">
      <c r="A47" s="21" t="s">
        <v>19</v>
      </c>
      <c r="B47">
        <v>1545</v>
      </c>
      <c r="C47" s="1">
        <v>46027</v>
      </c>
      <c r="D47">
        <v>18359</v>
      </c>
      <c r="E47">
        <v>44215</v>
      </c>
      <c r="F47" s="1">
        <v>40179</v>
      </c>
      <c r="G47" s="21" t="s">
        <v>0</v>
      </c>
      <c r="H47" s="21" t="s">
        <v>12</v>
      </c>
      <c r="I47" s="21" t="s">
        <v>18</v>
      </c>
      <c r="J47">
        <v>1</v>
      </c>
      <c r="K47" t="s">
        <v>36</v>
      </c>
    </row>
    <row r="48" spans="1:11" x14ac:dyDescent="0.35">
      <c r="A48" s="21" t="s">
        <v>23</v>
      </c>
      <c r="B48">
        <v>1545</v>
      </c>
      <c r="C48" s="1">
        <v>46035</v>
      </c>
      <c r="D48">
        <v>18620</v>
      </c>
      <c r="E48">
        <v>44519</v>
      </c>
      <c r="F48" s="1">
        <v>41275</v>
      </c>
      <c r="G48" s="21" t="s">
        <v>11</v>
      </c>
      <c r="H48" s="21" t="s">
        <v>12</v>
      </c>
      <c r="I48" s="21" t="s">
        <v>18</v>
      </c>
      <c r="J48">
        <v>1</v>
      </c>
      <c r="K48" t="s">
        <v>35</v>
      </c>
    </row>
    <row r="49" spans="1:11" x14ac:dyDescent="0.35">
      <c r="A49" s="21" t="s">
        <v>80</v>
      </c>
      <c r="B49">
        <v>1545</v>
      </c>
      <c r="C49" s="1">
        <v>46029</v>
      </c>
      <c r="D49">
        <v>18421</v>
      </c>
      <c r="E49">
        <v>44301</v>
      </c>
      <c r="F49" s="1">
        <v>46023</v>
      </c>
      <c r="G49" s="21" t="s">
        <v>17</v>
      </c>
      <c r="H49" s="21" t="s">
        <v>12</v>
      </c>
      <c r="I49" s="21" t="s">
        <v>18</v>
      </c>
      <c r="J49">
        <v>1</v>
      </c>
      <c r="K49" t="s">
        <v>33</v>
      </c>
    </row>
    <row r="50" spans="1:11" x14ac:dyDescent="0.35">
      <c r="A50" s="21" t="s">
        <v>123</v>
      </c>
      <c r="B50">
        <v>1545</v>
      </c>
      <c r="C50" s="1">
        <v>46069</v>
      </c>
      <c r="D50">
        <v>18947</v>
      </c>
      <c r="E50">
        <v>44979</v>
      </c>
      <c r="F50" s="1">
        <v>44197</v>
      </c>
      <c r="G50" s="21" t="s">
        <v>17</v>
      </c>
      <c r="H50" s="21" t="s">
        <v>12</v>
      </c>
      <c r="I50" s="21" t="s">
        <v>18</v>
      </c>
      <c r="J50">
        <v>2</v>
      </c>
      <c r="K50" t="s">
        <v>37</v>
      </c>
    </row>
    <row r="51" spans="1:11" x14ac:dyDescent="0.35">
      <c r="A51" s="21" t="s">
        <v>58</v>
      </c>
      <c r="B51">
        <v>1545</v>
      </c>
      <c r="C51" s="1">
        <v>46042</v>
      </c>
      <c r="D51">
        <v>18683</v>
      </c>
      <c r="E51">
        <v>44583</v>
      </c>
      <c r="F51" s="1">
        <v>45658</v>
      </c>
      <c r="G51" s="21" t="s">
        <v>17</v>
      </c>
      <c r="H51" s="21" t="s">
        <v>12</v>
      </c>
      <c r="I51" s="21" t="s">
        <v>18</v>
      </c>
      <c r="J51">
        <v>1</v>
      </c>
      <c r="K51" t="s">
        <v>33</v>
      </c>
    </row>
    <row r="52" spans="1:11" x14ac:dyDescent="0.35">
      <c r="A52" s="21" t="s">
        <v>179</v>
      </c>
      <c r="B52">
        <v>1545</v>
      </c>
      <c r="C52" s="1">
        <v>46087</v>
      </c>
      <c r="D52">
        <v>19227</v>
      </c>
      <c r="E52">
        <v>45392</v>
      </c>
      <c r="F52" s="1">
        <v>39814</v>
      </c>
      <c r="G52" s="21" t="s">
        <v>11</v>
      </c>
      <c r="H52" s="21" t="s">
        <v>12</v>
      </c>
      <c r="I52" s="21" t="s">
        <v>18</v>
      </c>
      <c r="J52">
        <v>3</v>
      </c>
      <c r="K52" t="s">
        <v>36</v>
      </c>
    </row>
    <row r="53" spans="1:11" x14ac:dyDescent="0.35">
      <c r="A53" s="21" t="s">
        <v>187</v>
      </c>
      <c r="B53">
        <v>1545</v>
      </c>
      <c r="C53" s="1">
        <v>46107</v>
      </c>
      <c r="D53">
        <v>19437</v>
      </c>
      <c r="E53">
        <v>45792</v>
      </c>
      <c r="F53" s="1">
        <v>41275</v>
      </c>
      <c r="G53" s="21" t="s">
        <v>0</v>
      </c>
      <c r="H53" s="21" t="s">
        <v>12</v>
      </c>
      <c r="I53" s="21" t="s">
        <v>18</v>
      </c>
      <c r="J53">
        <v>3</v>
      </c>
      <c r="K53" t="s">
        <v>35</v>
      </c>
    </row>
    <row r="54" spans="1:11" x14ac:dyDescent="0.35">
      <c r="A54" s="21" t="s">
        <v>188</v>
      </c>
      <c r="B54">
        <v>1545</v>
      </c>
      <c r="C54" s="1">
        <v>46105</v>
      </c>
      <c r="D54">
        <v>19413</v>
      </c>
      <c r="E54">
        <v>45764</v>
      </c>
      <c r="F54" s="1">
        <v>40179</v>
      </c>
      <c r="G54" s="21" t="s">
        <v>11</v>
      </c>
      <c r="H54" s="21" t="s">
        <v>12</v>
      </c>
      <c r="I54" s="21" t="s">
        <v>18</v>
      </c>
      <c r="J54">
        <v>3</v>
      </c>
      <c r="K54" t="s">
        <v>36</v>
      </c>
    </row>
    <row r="55" spans="1:11" x14ac:dyDescent="0.35">
      <c r="A55" s="21" t="s">
        <v>191</v>
      </c>
      <c r="B55">
        <v>1545</v>
      </c>
      <c r="C55" s="1">
        <v>46101</v>
      </c>
      <c r="D55">
        <v>19372</v>
      </c>
      <c r="E55">
        <v>45683</v>
      </c>
      <c r="F55" s="1">
        <v>45292</v>
      </c>
      <c r="G55" s="21" t="s">
        <v>17</v>
      </c>
      <c r="H55" s="21" t="s">
        <v>12</v>
      </c>
      <c r="I55" s="21" t="s">
        <v>18</v>
      </c>
      <c r="J55">
        <v>3</v>
      </c>
      <c r="K55" t="s">
        <v>33</v>
      </c>
    </row>
    <row r="56" spans="1:11" x14ac:dyDescent="0.35">
      <c r="A56" s="21" t="s">
        <v>88</v>
      </c>
      <c r="B56">
        <v>1620</v>
      </c>
      <c r="C56" s="1">
        <v>46072</v>
      </c>
      <c r="D56">
        <v>18996</v>
      </c>
      <c r="E56">
        <v>45039</v>
      </c>
      <c r="F56" s="1">
        <v>40909</v>
      </c>
      <c r="G56" s="21" t="s">
        <v>11</v>
      </c>
      <c r="H56" s="21" t="s">
        <v>12</v>
      </c>
      <c r="I56" s="21" t="s">
        <v>18</v>
      </c>
      <c r="J56">
        <v>2</v>
      </c>
      <c r="K56" t="s">
        <v>36</v>
      </c>
    </row>
    <row r="57" spans="1:11" x14ac:dyDescent="0.35">
      <c r="A57" s="21" t="s">
        <v>177</v>
      </c>
      <c r="B57">
        <v>1620</v>
      </c>
      <c r="C57" s="1">
        <v>46102</v>
      </c>
      <c r="D57">
        <v>19394</v>
      </c>
      <c r="E57">
        <v>45737</v>
      </c>
      <c r="F57" s="1">
        <v>44927</v>
      </c>
      <c r="G57" s="21" t="s">
        <v>17</v>
      </c>
      <c r="H57" s="21" t="s">
        <v>12</v>
      </c>
      <c r="I57" s="21" t="s">
        <v>18</v>
      </c>
      <c r="J57">
        <v>3</v>
      </c>
      <c r="K57" t="s">
        <v>33</v>
      </c>
    </row>
    <row r="58" spans="1:11" x14ac:dyDescent="0.35">
      <c r="A58" s="21" t="s">
        <v>127</v>
      </c>
      <c r="B58">
        <v>1650</v>
      </c>
      <c r="C58" s="1">
        <v>46111</v>
      </c>
      <c r="D58">
        <v>19487</v>
      </c>
      <c r="E58">
        <v>45879</v>
      </c>
      <c r="F58" s="1">
        <v>37257</v>
      </c>
      <c r="G58" s="21" t="s">
        <v>94</v>
      </c>
      <c r="H58" s="21" t="s">
        <v>12</v>
      </c>
      <c r="I58" s="21" t="s">
        <v>18</v>
      </c>
      <c r="J58">
        <v>3</v>
      </c>
      <c r="K58" t="s">
        <v>34</v>
      </c>
    </row>
    <row r="59" spans="1:11" x14ac:dyDescent="0.35">
      <c r="A59" s="21" t="s">
        <v>168</v>
      </c>
      <c r="B59">
        <v>1650</v>
      </c>
      <c r="C59" s="1">
        <v>46108</v>
      </c>
      <c r="D59">
        <v>19449</v>
      </c>
      <c r="E59">
        <v>45813</v>
      </c>
      <c r="F59" s="1">
        <v>42370</v>
      </c>
      <c r="G59" s="21" t="s">
        <v>94</v>
      </c>
      <c r="H59" s="21" t="s">
        <v>169</v>
      </c>
      <c r="I59" s="21" t="s">
        <v>18</v>
      </c>
      <c r="J59">
        <v>3</v>
      </c>
      <c r="K59" t="s">
        <v>35</v>
      </c>
    </row>
    <row r="60" spans="1:11" x14ac:dyDescent="0.35">
      <c r="A60" s="21" t="s">
        <v>183</v>
      </c>
      <c r="B60">
        <v>1650</v>
      </c>
      <c r="C60" s="1">
        <v>46112</v>
      </c>
      <c r="D60">
        <v>19507</v>
      </c>
      <c r="E60">
        <v>45907</v>
      </c>
      <c r="F60" s="1">
        <v>37257</v>
      </c>
      <c r="G60" s="21" t="s">
        <v>94</v>
      </c>
      <c r="H60" s="21" t="s">
        <v>12</v>
      </c>
      <c r="I60" s="21" t="s">
        <v>18</v>
      </c>
      <c r="J60">
        <v>3</v>
      </c>
      <c r="K60" t="s">
        <v>34</v>
      </c>
    </row>
    <row r="61" spans="1:11" x14ac:dyDescent="0.35">
      <c r="A61" s="21" t="s">
        <v>87</v>
      </c>
      <c r="B61">
        <v>1905</v>
      </c>
      <c r="C61" s="1">
        <v>46066</v>
      </c>
      <c r="D61">
        <v>18941</v>
      </c>
      <c r="E61">
        <v>44973</v>
      </c>
      <c r="F61" s="1">
        <v>44562</v>
      </c>
      <c r="G61" s="21" t="s">
        <v>17</v>
      </c>
      <c r="H61" s="21" t="s">
        <v>12</v>
      </c>
      <c r="I61" s="21" t="s">
        <v>13</v>
      </c>
      <c r="J61">
        <v>2</v>
      </c>
      <c r="K61" t="s">
        <v>33</v>
      </c>
    </row>
    <row r="62" spans="1:11" x14ac:dyDescent="0.35">
      <c r="A62" s="21" t="s">
        <v>92</v>
      </c>
      <c r="B62">
        <v>1905</v>
      </c>
      <c r="C62" s="1">
        <v>46062</v>
      </c>
      <c r="D62">
        <v>18906</v>
      </c>
      <c r="E62">
        <v>44895</v>
      </c>
      <c r="F62" s="1">
        <v>37622</v>
      </c>
      <c r="G62" s="21" t="s">
        <v>17</v>
      </c>
      <c r="H62" s="21" t="s">
        <v>12</v>
      </c>
      <c r="I62" s="21" t="s">
        <v>13</v>
      </c>
      <c r="J62">
        <v>2</v>
      </c>
      <c r="K62" t="s">
        <v>34</v>
      </c>
    </row>
    <row r="63" spans="1:11" x14ac:dyDescent="0.35">
      <c r="A63" s="21" t="s">
        <v>133</v>
      </c>
      <c r="B63">
        <v>1905</v>
      </c>
      <c r="C63" s="1">
        <v>46083</v>
      </c>
      <c r="D63">
        <v>19109</v>
      </c>
      <c r="E63">
        <v>45195</v>
      </c>
      <c r="F63" s="1">
        <v>43831</v>
      </c>
      <c r="G63" s="21" t="s">
        <v>0</v>
      </c>
      <c r="H63" s="21" t="s">
        <v>134</v>
      </c>
      <c r="I63" s="21" t="s">
        <v>13</v>
      </c>
      <c r="J63">
        <v>3</v>
      </c>
      <c r="K63" t="s">
        <v>37</v>
      </c>
    </row>
    <row r="64" spans="1:11" x14ac:dyDescent="0.35">
      <c r="A64" s="21" t="s">
        <v>24</v>
      </c>
      <c r="B64">
        <v>1905</v>
      </c>
      <c r="C64" s="1">
        <v>46030</v>
      </c>
      <c r="D64">
        <v>18444</v>
      </c>
      <c r="E64">
        <v>44327</v>
      </c>
      <c r="F64" s="1">
        <v>45292</v>
      </c>
      <c r="G64" s="21" t="s">
        <v>17</v>
      </c>
      <c r="H64" s="21" t="s">
        <v>12</v>
      </c>
      <c r="I64" s="21" t="s">
        <v>13</v>
      </c>
      <c r="J64">
        <v>1</v>
      </c>
      <c r="K64" t="s">
        <v>33</v>
      </c>
    </row>
    <row r="65" spans="1:11" x14ac:dyDescent="0.35">
      <c r="A65" s="21" t="s">
        <v>105</v>
      </c>
      <c r="B65">
        <v>1905</v>
      </c>
      <c r="C65" s="1">
        <v>46055</v>
      </c>
      <c r="D65">
        <v>18850</v>
      </c>
      <c r="E65">
        <v>44822</v>
      </c>
      <c r="F65" s="1">
        <v>39814</v>
      </c>
      <c r="G65" s="21" t="s">
        <v>11</v>
      </c>
      <c r="H65" s="21" t="s">
        <v>12</v>
      </c>
      <c r="I65" s="21" t="s">
        <v>13</v>
      </c>
      <c r="J65">
        <v>2</v>
      </c>
      <c r="K65" t="s">
        <v>36</v>
      </c>
    </row>
    <row r="66" spans="1:11" x14ac:dyDescent="0.35">
      <c r="A66" s="21" t="s">
        <v>116</v>
      </c>
      <c r="B66">
        <v>1905</v>
      </c>
      <c r="C66" s="1">
        <v>46070</v>
      </c>
      <c r="D66">
        <v>18958</v>
      </c>
      <c r="E66">
        <v>44993</v>
      </c>
      <c r="F66" s="1">
        <v>43831</v>
      </c>
      <c r="G66" s="21" t="s">
        <v>11</v>
      </c>
      <c r="H66" s="21" t="s">
        <v>12</v>
      </c>
      <c r="I66" s="21" t="s">
        <v>13</v>
      </c>
      <c r="J66">
        <v>2</v>
      </c>
      <c r="K66" t="s">
        <v>37</v>
      </c>
    </row>
    <row r="67" spans="1:11" x14ac:dyDescent="0.35">
      <c r="A67" s="21" t="s">
        <v>77</v>
      </c>
      <c r="B67">
        <v>1905</v>
      </c>
      <c r="C67" s="1">
        <v>46044</v>
      </c>
      <c r="D67">
        <v>18717</v>
      </c>
      <c r="E67">
        <v>44617</v>
      </c>
      <c r="F67" s="1">
        <v>43101</v>
      </c>
      <c r="G67" s="21" t="s">
        <v>17</v>
      </c>
      <c r="H67" s="21" t="s">
        <v>12</v>
      </c>
      <c r="I67" s="21" t="s">
        <v>13</v>
      </c>
      <c r="J67">
        <v>1</v>
      </c>
      <c r="K67" t="s">
        <v>37</v>
      </c>
    </row>
    <row r="68" spans="1:11" x14ac:dyDescent="0.35">
      <c r="A68" s="21" t="s">
        <v>171</v>
      </c>
      <c r="B68">
        <v>1905</v>
      </c>
      <c r="C68" s="1">
        <v>46085</v>
      </c>
      <c r="D68">
        <v>19156</v>
      </c>
      <c r="E68">
        <v>45291</v>
      </c>
      <c r="F68" s="1">
        <v>40544</v>
      </c>
      <c r="G68" s="21" t="s">
        <v>11</v>
      </c>
      <c r="H68" s="21" t="s">
        <v>12</v>
      </c>
      <c r="I68" s="21" t="s">
        <v>13</v>
      </c>
      <c r="J68">
        <v>3</v>
      </c>
      <c r="K68" t="s">
        <v>36</v>
      </c>
    </row>
    <row r="69" spans="1:11" x14ac:dyDescent="0.35">
      <c r="A69" s="21" t="s">
        <v>180</v>
      </c>
      <c r="B69">
        <v>1905</v>
      </c>
      <c r="C69" s="1">
        <v>46111</v>
      </c>
      <c r="D69">
        <v>19477</v>
      </c>
      <c r="E69">
        <v>45869</v>
      </c>
      <c r="F69" s="1">
        <v>40544</v>
      </c>
      <c r="G69" s="21" t="s">
        <v>11</v>
      </c>
      <c r="H69" s="21" t="s">
        <v>12</v>
      </c>
      <c r="I69" s="21" t="s">
        <v>13</v>
      </c>
      <c r="J69">
        <v>3</v>
      </c>
      <c r="K69" t="s">
        <v>36</v>
      </c>
    </row>
    <row r="70" spans="1:11" x14ac:dyDescent="0.35">
      <c r="A70" s="21" t="s">
        <v>181</v>
      </c>
      <c r="B70">
        <v>1905</v>
      </c>
      <c r="C70" s="1">
        <v>46090</v>
      </c>
      <c r="D70">
        <v>19241</v>
      </c>
      <c r="E70">
        <v>45429</v>
      </c>
      <c r="F70" s="1">
        <v>44562</v>
      </c>
      <c r="G70" s="21" t="s">
        <v>11</v>
      </c>
      <c r="H70" s="21" t="s">
        <v>12</v>
      </c>
      <c r="I70" s="21" t="s">
        <v>13</v>
      </c>
      <c r="J70">
        <v>3</v>
      </c>
      <c r="K70" t="s">
        <v>33</v>
      </c>
    </row>
    <row r="71" spans="1:11" x14ac:dyDescent="0.35">
      <c r="A71" s="21" t="s">
        <v>125</v>
      </c>
      <c r="B71">
        <v>1905</v>
      </c>
      <c r="C71" s="1">
        <v>46069</v>
      </c>
      <c r="D71">
        <v>18949</v>
      </c>
      <c r="E71">
        <v>44981</v>
      </c>
      <c r="F71" s="1">
        <v>43831</v>
      </c>
      <c r="G71" s="21" t="s">
        <v>11</v>
      </c>
      <c r="H71" s="21" t="s">
        <v>12</v>
      </c>
      <c r="I71" s="21" t="s">
        <v>13</v>
      </c>
      <c r="J71">
        <v>2</v>
      </c>
      <c r="K71" t="s">
        <v>37</v>
      </c>
    </row>
    <row r="72" spans="1:11" x14ac:dyDescent="0.35">
      <c r="A72" s="21" t="s">
        <v>147</v>
      </c>
      <c r="B72">
        <v>2016.29</v>
      </c>
      <c r="C72" s="1">
        <v>46108</v>
      </c>
      <c r="D72">
        <v>19480</v>
      </c>
      <c r="E72">
        <v>45872</v>
      </c>
      <c r="F72" s="1">
        <v>36892</v>
      </c>
      <c r="G72" s="21" t="s">
        <v>15</v>
      </c>
      <c r="H72" s="21" t="s">
        <v>148</v>
      </c>
      <c r="I72" s="21" t="s">
        <v>108</v>
      </c>
      <c r="J72">
        <v>3</v>
      </c>
      <c r="K72" t="s">
        <v>34</v>
      </c>
    </row>
    <row r="73" spans="1:11" x14ac:dyDescent="0.35">
      <c r="A73" s="21" t="s">
        <v>118</v>
      </c>
      <c r="B73">
        <v>2160</v>
      </c>
      <c r="C73" s="1">
        <v>46071</v>
      </c>
      <c r="D73">
        <v>18975</v>
      </c>
      <c r="E73">
        <v>45010</v>
      </c>
      <c r="F73" s="1">
        <v>35796</v>
      </c>
      <c r="G73" s="21" t="s">
        <v>94</v>
      </c>
      <c r="H73" s="21" t="s">
        <v>12</v>
      </c>
      <c r="I73" s="21" t="s">
        <v>13</v>
      </c>
      <c r="J73">
        <v>2</v>
      </c>
      <c r="K73" t="s">
        <v>34</v>
      </c>
    </row>
    <row r="74" spans="1:11" x14ac:dyDescent="0.35">
      <c r="A74" s="21" t="s">
        <v>64</v>
      </c>
      <c r="B74">
        <v>2370</v>
      </c>
      <c r="C74" s="1">
        <v>46035</v>
      </c>
      <c r="D74">
        <v>18613</v>
      </c>
      <c r="E74">
        <v>44511</v>
      </c>
      <c r="F74" s="1">
        <v>37622</v>
      </c>
      <c r="G74" s="21" t="s">
        <v>17</v>
      </c>
      <c r="H74" s="21" t="s">
        <v>12</v>
      </c>
      <c r="I74" s="21" t="s">
        <v>18</v>
      </c>
      <c r="J74">
        <v>1</v>
      </c>
      <c r="K74" t="s">
        <v>34</v>
      </c>
    </row>
    <row r="75" spans="1:11" x14ac:dyDescent="0.35">
      <c r="A75" s="21" t="s">
        <v>63</v>
      </c>
      <c r="B75">
        <v>2370</v>
      </c>
      <c r="C75" s="1">
        <v>46042</v>
      </c>
      <c r="D75">
        <v>18672</v>
      </c>
      <c r="E75">
        <v>44570</v>
      </c>
      <c r="F75" s="1">
        <v>41640</v>
      </c>
      <c r="G75" s="21" t="s">
        <v>17</v>
      </c>
      <c r="H75" s="21" t="s">
        <v>12</v>
      </c>
      <c r="I75" s="21" t="s">
        <v>18</v>
      </c>
      <c r="J75">
        <v>1</v>
      </c>
      <c r="K75" t="s">
        <v>35</v>
      </c>
    </row>
    <row r="76" spans="1:11" x14ac:dyDescent="0.35">
      <c r="A76" s="21" t="s">
        <v>176</v>
      </c>
      <c r="B76">
        <v>2370</v>
      </c>
      <c r="C76" s="1">
        <v>46108</v>
      </c>
      <c r="D76">
        <v>19461</v>
      </c>
      <c r="E76">
        <v>45835</v>
      </c>
      <c r="F76" s="1">
        <v>38353</v>
      </c>
      <c r="G76" s="21" t="s">
        <v>17</v>
      </c>
      <c r="H76" s="21" t="s">
        <v>12</v>
      </c>
      <c r="I76" s="21" t="s">
        <v>18</v>
      </c>
      <c r="J76">
        <v>3</v>
      </c>
      <c r="K76" t="s">
        <v>34</v>
      </c>
    </row>
    <row r="77" spans="1:11" x14ac:dyDescent="0.35">
      <c r="A77" s="21" t="s">
        <v>192</v>
      </c>
      <c r="B77">
        <v>2370</v>
      </c>
      <c r="C77" s="1">
        <v>46100</v>
      </c>
      <c r="D77">
        <v>19365</v>
      </c>
      <c r="E77">
        <v>45676</v>
      </c>
      <c r="F77" s="1">
        <v>46023</v>
      </c>
      <c r="G77" s="21" t="s">
        <v>17</v>
      </c>
      <c r="H77" s="21" t="s">
        <v>12</v>
      </c>
      <c r="I77" s="21" t="s">
        <v>18</v>
      </c>
      <c r="J77">
        <v>3</v>
      </c>
      <c r="K77" t="s">
        <v>33</v>
      </c>
    </row>
    <row r="78" spans="1:11" x14ac:dyDescent="0.35">
      <c r="A78" s="21" t="s">
        <v>142</v>
      </c>
      <c r="B78">
        <v>2562</v>
      </c>
      <c r="C78" s="1">
        <v>46105</v>
      </c>
      <c r="D78">
        <v>19408</v>
      </c>
      <c r="E78">
        <v>45758</v>
      </c>
      <c r="F78" s="1">
        <v>35065</v>
      </c>
      <c r="G78" s="21" t="s">
        <v>15</v>
      </c>
      <c r="H78" s="21" t="s">
        <v>134</v>
      </c>
      <c r="I78" s="21" t="s">
        <v>108</v>
      </c>
      <c r="J78">
        <v>3</v>
      </c>
      <c r="K78" t="s">
        <v>34</v>
      </c>
    </row>
    <row r="79" spans="1:11" x14ac:dyDescent="0.35">
      <c r="A79" s="21" t="s">
        <v>129</v>
      </c>
      <c r="B79">
        <v>2680</v>
      </c>
      <c r="C79" s="1">
        <v>46106</v>
      </c>
      <c r="D79">
        <v>19429</v>
      </c>
      <c r="E79">
        <v>45783</v>
      </c>
      <c r="F79" s="1">
        <v>43466</v>
      </c>
      <c r="G79" s="21" t="s">
        <v>94</v>
      </c>
      <c r="H79" s="21" t="s">
        <v>12</v>
      </c>
      <c r="I79" s="21" t="s">
        <v>18</v>
      </c>
      <c r="J79">
        <v>3</v>
      </c>
      <c r="K79" t="s">
        <v>37</v>
      </c>
    </row>
    <row r="80" spans="1:11" x14ac:dyDescent="0.35">
      <c r="A80" s="21" t="s">
        <v>25</v>
      </c>
      <c r="B80">
        <v>2680</v>
      </c>
      <c r="C80" s="1">
        <v>46038</v>
      </c>
      <c r="D80">
        <v>18656</v>
      </c>
      <c r="E80">
        <v>44554</v>
      </c>
      <c r="F80" s="1">
        <v>36892</v>
      </c>
      <c r="G80" s="21" t="s">
        <v>11</v>
      </c>
      <c r="H80" s="21" t="s">
        <v>12</v>
      </c>
      <c r="I80" s="21" t="s">
        <v>18</v>
      </c>
      <c r="J80">
        <v>1</v>
      </c>
      <c r="K80" t="s">
        <v>34</v>
      </c>
    </row>
    <row r="81" spans="1:11" x14ac:dyDescent="0.35">
      <c r="A81" s="21" t="s">
        <v>84</v>
      </c>
      <c r="B81">
        <v>2680</v>
      </c>
      <c r="C81" s="1">
        <v>46038</v>
      </c>
      <c r="D81">
        <v>18660</v>
      </c>
      <c r="E81">
        <v>44559</v>
      </c>
      <c r="F81" s="1">
        <v>40544</v>
      </c>
      <c r="G81" s="21" t="s">
        <v>11</v>
      </c>
      <c r="H81" s="21" t="s">
        <v>12</v>
      </c>
      <c r="I81" s="21" t="s">
        <v>18</v>
      </c>
      <c r="J81">
        <v>1</v>
      </c>
      <c r="K81" t="s">
        <v>36</v>
      </c>
    </row>
    <row r="82" spans="1:11" x14ac:dyDescent="0.35">
      <c r="A82" s="21" t="s">
        <v>85</v>
      </c>
      <c r="B82">
        <v>2680</v>
      </c>
      <c r="C82" s="1">
        <v>46052</v>
      </c>
      <c r="D82">
        <v>18826</v>
      </c>
      <c r="E82">
        <v>44799</v>
      </c>
      <c r="F82" s="1">
        <v>42736</v>
      </c>
      <c r="G82" s="21" t="s">
        <v>11</v>
      </c>
      <c r="H82" s="21" t="s">
        <v>12</v>
      </c>
      <c r="I82" s="21" t="s">
        <v>18</v>
      </c>
      <c r="J82">
        <v>1</v>
      </c>
      <c r="K82" t="s">
        <v>35</v>
      </c>
    </row>
    <row r="83" spans="1:11" x14ac:dyDescent="0.35">
      <c r="A83" s="21" t="s">
        <v>56</v>
      </c>
      <c r="B83">
        <v>2990</v>
      </c>
      <c r="C83" s="1">
        <v>46045</v>
      </c>
      <c r="D83">
        <v>18722</v>
      </c>
      <c r="E83">
        <v>44622</v>
      </c>
      <c r="F83" s="1">
        <v>45658</v>
      </c>
      <c r="G83" s="21" t="s">
        <v>17</v>
      </c>
      <c r="H83" s="21" t="s">
        <v>12</v>
      </c>
      <c r="I83" s="21" t="s">
        <v>13</v>
      </c>
      <c r="J83">
        <v>1</v>
      </c>
      <c r="K83" t="s">
        <v>33</v>
      </c>
    </row>
    <row r="84" spans="1:11" x14ac:dyDescent="0.35">
      <c r="A84" s="21" t="s">
        <v>78</v>
      </c>
      <c r="B84">
        <v>2990</v>
      </c>
      <c r="C84" s="1">
        <v>46031</v>
      </c>
      <c r="D84">
        <v>18479</v>
      </c>
      <c r="E84">
        <v>44361</v>
      </c>
      <c r="F84" s="1">
        <v>44197</v>
      </c>
      <c r="G84" s="21" t="s">
        <v>17</v>
      </c>
      <c r="H84" s="21" t="s">
        <v>12</v>
      </c>
      <c r="I84" s="21" t="s">
        <v>13</v>
      </c>
      <c r="J84">
        <v>1</v>
      </c>
      <c r="K84" t="s">
        <v>37</v>
      </c>
    </row>
    <row r="85" spans="1:11" x14ac:dyDescent="0.35">
      <c r="A85" s="21" t="s">
        <v>193</v>
      </c>
      <c r="B85">
        <v>2990</v>
      </c>
      <c r="C85" s="1">
        <v>46087</v>
      </c>
      <c r="D85">
        <v>19228</v>
      </c>
      <c r="E85">
        <v>45393</v>
      </c>
      <c r="F85" s="1">
        <v>45658</v>
      </c>
      <c r="G85" s="21" t="s">
        <v>17</v>
      </c>
      <c r="H85" s="21" t="s">
        <v>12</v>
      </c>
      <c r="I85" s="21" t="s">
        <v>13</v>
      </c>
      <c r="J85">
        <v>3</v>
      </c>
      <c r="K85" t="s">
        <v>33</v>
      </c>
    </row>
    <row r="86" spans="1:11" x14ac:dyDescent="0.35">
      <c r="A86" s="21" t="s">
        <v>158</v>
      </c>
      <c r="B86">
        <v>5460</v>
      </c>
      <c r="C86" s="1">
        <v>46097</v>
      </c>
      <c r="D86">
        <v>19301</v>
      </c>
      <c r="E86">
        <v>45540</v>
      </c>
      <c r="F86" s="1">
        <v>42736</v>
      </c>
      <c r="G86" s="21" t="s">
        <v>11</v>
      </c>
      <c r="H86" s="21" t="s">
        <v>159</v>
      </c>
      <c r="I86" s="21" t="s">
        <v>18</v>
      </c>
      <c r="J86">
        <v>3</v>
      </c>
      <c r="K86" t="s">
        <v>35</v>
      </c>
    </row>
    <row r="87" spans="1:11" x14ac:dyDescent="0.35">
      <c r="A87" s="21" t="s">
        <v>27</v>
      </c>
      <c r="B87">
        <v>5460</v>
      </c>
      <c r="C87" s="1">
        <v>46037</v>
      </c>
      <c r="D87">
        <v>18650</v>
      </c>
      <c r="E87">
        <v>44548</v>
      </c>
      <c r="F87" s="1">
        <v>39814</v>
      </c>
      <c r="G87" s="21" t="s">
        <v>11</v>
      </c>
      <c r="H87" s="21" t="s">
        <v>12</v>
      </c>
      <c r="I87" s="21" t="s">
        <v>18</v>
      </c>
      <c r="J87">
        <v>1</v>
      </c>
      <c r="K87" t="s">
        <v>36</v>
      </c>
    </row>
    <row r="88" spans="1:11" x14ac:dyDescent="0.35">
      <c r="A88" s="21" t="s">
        <v>172</v>
      </c>
      <c r="B88">
        <v>5460</v>
      </c>
      <c r="C88" s="1">
        <v>46090</v>
      </c>
      <c r="D88">
        <v>19245</v>
      </c>
      <c r="E88">
        <v>45433</v>
      </c>
      <c r="F88" s="1">
        <v>44927</v>
      </c>
      <c r="G88" s="21" t="s">
        <v>11</v>
      </c>
      <c r="H88" s="21" t="s">
        <v>12</v>
      </c>
      <c r="I88" s="21" t="s">
        <v>18</v>
      </c>
      <c r="J88">
        <v>3</v>
      </c>
      <c r="K88" t="s">
        <v>33</v>
      </c>
    </row>
    <row r="89" spans="1:11" x14ac:dyDescent="0.35">
      <c r="A89" s="21" t="s">
        <v>90</v>
      </c>
      <c r="B89">
        <v>5770</v>
      </c>
      <c r="C89" s="1">
        <v>46064</v>
      </c>
      <c r="D89">
        <v>18923</v>
      </c>
      <c r="E89">
        <v>44942</v>
      </c>
      <c r="F89" s="1">
        <v>36161</v>
      </c>
      <c r="G89" s="21" t="s">
        <v>91</v>
      </c>
      <c r="H89" s="21" t="s">
        <v>12</v>
      </c>
      <c r="I89" s="21" t="s">
        <v>18</v>
      </c>
      <c r="J89">
        <v>2</v>
      </c>
      <c r="K89" t="s">
        <v>34</v>
      </c>
    </row>
    <row r="90" spans="1:11" x14ac:dyDescent="0.35">
      <c r="A90" s="21" t="s">
        <v>164</v>
      </c>
      <c r="B90">
        <v>5770</v>
      </c>
      <c r="C90" s="1">
        <v>46094</v>
      </c>
      <c r="D90">
        <v>19294</v>
      </c>
      <c r="E90">
        <v>45528</v>
      </c>
      <c r="F90" s="1">
        <v>45658</v>
      </c>
      <c r="G90" s="21" t="s">
        <v>0</v>
      </c>
      <c r="H90" s="21" t="s">
        <v>12</v>
      </c>
      <c r="I90" s="21" t="s">
        <v>18</v>
      </c>
      <c r="J90">
        <v>3</v>
      </c>
      <c r="K90" t="s">
        <v>33</v>
      </c>
    </row>
    <row r="91" spans="1:11" x14ac:dyDescent="0.35">
      <c r="A91" s="21" t="s">
        <v>186</v>
      </c>
      <c r="B91">
        <v>5770</v>
      </c>
      <c r="C91" s="1">
        <v>46108</v>
      </c>
      <c r="D91">
        <v>19453</v>
      </c>
      <c r="E91">
        <v>45819</v>
      </c>
      <c r="F91" s="1">
        <v>37622</v>
      </c>
      <c r="G91" s="21" t="s">
        <v>91</v>
      </c>
      <c r="H91" s="21" t="s">
        <v>12</v>
      </c>
      <c r="I91" s="21" t="s">
        <v>18</v>
      </c>
      <c r="J91">
        <v>3</v>
      </c>
      <c r="K91" t="s">
        <v>34</v>
      </c>
    </row>
    <row r="92" spans="1:11" x14ac:dyDescent="0.35">
      <c r="A92" s="21" t="s">
        <v>97</v>
      </c>
      <c r="B92">
        <v>7210</v>
      </c>
      <c r="C92" s="1">
        <v>46059</v>
      </c>
      <c r="D92">
        <v>18957</v>
      </c>
      <c r="E92">
        <v>44992</v>
      </c>
      <c r="F92" s="1">
        <v>44927</v>
      </c>
      <c r="G92" s="21" t="s">
        <v>94</v>
      </c>
      <c r="H92" s="21" t="s">
        <v>12</v>
      </c>
      <c r="I92" s="21" t="s">
        <v>18</v>
      </c>
      <c r="J92">
        <v>2</v>
      </c>
      <c r="K92" t="s">
        <v>33</v>
      </c>
    </row>
    <row r="93" spans="1:11" x14ac:dyDescent="0.35">
      <c r="A93" s="21" t="s">
        <v>184</v>
      </c>
      <c r="B93">
        <v>7570</v>
      </c>
      <c r="C93" s="1">
        <v>46112</v>
      </c>
      <c r="D93">
        <v>19505</v>
      </c>
      <c r="E93">
        <v>45905</v>
      </c>
      <c r="F93" s="1">
        <v>38718</v>
      </c>
      <c r="G93" s="21" t="s">
        <v>94</v>
      </c>
      <c r="H93" s="21" t="s">
        <v>12</v>
      </c>
      <c r="I93" s="21" t="s">
        <v>18</v>
      </c>
      <c r="J93">
        <v>3</v>
      </c>
      <c r="K93" t="s">
        <v>34</v>
      </c>
    </row>
    <row r="94" spans="1:11" x14ac:dyDescent="0.35">
      <c r="A94" s="21" t="s">
        <v>149</v>
      </c>
      <c r="B94">
        <v>8050</v>
      </c>
      <c r="C94" s="1">
        <v>46108</v>
      </c>
      <c r="D94">
        <v>19455</v>
      </c>
      <c r="E94">
        <v>45821</v>
      </c>
      <c r="F94" s="1">
        <v>39814</v>
      </c>
      <c r="G94" s="21" t="s">
        <v>15</v>
      </c>
      <c r="H94" s="21" t="s">
        <v>144</v>
      </c>
      <c r="I94" s="21" t="s">
        <v>108</v>
      </c>
      <c r="J94">
        <v>3</v>
      </c>
      <c r="K94" t="s">
        <v>36</v>
      </c>
    </row>
    <row r="95" spans="1:11" x14ac:dyDescent="0.35">
      <c r="A95" s="21" t="s">
        <v>109</v>
      </c>
      <c r="B95">
        <v>8456.1</v>
      </c>
      <c r="C95" s="1">
        <v>46070</v>
      </c>
      <c r="D95">
        <v>18962</v>
      </c>
      <c r="E95">
        <v>44997</v>
      </c>
      <c r="F95" s="1">
        <v>40179</v>
      </c>
      <c r="G95" s="21" t="s">
        <v>15</v>
      </c>
      <c r="H95" s="21" t="s">
        <v>110</v>
      </c>
      <c r="I95" s="21" t="s">
        <v>108</v>
      </c>
      <c r="J95">
        <v>2</v>
      </c>
      <c r="K95" t="s">
        <v>36</v>
      </c>
    </row>
    <row r="96" spans="1:11" x14ac:dyDescent="0.35">
      <c r="A96" s="21" t="s">
        <v>156</v>
      </c>
      <c r="B96">
        <v>9344.16</v>
      </c>
      <c r="C96" s="1">
        <v>46111</v>
      </c>
      <c r="D96">
        <v>19479</v>
      </c>
      <c r="E96">
        <v>45871</v>
      </c>
      <c r="F96" s="1">
        <v>36161</v>
      </c>
      <c r="G96" s="21" t="s">
        <v>15</v>
      </c>
      <c r="H96" s="21" t="s">
        <v>157</v>
      </c>
      <c r="I96" s="21" t="s">
        <v>108</v>
      </c>
      <c r="J96">
        <v>3</v>
      </c>
      <c r="K96" t="s">
        <v>34</v>
      </c>
    </row>
    <row r="97" spans="1:11" x14ac:dyDescent="0.35">
      <c r="A97" s="21" t="s">
        <v>26</v>
      </c>
      <c r="B97">
        <v>9685</v>
      </c>
      <c r="C97" s="1">
        <v>46052</v>
      </c>
      <c r="D97">
        <v>18825</v>
      </c>
      <c r="E97">
        <v>44798</v>
      </c>
      <c r="F97" s="1">
        <v>42005</v>
      </c>
      <c r="G97" s="21" t="s">
        <v>17</v>
      </c>
      <c r="H97" s="21" t="s">
        <v>12</v>
      </c>
      <c r="I97" s="21" t="s">
        <v>18</v>
      </c>
      <c r="J97">
        <v>1</v>
      </c>
      <c r="K97" t="s">
        <v>35</v>
      </c>
    </row>
    <row r="98" spans="1:11" x14ac:dyDescent="0.35">
      <c r="A98" s="21" t="s">
        <v>137</v>
      </c>
      <c r="B98">
        <v>9685</v>
      </c>
      <c r="C98" s="1">
        <v>46092</v>
      </c>
      <c r="D98">
        <v>19269</v>
      </c>
      <c r="E98">
        <v>45476</v>
      </c>
      <c r="F98" s="1">
        <v>45292</v>
      </c>
      <c r="G98" s="21" t="s">
        <v>17</v>
      </c>
      <c r="H98" s="21" t="s">
        <v>12</v>
      </c>
      <c r="I98" s="21" t="s">
        <v>18</v>
      </c>
      <c r="J98">
        <v>3</v>
      </c>
      <c r="K98" t="s">
        <v>33</v>
      </c>
    </row>
    <row r="99" spans="1:11" x14ac:dyDescent="0.35">
      <c r="A99" s="21" t="s">
        <v>93</v>
      </c>
      <c r="B99">
        <v>9990</v>
      </c>
      <c r="C99" s="1">
        <v>46073</v>
      </c>
      <c r="D99">
        <v>18993</v>
      </c>
      <c r="E99">
        <v>45036</v>
      </c>
      <c r="F99" s="1">
        <v>39814</v>
      </c>
      <c r="G99" s="21" t="s">
        <v>94</v>
      </c>
      <c r="H99" s="21" t="s">
        <v>12</v>
      </c>
      <c r="I99" s="21" t="s">
        <v>18</v>
      </c>
      <c r="J99">
        <v>2</v>
      </c>
      <c r="K99" t="s">
        <v>36</v>
      </c>
    </row>
    <row r="100" spans="1:11" x14ac:dyDescent="0.35">
      <c r="A100" s="21" t="s">
        <v>190</v>
      </c>
      <c r="B100">
        <v>10170</v>
      </c>
      <c r="C100" s="1">
        <v>46101</v>
      </c>
      <c r="D100">
        <v>19377</v>
      </c>
      <c r="E100">
        <v>45703</v>
      </c>
      <c r="F100" s="1">
        <v>43101</v>
      </c>
      <c r="G100" s="21" t="s">
        <v>17</v>
      </c>
      <c r="H100" s="21" t="s">
        <v>12</v>
      </c>
      <c r="I100" s="21" t="s">
        <v>18</v>
      </c>
      <c r="J100">
        <v>3</v>
      </c>
      <c r="K100" t="s">
        <v>37</v>
      </c>
    </row>
    <row r="101" spans="1:11" x14ac:dyDescent="0.35">
      <c r="A101" s="21" t="s">
        <v>138</v>
      </c>
      <c r="B101">
        <v>11621</v>
      </c>
      <c r="C101" s="1">
        <v>46084</v>
      </c>
      <c r="D101">
        <v>19122</v>
      </c>
      <c r="E101">
        <v>45218</v>
      </c>
      <c r="F101" s="1">
        <v>39083</v>
      </c>
      <c r="G101" s="21" t="s">
        <v>15</v>
      </c>
      <c r="H101" s="21" t="s">
        <v>139</v>
      </c>
      <c r="I101" s="21" t="s">
        <v>108</v>
      </c>
      <c r="J101">
        <v>3</v>
      </c>
      <c r="K101" t="s">
        <v>34</v>
      </c>
    </row>
    <row r="102" spans="1:11" x14ac:dyDescent="0.35">
      <c r="A102" s="21" t="s">
        <v>112</v>
      </c>
      <c r="B102">
        <v>14420</v>
      </c>
      <c r="C102" s="1">
        <v>46055</v>
      </c>
      <c r="D102">
        <v>18849</v>
      </c>
      <c r="E102">
        <v>44821</v>
      </c>
      <c r="F102" s="1">
        <v>37622</v>
      </c>
      <c r="G102" s="21" t="s">
        <v>94</v>
      </c>
      <c r="H102" s="21" t="s">
        <v>12</v>
      </c>
      <c r="I102" s="21" t="s">
        <v>18</v>
      </c>
      <c r="J102">
        <v>2</v>
      </c>
      <c r="K102" t="s">
        <v>34</v>
      </c>
    </row>
    <row r="103" spans="1:11" x14ac:dyDescent="0.35">
      <c r="A103" s="21" t="s">
        <v>131</v>
      </c>
      <c r="B103">
        <v>16175</v>
      </c>
      <c r="C103" s="1">
        <v>46108</v>
      </c>
      <c r="D103">
        <v>19452</v>
      </c>
      <c r="E103">
        <v>45818</v>
      </c>
      <c r="F103" s="1">
        <v>40179</v>
      </c>
      <c r="G103" s="21" t="s">
        <v>17</v>
      </c>
      <c r="H103" s="21" t="s">
        <v>12</v>
      </c>
      <c r="I103" s="21" t="s">
        <v>18</v>
      </c>
      <c r="J103">
        <v>3</v>
      </c>
      <c r="K103" t="s">
        <v>36</v>
      </c>
    </row>
    <row r="104" spans="1:11" x14ac:dyDescent="0.35">
      <c r="A104" s="21" t="s">
        <v>114</v>
      </c>
      <c r="B104">
        <v>16175</v>
      </c>
      <c r="C104" s="1">
        <v>46073</v>
      </c>
      <c r="D104">
        <v>18994</v>
      </c>
      <c r="E104">
        <v>45037</v>
      </c>
      <c r="F104" s="1">
        <v>40179</v>
      </c>
      <c r="G104" s="21" t="s">
        <v>17</v>
      </c>
      <c r="H104" s="21" t="s">
        <v>12</v>
      </c>
      <c r="I104" s="21" t="s">
        <v>18</v>
      </c>
      <c r="J104">
        <v>2</v>
      </c>
      <c r="K104" t="s">
        <v>36</v>
      </c>
    </row>
    <row r="105" spans="1:11" x14ac:dyDescent="0.35">
      <c r="A105" s="21" t="s">
        <v>128</v>
      </c>
      <c r="B105">
        <v>16500</v>
      </c>
      <c r="C105" s="1">
        <v>46085</v>
      </c>
      <c r="D105">
        <v>19145</v>
      </c>
      <c r="E105">
        <v>45249</v>
      </c>
      <c r="F105" s="1">
        <v>39814</v>
      </c>
      <c r="G105" s="21" t="s">
        <v>11</v>
      </c>
      <c r="H105" s="21" t="s">
        <v>12</v>
      </c>
      <c r="I105" s="21" t="s">
        <v>21</v>
      </c>
      <c r="J105">
        <v>3</v>
      </c>
      <c r="K105" t="s">
        <v>36</v>
      </c>
    </row>
    <row r="106" spans="1:11" x14ac:dyDescent="0.35">
      <c r="A106" s="21" t="s">
        <v>170</v>
      </c>
      <c r="B106">
        <v>16500</v>
      </c>
      <c r="C106" s="1">
        <v>46090</v>
      </c>
      <c r="D106">
        <v>19240</v>
      </c>
      <c r="E106">
        <v>45428</v>
      </c>
      <c r="F106" s="1">
        <v>40909</v>
      </c>
      <c r="G106" s="21" t="s">
        <v>11</v>
      </c>
      <c r="H106" s="21" t="s">
        <v>12</v>
      </c>
      <c r="I106" s="21" t="s">
        <v>21</v>
      </c>
      <c r="J106">
        <v>3</v>
      </c>
      <c r="K106" t="s">
        <v>36</v>
      </c>
    </row>
    <row r="107" spans="1:11" x14ac:dyDescent="0.35">
      <c r="A107" s="21" t="s">
        <v>173</v>
      </c>
      <c r="B107">
        <v>18025</v>
      </c>
      <c r="C107" s="1">
        <v>46106</v>
      </c>
      <c r="D107">
        <v>19426</v>
      </c>
      <c r="E107">
        <v>45780</v>
      </c>
      <c r="F107" s="1">
        <v>43831</v>
      </c>
      <c r="G107" s="21" t="s">
        <v>94</v>
      </c>
      <c r="H107" s="21" t="s">
        <v>12</v>
      </c>
      <c r="I107" s="21" t="s">
        <v>13</v>
      </c>
      <c r="J107">
        <v>3</v>
      </c>
      <c r="K107" t="s">
        <v>37</v>
      </c>
    </row>
    <row r="108" spans="1:11" x14ac:dyDescent="0.35">
      <c r="A108" s="21" t="s">
        <v>117</v>
      </c>
      <c r="B108">
        <v>21630</v>
      </c>
      <c r="C108" s="1">
        <v>46062</v>
      </c>
      <c r="D108">
        <v>18908</v>
      </c>
      <c r="E108">
        <v>44897</v>
      </c>
      <c r="F108" s="1">
        <v>42005</v>
      </c>
      <c r="G108" s="21" t="s">
        <v>17</v>
      </c>
      <c r="H108" s="21" t="s">
        <v>12</v>
      </c>
      <c r="I108" s="21" t="s">
        <v>21</v>
      </c>
      <c r="J108">
        <v>2</v>
      </c>
      <c r="K108" t="s">
        <v>35</v>
      </c>
    </row>
    <row r="109" spans="1:11" x14ac:dyDescent="0.35">
      <c r="A109" s="21" t="s">
        <v>89</v>
      </c>
      <c r="B109">
        <v>23375</v>
      </c>
      <c r="C109" s="1">
        <v>46072</v>
      </c>
      <c r="D109">
        <v>18995</v>
      </c>
      <c r="E109">
        <v>45038</v>
      </c>
      <c r="F109" s="1">
        <v>42005</v>
      </c>
      <c r="G109" s="21" t="s">
        <v>17</v>
      </c>
      <c r="H109" s="21" t="s">
        <v>12</v>
      </c>
      <c r="I109" s="21" t="s">
        <v>18</v>
      </c>
      <c r="J109">
        <v>2</v>
      </c>
      <c r="K109" t="s">
        <v>35</v>
      </c>
    </row>
    <row r="110" spans="1:11" x14ac:dyDescent="0.35">
      <c r="A110" s="21" t="s">
        <v>102</v>
      </c>
      <c r="B110">
        <v>23375</v>
      </c>
      <c r="C110" s="1">
        <v>46055</v>
      </c>
      <c r="D110">
        <v>18851</v>
      </c>
      <c r="E110">
        <v>44823</v>
      </c>
      <c r="F110" s="1">
        <v>41275</v>
      </c>
      <c r="G110" s="21" t="s">
        <v>17</v>
      </c>
      <c r="H110" s="21" t="s">
        <v>103</v>
      </c>
      <c r="I110" s="21" t="s">
        <v>18</v>
      </c>
      <c r="J110">
        <v>2</v>
      </c>
      <c r="K110" t="s">
        <v>35</v>
      </c>
    </row>
    <row r="111" spans="1:11" x14ac:dyDescent="0.35">
      <c r="A111" s="21" t="s">
        <v>75</v>
      </c>
      <c r="B111">
        <v>23375</v>
      </c>
      <c r="C111" s="1">
        <v>46048</v>
      </c>
      <c r="D111">
        <v>18752</v>
      </c>
      <c r="E111">
        <v>44676</v>
      </c>
      <c r="F111" s="1">
        <v>40909</v>
      </c>
      <c r="G111" s="21" t="s">
        <v>0</v>
      </c>
      <c r="H111" s="21" t="s">
        <v>12</v>
      </c>
      <c r="I111" s="21" t="s">
        <v>18</v>
      </c>
      <c r="J111">
        <v>1</v>
      </c>
      <c r="K111" t="s">
        <v>36</v>
      </c>
    </row>
    <row r="112" spans="1:11" x14ac:dyDescent="0.35">
      <c r="A112" s="21" t="s">
        <v>175</v>
      </c>
      <c r="B112">
        <v>23375</v>
      </c>
      <c r="C112" s="1">
        <v>46101</v>
      </c>
      <c r="D112">
        <v>19374</v>
      </c>
      <c r="E112">
        <v>45692</v>
      </c>
      <c r="F112" s="1">
        <v>40544</v>
      </c>
      <c r="G112" s="21" t="s">
        <v>17</v>
      </c>
      <c r="H112" s="21" t="s">
        <v>12</v>
      </c>
      <c r="I112" s="21" t="s">
        <v>18</v>
      </c>
      <c r="J112">
        <v>3</v>
      </c>
      <c r="K112" t="s">
        <v>36</v>
      </c>
    </row>
    <row r="113" spans="1:11" x14ac:dyDescent="0.35">
      <c r="A113" s="21" t="s">
        <v>119</v>
      </c>
      <c r="B113">
        <v>23375</v>
      </c>
      <c r="C113" s="1">
        <v>46066</v>
      </c>
      <c r="D113">
        <v>18940</v>
      </c>
      <c r="E113">
        <v>44972</v>
      </c>
      <c r="F113" s="1">
        <v>41275</v>
      </c>
      <c r="G113" s="21" t="s">
        <v>17</v>
      </c>
      <c r="H113" s="21" t="s">
        <v>120</v>
      </c>
      <c r="I113" s="21" t="s">
        <v>18</v>
      </c>
      <c r="J113">
        <v>2</v>
      </c>
      <c r="K113" t="s">
        <v>35</v>
      </c>
    </row>
    <row r="114" spans="1:11" x14ac:dyDescent="0.35">
      <c r="A114" s="21" t="s">
        <v>124</v>
      </c>
      <c r="B114">
        <v>23375</v>
      </c>
      <c r="C114" s="1">
        <v>46080</v>
      </c>
      <c r="D114">
        <v>19076</v>
      </c>
      <c r="E114">
        <v>45158</v>
      </c>
      <c r="F114" s="1">
        <v>37257</v>
      </c>
      <c r="G114" s="21" t="s">
        <v>17</v>
      </c>
      <c r="H114" s="21" t="s">
        <v>12</v>
      </c>
      <c r="I114" s="21" t="s">
        <v>18</v>
      </c>
      <c r="J114">
        <v>2</v>
      </c>
      <c r="K114" t="s">
        <v>34</v>
      </c>
    </row>
    <row r="115" spans="1:11" x14ac:dyDescent="0.35">
      <c r="A115" s="21" t="s">
        <v>150</v>
      </c>
      <c r="B115">
        <v>23939.83</v>
      </c>
      <c r="C115" s="1">
        <v>46106</v>
      </c>
      <c r="D115">
        <v>19435</v>
      </c>
      <c r="E115">
        <v>45789</v>
      </c>
      <c r="F115" s="1">
        <v>35065</v>
      </c>
      <c r="G115" s="21" t="s">
        <v>15</v>
      </c>
      <c r="H115" s="21" t="s">
        <v>151</v>
      </c>
      <c r="I115" s="21" t="s">
        <v>108</v>
      </c>
      <c r="J115">
        <v>3</v>
      </c>
      <c r="K115" t="s">
        <v>34</v>
      </c>
    </row>
    <row r="116" spans="1:11" x14ac:dyDescent="0.35">
      <c r="A116" s="21" t="s">
        <v>136</v>
      </c>
      <c r="B116">
        <v>35000</v>
      </c>
      <c r="C116" s="1">
        <v>46090</v>
      </c>
      <c r="D116">
        <v>19242</v>
      </c>
      <c r="E116">
        <v>45430</v>
      </c>
      <c r="F116" s="1">
        <v>42370</v>
      </c>
      <c r="G116" s="21" t="s">
        <v>11</v>
      </c>
      <c r="H116" s="21" t="s">
        <v>12</v>
      </c>
      <c r="I116" s="21" t="s">
        <v>21</v>
      </c>
      <c r="J116">
        <v>3</v>
      </c>
      <c r="K116" t="s">
        <v>35</v>
      </c>
    </row>
    <row r="117" spans="1:11" x14ac:dyDescent="0.35">
      <c r="A117" s="21" t="s">
        <v>174</v>
      </c>
      <c r="B117">
        <v>36050</v>
      </c>
      <c r="C117" s="1">
        <v>46106</v>
      </c>
      <c r="D117">
        <v>19421</v>
      </c>
      <c r="E117">
        <v>45775</v>
      </c>
      <c r="F117" s="1">
        <v>40179</v>
      </c>
      <c r="G117" s="21" t="s">
        <v>11</v>
      </c>
      <c r="H117" s="21" t="s">
        <v>12</v>
      </c>
      <c r="I117" s="21" t="s">
        <v>21</v>
      </c>
      <c r="J117">
        <v>3</v>
      </c>
      <c r="K117" t="s">
        <v>36</v>
      </c>
    </row>
    <row r="118" spans="1:11" x14ac:dyDescent="0.35">
      <c r="A118" s="21" t="s">
        <v>73</v>
      </c>
      <c r="B118">
        <v>38100</v>
      </c>
      <c r="C118" s="1">
        <v>46048</v>
      </c>
      <c r="D118">
        <v>18755</v>
      </c>
      <c r="E118">
        <v>44679</v>
      </c>
      <c r="F118" s="1">
        <v>35796</v>
      </c>
      <c r="G118" s="21" t="s">
        <v>17</v>
      </c>
      <c r="H118" s="21" t="s">
        <v>12</v>
      </c>
      <c r="I118" s="21" t="s">
        <v>21</v>
      </c>
      <c r="J118">
        <v>1</v>
      </c>
      <c r="K118" t="s">
        <v>34</v>
      </c>
    </row>
    <row r="119" spans="1:11" x14ac:dyDescent="0.35">
      <c r="A119" s="21" t="s">
        <v>163</v>
      </c>
      <c r="B119">
        <v>40000</v>
      </c>
      <c r="C119" s="1">
        <v>46098</v>
      </c>
      <c r="D119">
        <v>19316</v>
      </c>
      <c r="E119">
        <v>45566</v>
      </c>
      <c r="F119" s="1">
        <v>39814</v>
      </c>
      <c r="G119" s="21" t="s">
        <v>17</v>
      </c>
      <c r="H119" s="21" t="s">
        <v>12</v>
      </c>
      <c r="I119" s="21" t="s">
        <v>21</v>
      </c>
      <c r="J119">
        <v>3</v>
      </c>
      <c r="K119" t="s">
        <v>36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D6CF-E5B4-4180-A757-C2F8191983E5}">
  <dimension ref="A1:J121"/>
  <sheetViews>
    <sheetView topLeftCell="A2" workbookViewId="0">
      <selection activeCell="C5" sqref="C5"/>
    </sheetView>
  </sheetViews>
  <sheetFormatPr defaultRowHeight="14.5" x14ac:dyDescent="0.35"/>
  <cols>
    <col min="1" max="1" width="61.81640625" bestFit="1" customWidth="1"/>
    <col min="2" max="2" width="8.8164062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50.26953125" bestFit="1" customWidth="1"/>
    <col min="8" max="8" width="15.453125" bestFit="1" customWidth="1"/>
    <col min="9" max="9" width="23.1796875" bestFit="1" customWidth="1"/>
    <col min="10" max="10" width="12.90625" bestFit="1" customWidth="1"/>
  </cols>
  <sheetData>
    <row r="1" spans="1:10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5">
      <c r="A2" s="21"/>
      <c r="C2" s="1"/>
      <c r="F2" s="1"/>
      <c r="G2" s="21"/>
      <c r="H2" s="21"/>
      <c r="I2" s="21"/>
    </row>
    <row r="3" spans="1:10" x14ac:dyDescent="0.35">
      <c r="A3" s="21"/>
      <c r="C3" s="1"/>
      <c r="F3" s="1"/>
      <c r="G3" s="21"/>
      <c r="H3" s="21"/>
      <c r="I3" s="21"/>
    </row>
    <row r="4" spans="1:10" x14ac:dyDescent="0.35">
      <c r="A4" s="21" t="s">
        <v>127</v>
      </c>
      <c r="B4">
        <v>1650</v>
      </c>
      <c r="C4" s="1">
        <v>46111</v>
      </c>
      <c r="D4">
        <v>19487</v>
      </c>
      <c r="E4">
        <v>45879</v>
      </c>
      <c r="F4" s="1">
        <v>37460</v>
      </c>
      <c r="G4" s="21" t="s">
        <v>94</v>
      </c>
      <c r="H4" s="21" t="s">
        <v>12</v>
      </c>
      <c r="I4" s="21" t="s">
        <v>18</v>
      </c>
      <c r="J4">
        <v>3</v>
      </c>
    </row>
    <row r="5" spans="1:10" x14ac:dyDescent="0.35">
      <c r="A5" s="21" t="s">
        <v>87</v>
      </c>
      <c r="B5">
        <v>1905</v>
      </c>
      <c r="C5" s="1">
        <v>46066</v>
      </c>
      <c r="D5">
        <v>18941</v>
      </c>
      <c r="E5">
        <v>44973</v>
      </c>
      <c r="F5" s="1">
        <v>44571</v>
      </c>
      <c r="G5" s="21" t="s">
        <v>17</v>
      </c>
      <c r="H5" s="21" t="s">
        <v>12</v>
      </c>
      <c r="I5" s="21" t="s">
        <v>13</v>
      </c>
      <c r="J5">
        <v>2</v>
      </c>
    </row>
    <row r="6" spans="1:10" x14ac:dyDescent="0.35">
      <c r="A6" s="21" t="s">
        <v>88</v>
      </c>
      <c r="B6">
        <v>1620</v>
      </c>
      <c r="C6" s="1">
        <v>46072</v>
      </c>
      <c r="D6">
        <v>18996</v>
      </c>
      <c r="E6">
        <v>45039</v>
      </c>
      <c r="F6" s="1">
        <v>40976</v>
      </c>
      <c r="G6" s="21" t="s">
        <v>11</v>
      </c>
      <c r="H6" s="21" t="s">
        <v>12</v>
      </c>
      <c r="I6" s="21" t="s">
        <v>18</v>
      </c>
      <c r="J6">
        <v>2</v>
      </c>
    </row>
    <row r="7" spans="1:10" x14ac:dyDescent="0.35">
      <c r="A7" s="21" t="s">
        <v>128</v>
      </c>
      <c r="B7">
        <v>16500</v>
      </c>
      <c r="C7" s="1">
        <v>46085</v>
      </c>
      <c r="D7">
        <v>19145</v>
      </c>
      <c r="E7">
        <v>45249</v>
      </c>
      <c r="F7" s="1">
        <v>40162</v>
      </c>
      <c r="G7" s="21" t="s">
        <v>11</v>
      </c>
      <c r="H7" s="21" t="s">
        <v>12</v>
      </c>
      <c r="I7" s="21" t="s">
        <v>21</v>
      </c>
      <c r="J7">
        <v>3</v>
      </c>
    </row>
    <row r="8" spans="1:10" x14ac:dyDescent="0.35">
      <c r="A8" s="21" t="s">
        <v>64</v>
      </c>
      <c r="B8">
        <v>2370</v>
      </c>
      <c r="C8" s="1">
        <v>46035</v>
      </c>
      <c r="D8">
        <v>18613</v>
      </c>
      <c r="E8">
        <v>44511</v>
      </c>
      <c r="F8" s="1">
        <v>37839</v>
      </c>
      <c r="G8" s="21" t="s">
        <v>17</v>
      </c>
      <c r="H8" s="21" t="s">
        <v>12</v>
      </c>
      <c r="I8" s="21" t="s">
        <v>18</v>
      </c>
      <c r="J8">
        <v>1</v>
      </c>
    </row>
    <row r="9" spans="1:10" x14ac:dyDescent="0.35">
      <c r="A9" s="21" t="s">
        <v>28</v>
      </c>
      <c r="B9">
        <v>775</v>
      </c>
      <c r="C9" s="1">
        <v>46033</v>
      </c>
      <c r="D9">
        <v>18551</v>
      </c>
      <c r="E9">
        <v>44438</v>
      </c>
      <c r="F9" s="1">
        <v>45385</v>
      </c>
      <c r="G9" s="21" t="s">
        <v>15</v>
      </c>
      <c r="H9" s="21" t="s">
        <v>15</v>
      </c>
      <c r="I9" s="21" t="s">
        <v>16</v>
      </c>
      <c r="J9">
        <v>1</v>
      </c>
    </row>
    <row r="10" spans="1:10" x14ac:dyDescent="0.35">
      <c r="A10" s="21" t="s">
        <v>89</v>
      </c>
      <c r="B10">
        <v>23375</v>
      </c>
      <c r="C10" s="1">
        <v>46072</v>
      </c>
      <c r="D10">
        <v>18995</v>
      </c>
      <c r="E10">
        <v>45038</v>
      </c>
      <c r="F10" s="1">
        <v>42297</v>
      </c>
      <c r="G10" s="21" t="s">
        <v>17</v>
      </c>
      <c r="H10" s="21" t="s">
        <v>12</v>
      </c>
      <c r="I10" s="21" t="s">
        <v>18</v>
      </c>
      <c r="J10">
        <v>2</v>
      </c>
    </row>
    <row r="11" spans="1:10" x14ac:dyDescent="0.35">
      <c r="A11" s="21" t="s">
        <v>55</v>
      </c>
      <c r="B11">
        <v>775</v>
      </c>
      <c r="C11" s="1">
        <v>46027</v>
      </c>
      <c r="D11">
        <v>18371</v>
      </c>
      <c r="E11">
        <v>44227</v>
      </c>
      <c r="F11" s="1">
        <v>44433</v>
      </c>
      <c r="G11" s="21" t="s">
        <v>15</v>
      </c>
      <c r="H11" s="21" t="s">
        <v>12</v>
      </c>
      <c r="I11" s="21" t="s">
        <v>16</v>
      </c>
      <c r="J11">
        <v>1</v>
      </c>
    </row>
    <row r="12" spans="1:10" x14ac:dyDescent="0.35">
      <c r="A12" s="21" t="s">
        <v>129</v>
      </c>
      <c r="B12">
        <v>2680</v>
      </c>
      <c r="C12" s="1">
        <v>46106</v>
      </c>
      <c r="D12">
        <v>19429</v>
      </c>
      <c r="E12">
        <v>45783</v>
      </c>
      <c r="F12" s="1">
        <v>43559</v>
      </c>
      <c r="G12" s="21" t="s">
        <v>94</v>
      </c>
      <c r="H12" s="21" t="s">
        <v>12</v>
      </c>
      <c r="I12" s="21" t="s">
        <v>18</v>
      </c>
      <c r="J12">
        <v>3</v>
      </c>
    </row>
    <row r="13" spans="1:10" x14ac:dyDescent="0.35">
      <c r="A13" s="21" t="s">
        <v>90</v>
      </c>
      <c r="B13">
        <v>5770</v>
      </c>
      <c r="C13" s="1">
        <v>46064</v>
      </c>
      <c r="D13">
        <v>18923</v>
      </c>
      <c r="E13">
        <v>44942</v>
      </c>
      <c r="F13" s="1">
        <v>36360</v>
      </c>
      <c r="G13" s="21" t="s">
        <v>91</v>
      </c>
      <c r="H13" s="21" t="s">
        <v>12</v>
      </c>
      <c r="I13" s="21" t="s">
        <v>18</v>
      </c>
      <c r="J13">
        <v>2</v>
      </c>
    </row>
    <row r="14" spans="1:10" x14ac:dyDescent="0.35">
      <c r="A14" s="21" t="s">
        <v>130</v>
      </c>
      <c r="B14">
        <v>775</v>
      </c>
      <c r="C14" s="1">
        <v>46107</v>
      </c>
      <c r="D14">
        <v>19433</v>
      </c>
      <c r="E14">
        <v>45787</v>
      </c>
      <c r="F14" s="1">
        <v>46107</v>
      </c>
      <c r="G14" s="21" t="s">
        <v>15</v>
      </c>
      <c r="H14" s="21" t="s">
        <v>12</v>
      </c>
      <c r="I14" s="21" t="s">
        <v>16</v>
      </c>
      <c r="J14">
        <v>3</v>
      </c>
    </row>
    <row r="15" spans="1:10" x14ac:dyDescent="0.35">
      <c r="A15" s="21" t="s">
        <v>92</v>
      </c>
      <c r="B15">
        <v>1905</v>
      </c>
      <c r="C15" s="1">
        <v>46062</v>
      </c>
      <c r="D15">
        <v>18906</v>
      </c>
      <c r="E15">
        <v>44895</v>
      </c>
      <c r="F15" s="1">
        <v>37725</v>
      </c>
      <c r="G15" s="21" t="s">
        <v>17</v>
      </c>
      <c r="H15" s="21" t="s">
        <v>12</v>
      </c>
      <c r="I15" s="21" t="s">
        <v>13</v>
      </c>
      <c r="J15">
        <v>2</v>
      </c>
    </row>
    <row r="16" spans="1:10" x14ac:dyDescent="0.35">
      <c r="A16" s="21" t="s">
        <v>69</v>
      </c>
      <c r="B16">
        <v>775</v>
      </c>
      <c r="C16" s="1">
        <v>46034</v>
      </c>
      <c r="D16">
        <v>18605</v>
      </c>
      <c r="E16">
        <v>44503</v>
      </c>
      <c r="F16" s="1">
        <v>46034</v>
      </c>
      <c r="G16" s="21" t="s">
        <v>15</v>
      </c>
      <c r="H16" s="21" t="s">
        <v>20</v>
      </c>
      <c r="I16" s="21" t="s">
        <v>16</v>
      </c>
      <c r="J16">
        <v>1</v>
      </c>
    </row>
    <row r="17" spans="1:10" x14ac:dyDescent="0.35">
      <c r="A17" s="21" t="s">
        <v>93</v>
      </c>
      <c r="B17">
        <v>9990</v>
      </c>
      <c r="C17" s="1">
        <v>46073</v>
      </c>
      <c r="D17">
        <v>18993</v>
      </c>
      <c r="E17">
        <v>45036</v>
      </c>
      <c r="F17" s="1">
        <v>39983</v>
      </c>
      <c r="G17" s="21" t="s">
        <v>94</v>
      </c>
      <c r="H17" s="21" t="s">
        <v>12</v>
      </c>
      <c r="I17" s="21" t="s">
        <v>18</v>
      </c>
      <c r="J17">
        <v>2</v>
      </c>
    </row>
    <row r="18" spans="1:10" x14ac:dyDescent="0.35">
      <c r="A18" s="21" t="s">
        <v>131</v>
      </c>
      <c r="B18">
        <v>16175</v>
      </c>
      <c r="C18" s="1">
        <v>46108</v>
      </c>
      <c r="D18">
        <v>19452</v>
      </c>
      <c r="E18">
        <v>45818</v>
      </c>
      <c r="F18" s="1">
        <v>40179</v>
      </c>
      <c r="G18" s="21" t="s">
        <v>17</v>
      </c>
      <c r="H18" s="21" t="s">
        <v>12</v>
      </c>
      <c r="I18" s="21" t="s">
        <v>18</v>
      </c>
      <c r="J18">
        <v>3</v>
      </c>
    </row>
    <row r="19" spans="1:10" x14ac:dyDescent="0.35">
      <c r="A19" s="21" t="s">
        <v>70</v>
      </c>
      <c r="B19">
        <v>1545</v>
      </c>
      <c r="C19" s="1">
        <v>46042</v>
      </c>
      <c r="D19">
        <v>18678</v>
      </c>
      <c r="E19">
        <v>44578</v>
      </c>
      <c r="F19" s="1">
        <v>40179</v>
      </c>
      <c r="G19" s="21" t="s">
        <v>11</v>
      </c>
      <c r="H19" s="21" t="s">
        <v>12</v>
      </c>
      <c r="I19" s="21" t="s">
        <v>18</v>
      </c>
      <c r="J19">
        <v>1</v>
      </c>
    </row>
    <row r="20" spans="1:10" x14ac:dyDescent="0.35">
      <c r="A20" s="21" t="s">
        <v>95</v>
      </c>
      <c r="C20" s="1"/>
      <c r="F20" s="1"/>
      <c r="G20" s="21"/>
      <c r="H20" s="21"/>
      <c r="I20" s="21"/>
    </row>
    <row r="21" spans="1:10" x14ac:dyDescent="0.35">
      <c r="A21" s="21" t="s">
        <v>96</v>
      </c>
      <c r="C21" s="1"/>
      <c r="F21" s="1"/>
      <c r="G21" s="21"/>
      <c r="H21" s="21"/>
      <c r="I21" s="21"/>
    </row>
    <row r="22" spans="1:10" x14ac:dyDescent="0.35">
      <c r="A22" s="21" t="s">
        <v>97</v>
      </c>
      <c r="B22">
        <v>7210</v>
      </c>
      <c r="C22" s="1">
        <v>46059</v>
      </c>
      <c r="D22">
        <v>18957</v>
      </c>
      <c r="E22">
        <v>44992</v>
      </c>
      <c r="F22" s="1">
        <v>45168</v>
      </c>
      <c r="G22" s="21" t="s">
        <v>94</v>
      </c>
      <c r="H22" s="21" t="s">
        <v>12</v>
      </c>
      <c r="I22" s="21" t="s">
        <v>18</v>
      </c>
      <c r="J22">
        <v>2</v>
      </c>
    </row>
    <row r="23" spans="1:10" x14ac:dyDescent="0.35">
      <c r="A23" s="21" t="s">
        <v>132</v>
      </c>
      <c r="B23">
        <v>775</v>
      </c>
      <c r="C23" s="1">
        <v>46104</v>
      </c>
      <c r="D23">
        <v>19400</v>
      </c>
      <c r="E23">
        <v>45749</v>
      </c>
      <c r="F23" s="1">
        <v>46104</v>
      </c>
      <c r="G23" s="21" t="s">
        <v>15</v>
      </c>
      <c r="H23" s="21" t="s">
        <v>12</v>
      </c>
      <c r="I23" s="21" t="s">
        <v>16</v>
      </c>
      <c r="J23">
        <v>3</v>
      </c>
    </row>
    <row r="24" spans="1:10" x14ac:dyDescent="0.35">
      <c r="A24" s="21" t="s">
        <v>98</v>
      </c>
      <c r="B24">
        <v>100</v>
      </c>
      <c r="C24" s="1">
        <v>46069</v>
      </c>
      <c r="D24">
        <v>18946</v>
      </c>
      <c r="E24">
        <v>44978</v>
      </c>
      <c r="F24" s="1">
        <v>44959</v>
      </c>
      <c r="G24" s="21" t="s">
        <v>15</v>
      </c>
      <c r="H24" s="21" t="s">
        <v>12</v>
      </c>
      <c r="I24" s="21" t="s">
        <v>99</v>
      </c>
      <c r="J24">
        <v>2</v>
      </c>
    </row>
    <row r="25" spans="1:10" x14ac:dyDescent="0.35">
      <c r="A25" s="21" t="s">
        <v>100</v>
      </c>
      <c r="B25">
        <v>1545</v>
      </c>
      <c r="C25" s="1">
        <v>46062</v>
      </c>
      <c r="D25">
        <v>18914</v>
      </c>
      <c r="E25">
        <v>44907</v>
      </c>
      <c r="F25" s="1">
        <v>41137</v>
      </c>
      <c r="G25" s="21" t="s">
        <v>17</v>
      </c>
      <c r="H25" s="21" t="s">
        <v>101</v>
      </c>
      <c r="I25" s="21" t="s">
        <v>18</v>
      </c>
      <c r="J25">
        <v>2</v>
      </c>
    </row>
    <row r="26" spans="1:10" x14ac:dyDescent="0.35">
      <c r="A26" s="21" t="s">
        <v>71</v>
      </c>
      <c r="B26">
        <v>775</v>
      </c>
      <c r="C26" s="1">
        <v>46053</v>
      </c>
      <c r="D26">
        <v>18840</v>
      </c>
      <c r="E26">
        <v>44813</v>
      </c>
      <c r="F26" s="1">
        <v>44546</v>
      </c>
      <c r="G26" s="21" t="s">
        <v>15</v>
      </c>
      <c r="H26" s="21" t="s">
        <v>15</v>
      </c>
      <c r="I26" s="21" t="s">
        <v>16</v>
      </c>
      <c r="J26">
        <v>1</v>
      </c>
    </row>
    <row r="27" spans="1:10" x14ac:dyDescent="0.35">
      <c r="A27" s="21" t="s">
        <v>72</v>
      </c>
      <c r="B27">
        <v>775</v>
      </c>
      <c r="C27" s="1">
        <v>46052</v>
      </c>
      <c r="D27">
        <v>18833</v>
      </c>
      <c r="E27">
        <v>44806</v>
      </c>
      <c r="F27" s="1">
        <v>46052</v>
      </c>
      <c r="G27" s="21" t="s">
        <v>15</v>
      </c>
      <c r="H27" s="21" t="s">
        <v>12</v>
      </c>
      <c r="I27" s="21" t="s">
        <v>16</v>
      </c>
      <c r="J27">
        <v>1</v>
      </c>
    </row>
    <row r="28" spans="1:10" x14ac:dyDescent="0.35">
      <c r="A28" s="21" t="s">
        <v>133</v>
      </c>
      <c r="B28">
        <v>1905</v>
      </c>
      <c r="C28" s="1">
        <v>46083</v>
      </c>
      <c r="D28">
        <v>19109</v>
      </c>
      <c r="E28">
        <v>45195</v>
      </c>
      <c r="F28" s="1">
        <v>44180</v>
      </c>
      <c r="G28" s="21" t="s">
        <v>0</v>
      </c>
      <c r="H28" s="21" t="s">
        <v>134</v>
      </c>
      <c r="I28" s="21" t="s">
        <v>13</v>
      </c>
      <c r="J28">
        <v>3</v>
      </c>
    </row>
    <row r="29" spans="1:10" x14ac:dyDescent="0.35">
      <c r="A29" s="21" t="s">
        <v>135</v>
      </c>
      <c r="B29">
        <v>775</v>
      </c>
      <c r="C29" s="1">
        <v>46099</v>
      </c>
      <c r="D29">
        <v>19340</v>
      </c>
      <c r="E29">
        <v>45627</v>
      </c>
      <c r="F29" s="1">
        <v>46099</v>
      </c>
      <c r="G29" s="21" t="s">
        <v>15</v>
      </c>
      <c r="H29" s="21" t="s">
        <v>12</v>
      </c>
      <c r="I29" s="21" t="s">
        <v>16</v>
      </c>
      <c r="J29">
        <v>3</v>
      </c>
    </row>
    <row r="30" spans="1:10" x14ac:dyDescent="0.35">
      <c r="A30" s="21" t="s">
        <v>73</v>
      </c>
      <c r="B30">
        <v>38100</v>
      </c>
      <c r="C30" s="1">
        <v>46048</v>
      </c>
      <c r="D30">
        <v>18755</v>
      </c>
      <c r="E30">
        <v>44679</v>
      </c>
      <c r="F30" s="1">
        <v>35925</v>
      </c>
      <c r="G30" s="21" t="s">
        <v>17</v>
      </c>
      <c r="H30" s="21" t="s">
        <v>12</v>
      </c>
      <c r="I30" s="21" t="s">
        <v>21</v>
      </c>
      <c r="J30">
        <v>1</v>
      </c>
    </row>
    <row r="31" spans="1:10" x14ac:dyDescent="0.35">
      <c r="A31" s="21" t="s">
        <v>136</v>
      </c>
      <c r="B31">
        <v>35000</v>
      </c>
      <c r="C31" s="1">
        <v>46090</v>
      </c>
      <c r="D31">
        <v>19242</v>
      </c>
      <c r="E31">
        <v>45430</v>
      </c>
      <c r="F31" s="1">
        <v>42558</v>
      </c>
      <c r="G31" s="21" t="s">
        <v>11</v>
      </c>
      <c r="H31" s="21" t="s">
        <v>12</v>
      </c>
      <c r="I31" s="21" t="s">
        <v>21</v>
      </c>
      <c r="J31">
        <v>3</v>
      </c>
    </row>
    <row r="32" spans="1:10" x14ac:dyDescent="0.35">
      <c r="A32" s="21" t="s">
        <v>24</v>
      </c>
      <c r="B32">
        <v>1905</v>
      </c>
      <c r="C32" s="1">
        <v>46030</v>
      </c>
      <c r="D32">
        <v>18444</v>
      </c>
      <c r="E32">
        <v>44327</v>
      </c>
      <c r="F32" s="1">
        <v>45341</v>
      </c>
      <c r="G32" s="21" t="s">
        <v>17</v>
      </c>
      <c r="H32" s="21" t="s">
        <v>12</v>
      </c>
      <c r="I32" s="21" t="s">
        <v>13</v>
      </c>
      <c r="J32">
        <v>1</v>
      </c>
    </row>
    <row r="33" spans="1:10" x14ac:dyDescent="0.35">
      <c r="A33" s="21" t="s">
        <v>74</v>
      </c>
      <c r="B33">
        <v>775</v>
      </c>
      <c r="C33" s="1">
        <v>46043</v>
      </c>
      <c r="D33">
        <v>18708</v>
      </c>
      <c r="E33">
        <v>44608</v>
      </c>
      <c r="F33" s="1">
        <v>42038</v>
      </c>
      <c r="G33" s="21" t="s">
        <v>17</v>
      </c>
      <c r="H33" s="21" t="s">
        <v>12</v>
      </c>
      <c r="I33" s="21" t="s">
        <v>16</v>
      </c>
      <c r="J33">
        <v>1</v>
      </c>
    </row>
    <row r="34" spans="1:10" x14ac:dyDescent="0.35">
      <c r="A34" s="21" t="s">
        <v>26</v>
      </c>
      <c r="B34">
        <v>9685</v>
      </c>
      <c r="C34" s="1">
        <v>46052</v>
      </c>
      <c r="D34">
        <v>18825</v>
      </c>
      <c r="E34">
        <v>44798</v>
      </c>
      <c r="F34" s="1">
        <v>42144</v>
      </c>
      <c r="G34" s="21" t="s">
        <v>17</v>
      </c>
      <c r="H34" s="21" t="s">
        <v>12</v>
      </c>
      <c r="I34" s="21" t="s">
        <v>18</v>
      </c>
      <c r="J34">
        <v>1</v>
      </c>
    </row>
    <row r="35" spans="1:10" x14ac:dyDescent="0.35">
      <c r="A35" s="21" t="s">
        <v>102</v>
      </c>
      <c r="B35">
        <v>23375</v>
      </c>
      <c r="C35" s="1">
        <v>46055</v>
      </c>
      <c r="D35">
        <v>18851</v>
      </c>
      <c r="E35">
        <v>44823</v>
      </c>
      <c r="F35" s="1">
        <v>41558</v>
      </c>
      <c r="G35" s="21" t="s">
        <v>17</v>
      </c>
      <c r="H35" s="21" t="s">
        <v>103</v>
      </c>
      <c r="I35" s="21" t="s">
        <v>18</v>
      </c>
      <c r="J35">
        <v>2</v>
      </c>
    </row>
    <row r="36" spans="1:10" x14ac:dyDescent="0.35">
      <c r="A36" s="21" t="s">
        <v>104</v>
      </c>
      <c r="B36">
        <v>775</v>
      </c>
      <c r="C36" s="1">
        <v>46080</v>
      </c>
      <c r="D36">
        <v>19083</v>
      </c>
      <c r="E36">
        <v>45165</v>
      </c>
      <c r="F36" s="1">
        <v>46080</v>
      </c>
      <c r="G36" s="21" t="s">
        <v>15</v>
      </c>
      <c r="H36" s="21" t="s">
        <v>12</v>
      </c>
      <c r="I36" s="21" t="s">
        <v>16</v>
      </c>
      <c r="J36">
        <v>2</v>
      </c>
    </row>
    <row r="37" spans="1:10" x14ac:dyDescent="0.35">
      <c r="A37" s="21" t="s">
        <v>137</v>
      </c>
      <c r="B37">
        <v>9685</v>
      </c>
      <c r="C37" s="1">
        <v>46092</v>
      </c>
      <c r="D37">
        <v>19269</v>
      </c>
      <c r="E37">
        <v>45476</v>
      </c>
      <c r="F37" s="1">
        <v>45400</v>
      </c>
      <c r="G37" s="21" t="s">
        <v>17</v>
      </c>
      <c r="H37" s="21" t="s">
        <v>12</v>
      </c>
      <c r="I37" s="21" t="s">
        <v>18</v>
      </c>
      <c r="J37">
        <v>3</v>
      </c>
    </row>
    <row r="38" spans="1:10" x14ac:dyDescent="0.35">
      <c r="A38" s="21" t="s">
        <v>105</v>
      </c>
      <c r="B38">
        <v>1905</v>
      </c>
      <c r="C38" s="1">
        <v>46055</v>
      </c>
      <c r="D38">
        <v>18850</v>
      </c>
      <c r="E38">
        <v>44822</v>
      </c>
      <c r="F38" s="1">
        <v>40067</v>
      </c>
      <c r="G38" s="21" t="s">
        <v>11</v>
      </c>
      <c r="H38" s="21" t="s">
        <v>12</v>
      </c>
      <c r="I38" s="21" t="s">
        <v>13</v>
      </c>
      <c r="J38">
        <v>2</v>
      </c>
    </row>
    <row r="39" spans="1:10" x14ac:dyDescent="0.35">
      <c r="A39" s="21" t="s">
        <v>138</v>
      </c>
      <c r="B39">
        <v>11621</v>
      </c>
      <c r="C39" s="1">
        <v>46084</v>
      </c>
      <c r="D39">
        <v>19122</v>
      </c>
      <c r="E39">
        <v>45218</v>
      </c>
      <c r="F39" s="1">
        <v>39289</v>
      </c>
      <c r="G39" s="21" t="s">
        <v>15</v>
      </c>
      <c r="H39" s="21" t="s">
        <v>139</v>
      </c>
      <c r="I39" s="21" t="s">
        <v>108</v>
      </c>
      <c r="J39">
        <v>3</v>
      </c>
    </row>
    <row r="40" spans="1:10" x14ac:dyDescent="0.35">
      <c r="A40" s="21" t="s">
        <v>140</v>
      </c>
      <c r="B40">
        <v>1463.4</v>
      </c>
      <c r="C40" s="1">
        <v>46112</v>
      </c>
      <c r="D40">
        <v>19509</v>
      </c>
      <c r="E40">
        <v>45910</v>
      </c>
      <c r="F40" s="1">
        <v>37295</v>
      </c>
      <c r="G40" s="21" t="s">
        <v>15</v>
      </c>
      <c r="H40" s="21" t="s">
        <v>141</v>
      </c>
      <c r="I40" s="21" t="s">
        <v>108</v>
      </c>
      <c r="J40">
        <v>3</v>
      </c>
    </row>
    <row r="41" spans="1:10" x14ac:dyDescent="0.35">
      <c r="A41" s="21" t="s">
        <v>142</v>
      </c>
      <c r="B41">
        <v>2562</v>
      </c>
      <c r="C41" s="1">
        <v>46105</v>
      </c>
      <c r="D41">
        <v>19408</v>
      </c>
      <c r="E41">
        <v>45758</v>
      </c>
      <c r="F41" s="1">
        <v>35125</v>
      </c>
      <c r="G41" s="21" t="s">
        <v>15</v>
      </c>
      <c r="H41" s="21" t="s">
        <v>134</v>
      </c>
      <c r="I41" s="21" t="s">
        <v>108</v>
      </c>
      <c r="J41">
        <v>3</v>
      </c>
    </row>
    <row r="42" spans="1:10" x14ac:dyDescent="0.35">
      <c r="A42" s="21" t="s">
        <v>143</v>
      </c>
      <c r="B42">
        <v>1000</v>
      </c>
      <c r="C42" s="1">
        <v>46091</v>
      </c>
      <c r="D42">
        <v>19255</v>
      </c>
      <c r="E42">
        <v>45453</v>
      </c>
      <c r="F42" s="1">
        <v>36676</v>
      </c>
      <c r="G42" s="21" t="s">
        <v>15</v>
      </c>
      <c r="H42" s="21" t="s">
        <v>144</v>
      </c>
      <c r="I42" s="21" t="s">
        <v>108</v>
      </c>
      <c r="J42">
        <v>3</v>
      </c>
    </row>
    <row r="43" spans="1:10" x14ac:dyDescent="0.35">
      <c r="A43" s="21" t="s">
        <v>145</v>
      </c>
      <c r="B43">
        <v>1000</v>
      </c>
      <c r="C43" s="1">
        <v>46107</v>
      </c>
      <c r="D43">
        <v>19440</v>
      </c>
      <c r="E43">
        <v>45795</v>
      </c>
      <c r="F43" s="1">
        <v>37511</v>
      </c>
      <c r="G43" s="21" t="s">
        <v>15</v>
      </c>
      <c r="H43" s="21" t="s">
        <v>146</v>
      </c>
      <c r="I43" s="21" t="s">
        <v>108</v>
      </c>
      <c r="J43">
        <v>3</v>
      </c>
    </row>
    <row r="44" spans="1:10" x14ac:dyDescent="0.35">
      <c r="A44" s="21" t="s">
        <v>147</v>
      </c>
      <c r="B44">
        <v>2016.29</v>
      </c>
      <c r="C44" s="1">
        <v>46108</v>
      </c>
      <c r="D44">
        <v>19480</v>
      </c>
      <c r="E44">
        <v>45872</v>
      </c>
      <c r="F44" s="1">
        <v>37165</v>
      </c>
      <c r="G44" s="21" t="s">
        <v>15</v>
      </c>
      <c r="H44" s="21" t="s">
        <v>148</v>
      </c>
      <c r="I44" s="21" t="s">
        <v>108</v>
      </c>
      <c r="J44">
        <v>3</v>
      </c>
    </row>
    <row r="45" spans="1:10" x14ac:dyDescent="0.35">
      <c r="A45" s="21" t="s">
        <v>106</v>
      </c>
      <c r="B45">
        <v>1000</v>
      </c>
      <c r="C45" s="1">
        <v>46079</v>
      </c>
      <c r="D45">
        <v>19043</v>
      </c>
      <c r="E45">
        <v>45122</v>
      </c>
      <c r="F45" s="1">
        <v>45462</v>
      </c>
      <c r="G45" s="21" t="s">
        <v>15</v>
      </c>
      <c r="H45" s="21" t="s">
        <v>107</v>
      </c>
      <c r="I45" s="21" t="s">
        <v>108</v>
      </c>
      <c r="J45">
        <v>2</v>
      </c>
    </row>
    <row r="46" spans="1:10" x14ac:dyDescent="0.35">
      <c r="A46" s="21" t="s">
        <v>149</v>
      </c>
      <c r="B46">
        <v>8050</v>
      </c>
      <c r="C46" s="1">
        <v>46108</v>
      </c>
      <c r="D46">
        <v>19455</v>
      </c>
      <c r="E46">
        <v>45821</v>
      </c>
      <c r="F46" s="1">
        <v>40092</v>
      </c>
      <c r="G46" s="21" t="s">
        <v>15</v>
      </c>
      <c r="H46" s="21" t="s">
        <v>144</v>
      </c>
      <c r="I46" s="21" t="s">
        <v>108</v>
      </c>
      <c r="J46">
        <v>3</v>
      </c>
    </row>
    <row r="47" spans="1:10" x14ac:dyDescent="0.35">
      <c r="A47" s="21" t="s">
        <v>150</v>
      </c>
      <c r="B47">
        <v>23939.83</v>
      </c>
      <c r="C47" s="1">
        <v>46106</v>
      </c>
      <c r="D47">
        <v>19435</v>
      </c>
      <c r="E47">
        <v>45789</v>
      </c>
      <c r="F47" s="1">
        <v>35278</v>
      </c>
      <c r="G47" s="21" t="s">
        <v>15</v>
      </c>
      <c r="H47" s="21" t="s">
        <v>151</v>
      </c>
      <c r="I47" s="21" t="s">
        <v>108</v>
      </c>
      <c r="J47">
        <v>3</v>
      </c>
    </row>
    <row r="48" spans="1:10" x14ac:dyDescent="0.35">
      <c r="A48" s="21" t="s">
        <v>109</v>
      </c>
      <c r="B48">
        <v>8456.1</v>
      </c>
      <c r="C48" s="1">
        <v>46070</v>
      </c>
      <c r="D48">
        <v>18962</v>
      </c>
      <c r="E48">
        <v>44997</v>
      </c>
      <c r="F48" s="1">
        <v>40283</v>
      </c>
      <c r="G48" s="21" t="s">
        <v>15</v>
      </c>
      <c r="H48" s="21" t="s">
        <v>110</v>
      </c>
      <c r="I48" s="21" t="s">
        <v>108</v>
      </c>
      <c r="J48">
        <v>2</v>
      </c>
    </row>
    <row r="49" spans="1:10" x14ac:dyDescent="0.35">
      <c r="A49" s="21" t="s">
        <v>152</v>
      </c>
      <c r="B49">
        <v>1000</v>
      </c>
      <c r="C49" s="1">
        <v>46091</v>
      </c>
      <c r="D49">
        <v>19253</v>
      </c>
      <c r="E49">
        <v>45451</v>
      </c>
      <c r="F49" s="1">
        <v>45251</v>
      </c>
      <c r="G49" s="21" t="s">
        <v>15</v>
      </c>
      <c r="H49" s="21" t="s">
        <v>153</v>
      </c>
      <c r="I49" s="21" t="s">
        <v>108</v>
      </c>
      <c r="J49">
        <v>3</v>
      </c>
    </row>
    <row r="50" spans="1:10" x14ac:dyDescent="0.35">
      <c r="A50" s="21" t="s">
        <v>154</v>
      </c>
      <c r="B50">
        <v>1215</v>
      </c>
      <c r="C50" s="1">
        <v>46098</v>
      </c>
      <c r="D50">
        <v>19312</v>
      </c>
      <c r="E50">
        <v>45563</v>
      </c>
      <c r="F50" s="1">
        <v>36669</v>
      </c>
      <c r="G50" s="21" t="s">
        <v>15</v>
      </c>
      <c r="H50" s="21" t="s">
        <v>155</v>
      </c>
      <c r="I50" s="21" t="s">
        <v>108</v>
      </c>
      <c r="J50">
        <v>3</v>
      </c>
    </row>
    <row r="51" spans="1:10" x14ac:dyDescent="0.35">
      <c r="A51" s="21" t="s">
        <v>156</v>
      </c>
      <c r="B51">
        <v>9344.16</v>
      </c>
      <c r="C51" s="1">
        <v>46111</v>
      </c>
      <c r="D51">
        <v>19479</v>
      </c>
      <c r="E51">
        <v>45871</v>
      </c>
      <c r="F51" s="1">
        <v>36165</v>
      </c>
      <c r="G51" s="21" t="s">
        <v>15</v>
      </c>
      <c r="H51" s="21" t="s">
        <v>157</v>
      </c>
      <c r="I51" s="21" t="s">
        <v>108</v>
      </c>
      <c r="J51">
        <v>3</v>
      </c>
    </row>
    <row r="52" spans="1:10" x14ac:dyDescent="0.35">
      <c r="A52" s="21" t="s">
        <v>158</v>
      </c>
      <c r="B52">
        <v>5460</v>
      </c>
      <c r="C52" s="1">
        <v>46097</v>
      </c>
      <c r="D52">
        <v>19301</v>
      </c>
      <c r="E52">
        <v>45540</v>
      </c>
      <c r="F52" s="1">
        <v>42830</v>
      </c>
      <c r="G52" s="21" t="s">
        <v>11</v>
      </c>
      <c r="H52" s="21" t="s">
        <v>159</v>
      </c>
      <c r="I52" s="21" t="s">
        <v>18</v>
      </c>
      <c r="J52">
        <v>3</v>
      </c>
    </row>
    <row r="53" spans="1:10" x14ac:dyDescent="0.35">
      <c r="A53" s="21" t="s">
        <v>160</v>
      </c>
      <c r="B53">
        <v>1545</v>
      </c>
      <c r="C53" s="1">
        <v>46106</v>
      </c>
      <c r="D53">
        <v>19422</v>
      </c>
      <c r="E53">
        <v>45776</v>
      </c>
      <c r="F53" s="1">
        <v>46106</v>
      </c>
      <c r="G53" s="21" t="s">
        <v>17</v>
      </c>
      <c r="H53" s="21" t="s">
        <v>12</v>
      </c>
      <c r="I53" s="21" t="s">
        <v>18</v>
      </c>
      <c r="J53">
        <v>3</v>
      </c>
    </row>
    <row r="54" spans="1:10" x14ac:dyDescent="0.35">
      <c r="A54" s="21" t="s">
        <v>161</v>
      </c>
      <c r="B54">
        <v>75</v>
      </c>
      <c r="C54" s="1">
        <v>46094</v>
      </c>
      <c r="D54">
        <v>19292</v>
      </c>
      <c r="E54">
        <v>45526</v>
      </c>
      <c r="F54" s="1">
        <v>46094</v>
      </c>
      <c r="G54" s="21" t="s">
        <v>15</v>
      </c>
      <c r="H54" s="21" t="s">
        <v>12</v>
      </c>
      <c r="I54" s="21" t="s">
        <v>162</v>
      </c>
      <c r="J54">
        <v>3</v>
      </c>
    </row>
    <row r="55" spans="1:10" x14ac:dyDescent="0.35">
      <c r="A55" s="21" t="s">
        <v>111</v>
      </c>
      <c r="B55">
        <v>1545</v>
      </c>
      <c r="C55" s="1">
        <v>46059</v>
      </c>
      <c r="D55">
        <v>18891</v>
      </c>
      <c r="E55">
        <v>44881</v>
      </c>
      <c r="F55" s="1">
        <v>36570</v>
      </c>
      <c r="G55" s="21" t="s">
        <v>11</v>
      </c>
      <c r="H55" s="21" t="s">
        <v>12</v>
      </c>
      <c r="I55" s="21" t="s">
        <v>18</v>
      </c>
      <c r="J55">
        <v>2</v>
      </c>
    </row>
    <row r="56" spans="1:10" x14ac:dyDescent="0.35">
      <c r="A56" s="21" t="s">
        <v>75</v>
      </c>
      <c r="B56">
        <v>23375</v>
      </c>
      <c r="C56" s="1">
        <v>46048</v>
      </c>
      <c r="D56">
        <v>18752</v>
      </c>
      <c r="E56">
        <v>44676</v>
      </c>
      <c r="F56" s="1">
        <v>41256</v>
      </c>
      <c r="G56" s="21" t="s">
        <v>0</v>
      </c>
      <c r="H56" s="21" t="s">
        <v>12</v>
      </c>
      <c r="I56" s="21" t="s">
        <v>18</v>
      </c>
      <c r="J56">
        <v>1</v>
      </c>
    </row>
    <row r="57" spans="1:10" x14ac:dyDescent="0.35">
      <c r="A57" s="21" t="s">
        <v>27</v>
      </c>
      <c r="B57">
        <v>5460</v>
      </c>
      <c r="C57" s="1">
        <v>46037</v>
      </c>
      <c r="D57">
        <v>18650</v>
      </c>
      <c r="E57">
        <v>44548</v>
      </c>
      <c r="F57" s="1">
        <v>39989</v>
      </c>
      <c r="G57" s="21" t="s">
        <v>11</v>
      </c>
      <c r="H57" s="21" t="s">
        <v>12</v>
      </c>
      <c r="I57" s="21" t="s">
        <v>18</v>
      </c>
      <c r="J57">
        <v>1</v>
      </c>
    </row>
    <row r="58" spans="1:10" x14ac:dyDescent="0.35">
      <c r="A58" s="21" t="s">
        <v>163</v>
      </c>
      <c r="B58">
        <v>40000</v>
      </c>
      <c r="C58" s="1">
        <v>46098</v>
      </c>
      <c r="D58">
        <v>19316</v>
      </c>
      <c r="E58">
        <v>45566</v>
      </c>
      <c r="F58" s="1">
        <v>40001</v>
      </c>
      <c r="G58" s="21" t="s">
        <v>17</v>
      </c>
      <c r="H58" s="21" t="s">
        <v>12</v>
      </c>
      <c r="I58" s="21" t="s">
        <v>21</v>
      </c>
      <c r="J58">
        <v>3</v>
      </c>
    </row>
    <row r="59" spans="1:10" x14ac:dyDescent="0.35">
      <c r="A59" s="21" t="s">
        <v>164</v>
      </c>
      <c r="B59">
        <v>5770</v>
      </c>
      <c r="C59" s="1">
        <v>46094</v>
      </c>
      <c r="D59">
        <v>19294</v>
      </c>
      <c r="E59">
        <v>45528</v>
      </c>
      <c r="F59" s="1">
        <v>45765</v>
      </c>
      <c r="G59" s="21" t="s">
        <v>0</v>
      </c>
      <c r="H59" s="21" t="s">
        <v>12</v>
      </c>
      <c r="I59" s="21" t="s">
        <v>18</v>
      </c>
      <c r="J59">
        <v>3</v>
      </c>
    </row>
    <row r="60" spans="1:10" x14ac:dyDescent="0.35">
      <c r="A60" s="21" t="s">
        <v>76</v>
      </c>
      <c r="B60">
        <v>775</v>
      </c>
      <c r="C60" s="1">
        <v>46028</v>
      </c>
      <c r="D60">
        <v>18392</v>
      </c>
      <c r="E60">
        <v>44254</v>
      </c>
      <c r="F60" s="1">
        <v>46028</v>
      </c>
      <c r="G60" s="21" t="s">
        <v>15</v>
      </c>
      <c r="H60" s="21" t="s">
        <v>12</v>
      </c>
      <c r="I60" s="21" t="s">
        <v>16</v>
      </c>
      <c r="J60">
        <v>1</v>
      </c>
    </row>
    <row r="61" spans="1:10" x14ac:dyDescent="0.35">
      <c r="A61" s="21" t="s">
        <v>112</v>
      </c>
      <c r="B61">
        <v>14420</v>
      </c>
      <c r="C61" s="1">
        <v>46055</v>
      </c>
      <c r="D61">
        <v>18849</v>
      </c>
      <c r="E61">
        <v>44821</v>
      </c>
      <c r="F61" s="1">
        <v>37963</v>
      </c>
      <c r="G61" s="21" t="s">
        <v>94</v>
      </c>
      <c r="H61" s="21" t="s">
        <v>12</v>
      </c>
      <c r="I61" s="21" t="s">
        <v>18</v>
      </c>
      <c r="J61">
        <v>2</v>
      </c>
    </row>
    <row r="62" spans="1:10" x14ac:dyDescent="0.35">
      <c r="A62" s="21" t="s">
        <v>165</v>
      </c>
      <c r="B62">
        <v>775</v>
      </c>
      <c r="C62" s="1">
        <v>46085</v>
      </c>
      <c r="D62">
        <v>19136</v>
      </c>
      <c r="E62">
        <v>45235</v>
      </c>
      <c r="F62" s="1">
        <v>43523</v>
      </c>
      <c r="G62" s="21" t="s">
        <v>15</v>
      </c>
      <c r="H62" s="21" t="s">
        <v>12</v>
      </c>
      <c r="I62" s="21" t="s">
        <v>16</v>
      </c>
      <c r="J62">
        <v>3</v>
      </c>
    </row>
    <row r="63" spans="1:10" x14ac:dyDescent="0.35">
      <c r="A63" s="21" t="s">
        <v>113</v>
      </c>
      <c r="B63">
        <v>100</v>
      </c>
      <c r="C63" s="1">
        <v>46064</v>
      </c>
      <c r="D63">
        <v>18927</v>
      </c>
      <c r="E63">
        <v>44951</v>
      </c>
      <c r="F63" s="1">
        <v>35292</v>
      </c>
      <c r="G63" s="21" t="s">
        <v>15</v>
      </c>
      <c r="H63" s="21" t="s">
        <v>12</v>
      </c>
      <c r="I63" s="21" t="s">
        <v>99</v>
      </c>
      <c r="J63">
        <v>2</v>
      </c>
    </row>
    <row r="64" spans="1:10" x14ac:dyDescent="0.35">
      <c r="A64" s="21" t="s">
        <v>22</v>
      </c>
      <c r="B64">
        <v>1545</v>
      </c>
      <c r="C64" s="1">
        <v>46051</v>
      </c>
      <c r="D64">
        <v>18802</v>
      </c>
      <c r="E64">
        <v>44761</v>
      </c>
      <c r="F64" s="1">
        <v>45303</v>
      </c>
      <c r="G64" s="21" t="s">
        <v>17</v>
      </c>
      <c r="H64" s="21" t="s">
        <v>12</v>
      </c>
      <c r="I64" s="21" t="s">
        <v>18</v>
      </c>
      <c r="J64">
        <v>1</v>
      </c>
    </row>
    <row r="65" spans="1:10" x14ac:dyDescent="0.35">
      <c r="A65" s="21" t="s">
        <v>166</v>
      </c>
      <c r="B65">
        <v>775</v>
      </c>
      <c r="C65" s="1">
        <v>46087</v>
      </c>
      <c r="D65">
        <v>19224</v>
      </c>
      <c r="E65">
        <v>45388</v>
      </c>
      <c r="F65" s="1">
        <v>45741</v>
      </c>
      <c r="G65" s="21" t="s">
        <v>15</v>
      </c>
      <c r="H65" s="21" t="s">
        <v>15</v>
      </c>
      <c r="I65" s="21" t="s">
        <v>16</v>
      </c>
      <c r="J65">
        <v>3</v>
      </c>
    </row>
    <row r="66" spans="1:10" x14ac:dyDescent="0.35">
      <c r="A66" s="21" t="s">
        <v>114</v>
      </c>
      <c r="B66">
        <v>16175</v>
      </c>
      <c r="C66" s="1">
        <v>46073</v>
      </c>
      <c r="D66">
        <v>18994</v>
      </c>
      <c r="E66">
        <v>45037</v>
      </c>
      <c r="F66" s="1">
        <v>40205</v>
      </c>
      <c r="G66" s="21" t="s">
        <v>17</v>
      </c>
      <c r="H66" s="21" t="s">
        <v>12</v>
      </c>
      <c r="I66" s="21" t="s">
        <v>18</v>
      </c>
      <c r="J66">
        <v>2</v>
      </c>
    </row>
    <row r="67" spans="1:10" x14ac:dyDescent="0.35">
      <c r="A67" s="21" t="s">
        <v>167</v>
      </c>
      <c r="B67">
        <v>775</v>
      </c>
      <c r="C67" s="1">
        <v>46101</v>
      </c>
      <c r="D67">
        <v>19382</v>
      </c>
      <c r="E67">
        <v>45724</v>
      </c>
      <c r="F67" s="1">
        <v>46101</v>
      </c>
      <c r="G67" s="21" t="s">
        <v>15</v>
      </c>
      <c r="H67" s="21" t="s">
        <v>12</v>
      </c>
      <c r="I67" s="21" t="s">
        <v>16</v>
      </c>
      <c r="J67">
        <v>3</v>
      </c>
    </row>
    <row r="68" spans="1:10" x14ac:dyDescent="0.35">
      <c r="A68" s="21" t="s">
        <v>115</v>
      </c>
      <c r="B68">
        <v>775</v>
      </c>
      <c r="C68" s="1">
        <v>46055</v>
      </c>
      <c r="D68">
        <v>18853</v>
      </c>
      <c r="E68">
        <v>44825</v>
      </c>
      <c r="F68" s="1">
        <v>45344</v>
      </c>
      <c r="G68" s="21" t="s">
        <v>15</v>
      </c>
      <c r="H68" s="21" t="s">
        <v>15</v>
      </c>
      <c r="I68" s="21" t="s">
        <v>16</v>
      </c>
      <c r="J68">
        <v>2</v>
      </c>
    </row>
    <row r="69" spans="1:10" x14ac:dyDescent="0.35">
      <c r="A69" s="21" t="s">
        <v>116</v>
      </c>
      <c r="B69">
        <v>1905</v>
      </c>
      <c r="C69" s="1">
        <v>46070</v>
      </c>
      <c r="D69">
        <v>18958</v>
      </c>
      <c r="E69">
        <v>44993</v>
      </c>
      <c r="F69" s="1">
        <v>43966</v>
      </c>
      <c r="G69" s="21" t="s">
        <v>11</v>
      </c>
      <c r="H69" s="21" t="s">
        <v>12</v>
      </c>
      <c r="I69" s="21" t="s">
        <v>13</v>
      </c>
      <c r="J69">
        <v>2</v>
      </c>
    </row>
    <row r="70" spans="1:10" x14ac:dyDescent="0.35">
      <c r="A70" s="21" t="s">
        <v>63</v>
      </c>
      <c r="B70">
        <v>2370</v>
      </c>
      <c r="C70" s="1">
        <v>46042</v>
      </c>
      <c r="D70">
        <v>18672</v>
      </c>
      <c r="E70">
        <v>44570</v>
      </c>
      <c r="F70" s="1">
        <v>41988</v>
      </c>
      <c r="G70" s="21" t="s">
        <v>17</v>
      </c>
      <c r="H70" s="21" t="s">
        <v>12</v>
      </c>
      <c r="I70" s="21" t="s">
        <v>18</v>
      </c>
      <c r="J70">
        <v>1</v>
      </c>
    </row>
    <row r="71" spans="1:10" x14ac:dyDescent="0.35">
      <c r="A71" s="21" t="s">
        <v>168</v>
      </c>
      <c r="B71">
        <v>1650</v>
      </c>
      <c r="C71" s="1">
        <v>46108</v>
      </c>
      <c r="D71">
        <v>19449</v>
      </c>
      <c r="E71">
        <v>45813</v>
      </c>
      <c r="F71" s="1">
        <v>42459</v>
      </c>
      <c r="G71" s="21" t="s">
        <v>94</v>
      </c>
      <c r="H71" s="21" t="s">
        <v>169</v>
      </c>
      <c r="I71" s="21" t="s">
        <v>18</v>
      </c>
      <c r="J71">
        <v>3</v>
      </c>
    </row>
    <row r="72" spans="1:10" x14ac:dyDescent="0.35">
      <c r="A72" s="21" t="s">
        <v>77</v>
      </c>
      <c r="B72">
        <v>1905</v>
      </c>
      <c r="C72" s="1">
        <v>46044</v>
      </c>
      <c r="D72">
        <v>18717</v>
      </c>
      <c r="E72">
        <v>44617</v>
      </c>
      <c r="F72" s="1">
        <v>43465</v>
      </c>
      <c r="G72" s="21" t="s">
        <v>17</v>
      </c>
      <c r="H72" s="21" t="s">
        <v>12</v>
      </c>
      <c r="I72" s="21" t="s">
        <v>13</v>
      </c>
      <c r="J72">
        <v>1</v>
      </c>
    </row>
    <row r="73" spans="1:10" x14ac:dyDescent="0.35">
      <c r="A73" s="21" t="s">
        <v>170</v>
      </c>
      <c r="B73">
        <v>16500</v>
      </c>
      <c r="C73" s="1">
        <v>46090</v>
      </c>
      <c r="D73">
        <v>19240</v>
      </c>
      <c r="E73">
        <v>45428</v>
      </c>
      <c r="F73" s="1">
        <v>41004</v>
      </c>
      <c r="G73" s="21" t="s">
        <v>11</v>
      </c>
      <c r="H73" s="21" t="s">
        <v>12</v>
      </c>
      <c r="I73" s="21" t="s">
        <v>21</v>
      </c>
      <c r="J73">
        <v>3</v>
      </c>
    </row>
    <row r="74" spans="1:10" x14ac:dyDescent="0.35">
      <c r="A74" s="21" t="s">
        <v>171</v>
      </c>
      <c r="B74">
        <v>1905</v>
      </c>
      <c r="C74" s="1">
        <v>46085</v>
      </c>
      <c r="D74">
        <v>19156</v>
      </c>
      <c r="E74">
        <v>45291</v>
      </c>
      <c r="F74" s="1">
        <v>40721</v>
      </c>
      <c r="G74" s="21" t="s">
        <v>11</v>
      </c>
      <c r="H74" s="21" t="s">
        <v>12</v>
      </c>
      <c r="I74" s="21" t="s">
        <v>13</v>
      </c>
      <c r="J74">
        <v>3</v>
      </c>
    </row>
    <row r="75" spans="1:10" x14ac:dyDescent="0.35">
      <c r="A75" s="21" t="s">
        <v>14</v>
      </c>
      <c r="B75">
        <v>1545</v>
      </c>
      <c r="C75" s="1">
        <v>46037</v>
      </c>
      <c r="D75">
        <v>18652</v>
      </c>
      <c r="E75">
        <v>44550</v>
      </c>
      <c r="F75" s="1">
        <v>38720</v>
      </c>
      <c r="G75" s="21" t="s">
        <v>11</v>
      </c>
      <c r="H75" s="21" t="s">
        <v>12</v>
      </c>
      <c r="I75" s="21" t="s">
        <v>18</v>
      </c>
      <c r="J75">
        <v>1</v>
      </c>
    </row>
    <row r="76" spans="1:10" x14ac:dyDescent="0.35">
      <c r="A76" s="21" t="s">
        <v>172</v>
      </c>
      <c r="B76">
        <v>5460</v>
      </c>
      <c r="C76" s="1">
        <v>46090</v>
      </c>
      <c r="D76">
        <v>19245</v>
      </c>
      <c r="E76">
        <v>45433</v>
      </c>
      <c r="F76" s="1">
        <v>45069</v>
      </c>
      <c r="G76" s="21" t="s">
        <v>11</v>
      </c>
      <c r="H76" s="21" t="s">
        <v>12</v>
      </c>
      <c r="I76" s="21" t="s">
        <v>18</v>
      </c>
      <c r="J76">
        <v>3</v>
      </c>
    </row>
    <row r="77" spans="1:10" x14ac:dyDescent="0.35">
      <c r="A77" s="21" t="s">
        <v>56</v>
      </c>
      <c r="B77">
        <v>2990</v>
      </c>
      <c r="C77" s="1">
        <v>46045</v>
      </c>
      <c r="D77">
        <v>18722</v>
      </c>
      <c r="E77">
        <v>44622</v>
      </c>
      <c r="F77" s="1">
        <v>45682</v>
      </c>
      <c r="G77" s="21" t="s">
        <v>17</v>
      </c>
      <c r="H77" s="21" t="s">
        <v>12</v>
      </c>
      <c r="I77" s="21" t="s">
        <v>13</v>
      </c>
      <c r="J77">
        <v>1</v>
      </c>
    </row>
    <row r="78" spans="1:10" x14ac:dyDescent="0.35">
      <c r="A78" s="21" t="s">
        <v>173</v>
      </c>
      <c r="B78">
        <v>18025</v>
      </c>
      <c r="C78" s="1">
        <v>46106</v>
      </c>
      <c r="D78">
        <v>19426</v>
      </c>
      <c r="E78">
        <v>45780</v>
      </c>
      <c r="F78" s="1">
        <v>43936</v>
      </c>
      <c r="G78" s="21" t="s">
        <v>94</v>
      </c>
      <c r="H78" s="21" t="s">
        <v>12</v>
      </c>
      <c r="I78" s="21" t="s">
        <v>13</v>
      </c>
      <c r="J78">
        <v>3</v>
      </c>
    </row>
    <row r="79" spans="1:10" x14ac:dyDescent="0.35">
      <c r="A79" s="21" t="s">
        <v>174</v>
      </c>
      <c r="B79">
        <v>36050</v>
      </c>
      <c r="C79" s="1">
        <v>46106</v>
      </c>
      <c r="D79">
        <v>19421</v>
      </c>
      <c r="E79">
        <v>45775</v>
      </c>
      <c r="F79" s="1">
        <v>40441</v>
      </c>
      <c r="G79" s="21" t="s">
        <v>11</v>
      </c>
      <c r="H79" s="21" t="s">
        <v>12</v>
      </c>
      <c r="I79" s="21" t="s">
        <v>21</v>
      </c>
      <c r="J79">
        <v>3</v>
      </c>
    </row>
    <row r="80" spans="1:10" x14ac:dyDescent="0.35">
      <c r="A80" s="21" t="s">
        <v>78</v>
      </c>
      <c r="B80">
        <v>2990</v>
      </c>
      <c r="C80" s="1">
        <v>46031</v>
      </c>
      <c r="D80">
        <v>18479</v>
      </c>
      <c r="E80">
        <v>44361</v>
      </c>
      <c r="F80" s="1">
        <v>44209</v>
      </c>
      <c r="G80" s="21" t="s">
        <v>17</v>
      </c>
      <c r="H80" s="21" t="s">
        <v>12</v>
      </c>
      <c r="I80" s="21" t="s">
        <v>13</v>
      </c>
      <c r="J80">
        <v>1</v>
      </c>
    </row>
    <row r="81" spans="1:10" x14ac:dyDescent="0.35">
      <c r="A81" s="21" t="s">
        <v>67</v>
      </c>
      <c r="B81">
        <v>108.79</v>
      </c>
      <c r="C81" s="1">
        <v>46031</v>
      </c>
      <c r="D81">
        <v>18507</v>
      </c>
      <c r="E81">
        <v>44390</v>
      </c>
      <c r="F81" s="1">
        <v>45777</v>
      </c>
      <c r="G81" s="21" t="s">
        <v>17</v>
      </c>
      <c r="H81" s="21" t="s">
        <v>12</v>
      </c>
      <c r="I81" s="21" t="s">
        <v>13</v>
      </c>
      <c r="J81">
        <v>1</v>
      </c>
    </row>
    <row r="82" spans="1:10" x14ac:dyDescent="0.35">
      <c r="A82" s="21" t="s">
        <v>67</v>
      </c>
      <c r="B82">
        <v>460.04</v>
      </c>
      <c r="C82" s="1">
        <v>46031</v>
      </c>
      <c r="D82">
        <v>18491</v>
      </c>
      <c r="E82">
        <v>44373</v>
      </c>
      <c r="F82" s="1">
        <v>45777</v>
      </c>
      <c r="G82" s="21" t="s">
        <v>17</v>
      </c>
      <c r="H82" s="21" t="s">
        <v>12</v>
      </c>
      <c r="I82" s="21" t="s">
        <v>18</v>
      </c>
      <c r="J82">
        <v>1</v>
      </c>
    </row>
    <row r="83" spans="1:10" x14ac:dyDescent="0.35">
      <c r="A83" s="21" t="s">
        <v>175</v>
      </c>
      <c r="B83">
        <v>23375</v>
      </c>
      <c r="C83" s="1">
        <v>46101</v>
      </c>
      <c r="D83">
        <v>19374</v>
      </c>
      <c r="E83">
        <v>45692</v>
      </c>
      <c r="F83" s="1">
        <v>40718</v>
      </c>
      <c r="G83" s="21" t="s">
        <v>17</v>
      </c>
      <c r="H83" s="21" t="s">
        <v>12</v>
      </c>
      <c r="I83" s="21" t="s">
        <v>18</v>
      </c>
      <c r="J83">
        <v>3</v>
      </c>
    </row>
    <row r="84" spans="1:10" x14ac:dyDescent="0.35">
      <c r="A84" s="21" t="s">
        <v>19</v>
      </c>
      <c r="B84">
        <v>1545</v>
      </c>
      <c r="C84" s="1">
        <v>46027</v>
      </c>
      <c r="D84">
        <v>18359</v>
      </c>
      <c r="E84">
        <v>44215</v>
      </c>
      <c r="F84" s="1">
        <v>40225</v>
      </c>
      <c r="G84" s="21" t="s">
        <v>0</v>
      </c>
      <c r="H84" s="21" t="s">
        <v>12</v>
      </c>
      <c r="I84" s="21" t="s">
        <v>18</v>
      </c>
      <c r="J84">
        <v>1</v>
      </c>
    </row>
    <row r="85" spans="1:10" x14ac:dyDescent="0.35">
      <c r="A85" s="21" t="s">
        <v>117</v>
      </c>
      <c r="B85">
        <v>21630</v>
      </c>
      <c r="C85" s="1">
        <v>46062</v>
      </c>
      <c r="D85">
        <v>18908</v>
      </c>
      <c r="E85">
        <v>44897</v>
      </c>
      <c r="F85" s="1">
        <v>42304</v>
      </c>
      <c r="G85" s="21" t="s">
        <v>17</v>
      </c>
      <c r="H85" s="21" t="s">
        <v>12</v>
      </c>
      <c r="I85" s="21" t="s">
        <v>21</v>
      </c>
      <c r="J85">
        <v>2</v>
      </c>
    </row>
    <row r="86" spans="1:10" x14ac:dyDescent="0.35">
      <c r="A86" s="21" t="s">
        <v>176</v>
      </c>
      <c r="B86">
        <v>2370</v>
      </c>
      <c r="C86" s="1">
        <v>46108</v>
      </c>
      <c r="D86">
        <v>19461</v>
      </c>
      <c r="E86">
        <v>45835</v>
      </c>
      <c r="F86" s="1">
        <v>38708</v>
      </c>
      <c r="G86" s="21" t="s">
        <v>17</v>
      </c>
      <c r="H86" s="21" t="s">
        <v>12</v>
      </c>
      <c r="I86" s="21" t="s">
        <v>18</v>
      </c>
      <c r="J86">
        <v>3</v>
      </c>
    </row>
    <row r="87" spans="1:10" x14ac:dyDescent="0.35">
      <c r="A87" s="21" t="s">
        <v>118</v>
      </c>
      <c r="B87">
        <v>2160</v>
      </c>
      <c r="C87" s="1">
        <v>46071</v>
      </c>
      <c r="D87">
        <v>18975</v>
      </c>
      <c r="E87">
        <v>45010</v>
      </c>
      <c r="F87" s="1">
        <v>36032</v>
      </c>
      <c r="G87" s="21" t="s">
        <v>94</v>
      </c>
      <c r="H87" s="21" t="s">
        <v>12</v>
      </c>
      <c r="I87" s="21" t="s">
        <v>13</v>
      </c>
      <c r="J87">
        <v>2</v>
      </c>
    </row>
    <row r="88" spans="1:10" x14ac:dyDescent="0.35">
      <c r="A88" s="21" t="s">
        <v>177</v>
      </c>
      <c r="B88">
        <v>1620</v>
      </c>
      <c r="C88" s="1">
        <v>46102</v>
      </c>
      <c r="D88">
        <v>19394</v>
      </c>
      <c r="E88">
        <v>45737</v>
      </c>
      <c r="F88" s="1">
        <v>45168</v>
      </c>
      <c r="G88" s="21" t="s">
        <v>17</v>
      </c>
      <c r="H88" s="21" t="s">
        <v>12</v>
      </c>
      <c r="I88" s="21" t="s">
        <v>18</v>
      </c>
      <c r="J88">
        <v>3</v>
      </c>
    </row>
    <row r="89" spans="1:10" x14ac:dyDescent="0.35">
      <c r="A89" s="21" t="s">
        <v>178</v>
      </c>
      <c r="B89">
        <v>775</v>
      </c>
      <c r="C89" s="1">
        <v>46087</v>
      </c>
      <c r="D89">
        <v>19198</v>
      </c>
      <c r="E89">
        <v>45356</v>
      </c>
      <c r="F89" s="1">
        <v>44629</v>
      </c>
      <c r="G89" s="21" t="s">
        <v>15</v>
      </c>
      <c r="H89" s="21" t="s">
        <v>12</v>
      </c>
      <c r="I89" s="21" t="s">
        <v>16</v>
      </c>
      <c r="J89">
        <v>3</v>
      </c>
    </row>
    <row r="90" spans="1:10" x14ac:dyDescent="0.35">
      <c r="A90" s="21" t="s">
        <v>119</v>
      </c>
      <c r="B90">
        <v>23375</v>
      </c>
      <c r="C90" s="1">
        <v>46066</v>
      </c>
      <c r="D90">
        <v>18940</v>
      </c>
      <c r="E90">
        <v>44972</v>
      </c>
      <c r="F90" s="1">
        <v>41302</v>
      </c>
      <c r="G90" s="21" t="s">
        <v>17</v>
      </c>
      <c r="H90" s="21" t="s">
        <v>120</v>
      </c>
      <c r="I90" s="21" t="s">
        <v>18</v>
      </c>
      <c r="J90">
        <v>2</v>
      </c>
    </row>
    <row r="91" spans="1:10" x14ac:dyDescent="0.35">
      <c r="A91" s="21" t="s">
        <v>79</v>
      </c>
      <c r="B91">
        <v>775</v>
      </c>
      <c r="C91" s="1">
        <v>46034</v>
      </c>
      <c r="D91">
        <v>18585</v>
      </c>
      <c r="E91">
        <v>44482</v>
      </c>
      <c r="F91" s="1">
        <v>46034</v>
      </c>
      <c r="G91" s="21" t="s">
        <v>15</v>
      </c>
      <c r="H91" s="21" t="s">
        <v>12</v>
      </c>
      <c r="I91" s="21" t="s">
        <v>16</v>
      </c>
      <c r="J91">
        <v>1</v>
      </c>
    </row>
    <row r="92" spans="1:10" x14ac:dyDescent="0.35">
      <c r="A92" s="21" t="s">
        <v>121</v>
      </c>
      <c r="B92">
        <v>775</v>
      </c>
      <c r="C92" s="1">
        <v>46070</v>
      </c>
      <c r="D92">
        <v>18965</v>
      </c>
      <c r="E92">
        <v>45000</v>
      </c>
      <c r="F92" s="1">
        <v>45013</v>
      </c>
      <c r="G92" s="21" t="s">
        <v>15</v>
      </c>
      <c r="H92" s="21" t="s">
        <v>12</v>
      </c>
      <c r="I92" s="21" t="s">
        <v>16</v>
      </c>
      <c r="J92">
        <v>2</v>
      </c>
    </row>
    <row r="93" spans="1:10" x14ac:dyDescent="0.35">
      <c r="A93" s="21" t="s">
        <v>23</v>
      </c>
      <c r="B93">
        <v>1545</v>
      </c>
      <c r="C93" s="1">
        <v>46035</v>
      </c>
      <c r="D93">
        <v>18620</v>
      </c>
      <c r="E93">
        <v>44519</v>
      </c>
      <c r="F93" s="1">
        <v>41317</v>
      </c>
      <c r="G93" s="21" t="s">
        <v>11</v>
      </c>
      <c r="H93" s="21" t="s">
        <v>12</v>
      </c>
      <c r="I93" s="21" t="s">
        <v>18</v>
      </c>
      <c r="J93">
        <v>1</v>
      </c>
    </row>
    <row r="94" spans="1:10" x14ac:dyDescent="0.35">
      <c r="A94" s="21" t="s">
        <v>57</v>
      </c>
      <c r="B94">
        <v>775</v>
      </c>
      <c r="C94" s="1">
        <v>46043</v>
      </c>
      <c r="D94">
        <v>18695</v>
      </c>
      <c r="E94">
        <v>44595</v>
      </c>
      <c r="F94" s="1">
        <v>45681</v>
      </c>
      <c r="G94" s="21" t="s">
        <v>15</v>
      </c>
      <c r="H94" s="21" t="s">
        <v>15</v>
      </c>
      <c r="I94" s="21" t="s">
        <v>16</v>
      </c>
      <c r="J94">
        <v>1</v>
      </c>
    </row>
    <row r="95" spans="1:10" x14ac:dyDescent="0.35">
      <c r="A95" s="21" t="s">
        <v>80</v>
      </c>
      <c r="B95">
        <v>1545</v>
      </c>
      <c r="C95" s="1">
        <v>46029</v>
      </c>
      <c r="D95">
        <v>18421</v>
      </c>
      <c r="E95">
        <v>44301</v>
      </c>
      <c r="F95" s="1">
        <v>46029</v>
      </c>
      <c r="G95" s="21" t="s">
        <v>17</v>
      </c>
      <c r="H95" s="21" t="s">
        <v>12</v>
      </c>
      <c r="I95" s="21" t="s">
        <v>18</v>
      </c>
      <c r="J95">
        <v>1</v>
      </c>
    </row>
    <row r="96" spans="1:10" x14ac:dyDescent="0.35">
      <c r="A96" s="21" t="s">
        <v>81</v>
      </c>
      <c r="B96">
        <v>775</v>
      </c>
      <c r="C96" s="1">
        <v>46029</v>
      </c>
      <c r="D96">
        <v>18418</v>
      </c>
      <c r="E96">
        <v>44298</v>
      </c>
      <c r="F96" s="1">
        <v>45050</v>
      </c>
      <c r="G96" s="21" t="s">
        <v>15</v>
      </c>
      <c r="H96" s="21" t="s">
        <v>12</v>
      </c>
      <c r="I96" s="21" t="s">
        <v>16</v>
      </c>
      <c r="J96">
        <v>1</v>
      </c>
    </row>
    <row r="97" spans="1:10" x14ac:dyDescent="0.35">
      <c r="A97" s="21" t="s">
        <v>82</v>
      </c>
      <c r="B97">
        <v>775</v>
      </c>
      <c r="C97" s="1">
        <v>46055</v>
      </c>
      <c r="D97">
        <v>18845</v>
      </c>
      <c r="E97">
        <v>44817</v>
      </c>
      <c r="F97" s="1">
        <v>46055</v>
      </c>
      <c r="G97" s="21" t="s">
        <v>15</v>
      </c>
      <c r="H97" s="21" t="s">
        <v>12</v>
      </c>
      <c r="I97" s="21" t="s">
        <v>16</v>
      </c>
      <c r="J97">
        <v>2</v>
      </c>
    </row>
    <row r="98" spans="1:10" x14ac:dyDescent="0.35">
      <c r="A98" s="21" t="s">
        <v>122</v>
      </c>
      <c r="B98">
        <v>775</v>
      </c>
      <c r="C98" s="1">
        <v>46056</v>
      </c>
      <c r="D98">
        <v>18862</v>
      </c>
      <c r="E98">
        <v>44835</v>
      </c>
      <c r="F98" s="1">
        <v>46056</v>
      </c>
      <c r="G98" s="21" t="s">
        <v>15</v>
      </c>
      <c r="H98" s="21" t="s">
        <v>12</v>
      </c>
      <c r="I98" s="21" t="s">
        <v>16</v>
      </c>
      <c r="J98">
        <v>2</v>
      </c>
    </row>
    <row r="99" spans="1:10" x14ac:dyDescent="0.35">
      <c r="A99" s="21" t="s">
        <v>123</v>
      </c>
      <c r="B99">
        <v>1545</v>
      </c>
      <c r="C99" s="1">
        <v>46069</v>
      </c>
      <c r="D99">
        <v>18947</v>
      </c>
      <c r="E99">
        <v>44979</v>
      </c>
      <c r="F99" s="1">
        <v>44538</v>
      </c>
      <c r="G99" s="21" t="s">
        <v>17</v>
      </c>
      <c r="H99" s="21" t="s">
        <v>12</v>
      </c>
      <c r="I99" s="21" t="s">
        <v>18</v>
      </c>
      <c r="J99">
        <v>2</v>
      </c>
    </row>
    <row r="100" spans="1:10" x14ac:dyDescent="0.35">
      <c r="A100" s="21" t="s">
        <v>124</v>
      </c>
      <c r="B100">
        <v>23375</v>
      </c>
      <c r="C100" s="1">
        <v>46080</v>
      </c>
      <c r="D100">
        <v>19076</v>
      </c>
      <c r="E100">
        <v>45158</v>
      </c>
      <c r="F100" s="1">
        <v>37602</v>
      </c>
      <c r="G100" s="21" t="s">
        <v>17</v>
      </c>
      <c r="H100" s="21" t="s">
        <v>12</v>
      </c>
      <c r="I100" s="21" t="s">
        <v>18</v>
      </c>
      <c r="J100">
        <v>2</v>
      </c>
    </row>
    <row r="101" spans="1:10" x14ac:dyDescent="0.35">
      <c r="A101" s="21" t="s">
        <v>25</v>
      </c>
      <c r="B101">
        <v>2680</v>
      </c>
      <c r="C101" s="1">
        <v>46038</v>
      </c>
      <c r="D101">
        <v>18656</v>
      </c>
      <c r="E101">
        <v>44554</v>
      </c>
      <c r="F101" s="1">
        <v>36985</v>
      </c>
      <c r="G101" s="21" t="s">
        <v>11</v>
      </c>
      <c r="H101" s="21" t="s">
        <v>12</v>
      </c>
      <c r="I101" s="21" t="s">
        <v>18</v>
      </c>
      <c r="J101">
        <v>1</v>
      </c>
    </row>
    <row r="102" spans="1:10" x14ac:dyDescent="0.35">
      <c r="A102" s="21" t="s">
        <v>58</v>
      </c>
      <c r="B102">
        <v>1545</v>
      </c>
      <c r="C102" s="1">
        <v>46042</v>
      </c>
      <c r="D102">
        <v>18683</v>
      </c>
      <c r="E102">
        <v>44583</v>
      </c>
      <c r="F102" s="1">
        <v>45679</v>
      </c>
      <c r="G102" s="21" t="s">
        <v>17</v>
      </c>
      <c r="H102" s="21" t="s">
        <v>12</v>
      </c>
      <c r="I102" s="21" t="s">
        <v>18</v>
      </c>
      <c r="J102">
        <v>1</v>
      </c>
    </row>
    <row r="103" spans="1:10" x14ac:dyDescent="0.35">
      <c r="A103" s="21" t="s">
        <v>83</v>
      </c>
      <c r="B103">
        <v>775</v>
      </c>
      <c r="C103" s="1">
        <v>46050</v>
      </c>
      <c r="D103">
        <v>18774</v>
      </c>
      <c r="E103">
        <v>44713</v>
      </c>
      <c r="F103" s="1">
        <v>46050</v>
      </c>
      <c r="G103" s="21" t="s">
        <v>15</v>
      </c>
      <c r="H103" s="21" t="s">
        <v>68</v>
      </c>
      <c r="I103" s="21" t="s">
        <v>16</v>
      </c>
      <c r="J103">
        <v>1</v>
      </c>
    </row>
    <row r="104" spans="1:10" x14ac:dyDescent="0.35">
      <c r="A104" s="21" t="s">
        <v>179</v>
      </c>
      <c r="B104">
        <v>1545</v>
      </c>
      <c r="C104" s="1">
        <v>46087</v>
      </c>
      <c r="D104">
        <v>19227</v>
      </c>
      <c r="E104">
        <v>45392</v>
      </c>
      <c r="F104" s="1">
        <v>40051</v>
      </c>
      <c r="G104" s="21" t="s">
        <v>11</v>
      </c>
      <c r="H104" s="21" t="s">
        <v>12</v>
      </c>
      <c r="I104" s="21" t="s">
        <v>18</v>
      </c>
      <c r="J104">
        <v>3</v>
      </c>
    </row>
    <row r="105" spans="1:10" x14ac:dyDescent="0.35">
      <c r="A105" s="21" t="s">
        <v>180</v>
      </c>
      <c r="B105">
        <v>1905</v>
      </c>
      <c r="C105" s="1">
        <v>46111</v>
      </c>
      <c r="D105">
        <v>19477</v>
      </c>
      <c r="E105">
        <v>45869</v>
      </c>
      <c r="F105" s="1">
        <v>40630</v>
      </c>
      <c r="G105" s="21" t="s">
        <v>11</v>
      </c>
      <c r="H105" s="21" t="s">
        <v>12</v>
      </c>
      <c r="I105" s="21" t="s">
        <v>13</v>
      </c>
      <c r="J105">
        <v>3</v>
      </c>
    </row>
    <row r="106" spans="1:10" x14ac:dyDescent="0.35">
      <c r="A106" s="21" t="s">
        <v>181</v>
      </c>
      <c r="B106">
        <v>1905</v>
      </c>
      <c r="C106" s="1">
        <v>46090</v>
      </c>
      <c r="D106">
        <v>19241</v>
      </c>
      <c r="E106">
        <v>45429</v>
      </c>
      <c r="F106" s="1">
        <v>44718</v>
      </c>
      <c r="G106" s="21" t="s">
        <v>11</v>
      </c>
      <c r="H106" s="21" t="s">
        <v>12</v>
      </c>
      <c r="I106" s="21" t="s">
        <v>13</v>
      </c>
      <c r="J106">
        <v>3</v>
      </c>
    </row>
    <row r="107" spans="1:10" x14ac:dyDescent="0.35">
      <c r="A107" s="21" t="s">
        <v>182</v>
      </c>
      <c r="B107">
        <v>775</v>
      </c>
      <c r="C107" s="1">
        <v>46105</v>
      </c>
      <c r="D107">
        <v>19406</v>
      </c>
      <c r="E107">
        <v>45756</v>
      </c>
      <c r="F107" s="1">
        <v>44577</v>
      </c>
      <c r="G107" s="21" t="s">
        <v>15</v>
      </c>
      <c r="H107" s="21" t="s">
        <v>12</v>
      </c>
      <c r="I107" s="21" t="s">
        <v>16</v>
      </c>
      <c r="J107">
        <v>3</v>
      </c>
    </row>
    <row r="108" spans="1:10" x14ac:dyDescent="0.35">
      <c r="A108" s="21" t="s">
        <v>125</v>
      </c>
      <c r="B108">
        <v>1905</v>
      </c>
      <c r="C108" s="1">
        <v>46069</v>
      </c>
      <c r="D108">
        <v>18949</v>
      </c>
      <c r="E108">
        <v>44981</v>
      </c>
      <c r="F108" s="1">
        <v>44095</v>
      </c>
      <c r="G108" s="21" t="s">
        <v>11</v>
      </c>
      <c r="H108" s="21" t="s">
        <v>12</v>
      </c>
      <c r="I108" s="21" t="s">
        <v>13</v>
      </c>
      <c r="J108">
        <v>2</v>
      </c>
    </row>
    <row r="109" spans="1:10" x14ac:dyDescent="0.35">
      <c r="A109" s="21" t="s">
        <v>183</v>
      </c>
      <c r="B109">
        <v>1650</v>
      </c>
      <c r="C109" s="1">
        <v>46112</v>
      </c>
      <c r="D109">
        <v>19507</v>
      </c>
      <c r="E109">
        <v>45907</v>
      </c>
      <c r="F109" s="1">
        <v>37351</v>
      </c>
      <c r="G109" s="21" t="s">
        <v>94</v>
      </c>
      <c r="H109" s="21" t="s">
        <v>12</v>
      </c>
      <c r="I109" s="21" t="s">
        <v>18</v>
      </c>
      <c r="J109">
        <v>3</v>
      </c>
    </row>
    <row r="110" spans="1:10" x14ac:dyDescent="0.35">
      <c r="A110" s="21" t="s">
        <v>184</v>
      </c>
      <c r="B110">
        <v>7570</v>
      </c>
      <c r="C110" s="1">
        <v>46112</v>
      </c>
      <c r="D110">
        <v>19505</v>
      </c>
      <c r="E110">
        <v>45905</v>
      </c>
      <c r="F110" s="1">
        <v>38867</v>
      </c>
      <c r="G110" s="21" t="s">
        <v>94</v>
      </c>
      <c r="H110" s="21" t="s">
        <v>12</v>
      </c>
      <c r="I110" s="21" t="s">
        <v>18</v>
      </c>
      <c r="J110">
        <v>3</v>
      </c>
    </row>
    <row r="111" spans="1:10" x14ac:dyDescent="0.35">
      <c r="A111" s="21" t="s">
        <v>84</v>
      </c>
      <c r="B111">
        <v>2680</v>
      </c>
      <c r="C111" s="1">
        <v>46038</v>
      </c>
      <c r="D111">
        <v>18660</v>
      </c>
      <c r="E111">
        <v>44559</v>
      </c>
      <c r="F111" s="1">
        <v>40897</v>
      </c>
      <c r="G111" s="21" t="s">
        <v>11</v>
      </c>
      <c r="H111" s="21" t="s">
        <v>12</v>
      </c>
      <c r="I111" s="21" t="s">
        <v>18</v>
      </c>
      <c r="J111">
        <v>1</v>
      </c>
    </row>
    <row r="112" spans="1:10" x14ac:dyDescent="0.35">
      <c r="A112" s="21" t="s">
        <v>185</v>
      </c>
      <c r="B112">
        <v>775</v>
      </c>
      <c r="C112" s="1">
        <v>46100</v>
      </c>
      <c r="D112">
        <v>19359</v>
      </c>
      <c r="E112">
        <v>45652</v>
      </c>
      <c r="F112" s="1">
        <v>46100</v>
      </c>
      <c r="G112" s="21" t="s">
        <v>15</v>
      </c>
      <c r="H112" s="21" t="s">
        <v>12</v>
      </c>
      <c r="I112" s="21" t="s">
        <v>16</v>
      </c>
      <c r="J112">
        <v>3</v>
      </c>
    </row>
    <row r="113" spans="1:10" x14ac:dyDescent="0.35">
      <c r="A113" s="21" t="s">
        <v>186</v>
      </c>
      <c r="B113">
        <v>5770</v>
      </c>
      <c r="C113" s="1">
        <v>46108</v>
      </c>
      <c r="D113">
        <v>19453</v>
      </c>
      <c r="E113">
        <v>45819</v>
      </c>
      <c r="F113" s="1">
        <v>37630</v>
      </c>
      <c r="G113" s="21" t="s">
        <v>91</v>
      </c>
      <c r="H113" s="21" t="s">
        <v>12</v>
      </c>
      <c r="I113" s="21" t="s">
        <v>18</v>
      </c>
      <c r="J113">
        <v>3</v>
      </c>
    </row>
    <row r="114" spans="1:10" x14ac:dyDescent="0.35">
      <c r="A114" s="21" t="s">
        <v>187</v>
      </c>
      <c r="B114">
        <v>1545</v>
      </c>
      <c r="C114" s="1">
        <v>46107</v>
      </c>
      <c r="D114">
        <v>19437</v>
      </c>
      <c r="E114">
        <v>45792</v>
      </c>
      <c r="F114" s="1">
        <v>41389</v>
      </c>
      <c r="G114" s="21" t="s">
        <v>0</v>
      </c>
      <c r="H114" s="21" t="s">
        <v>12</v>
      </c>
      <c r="I114" s="21" t="s">
        <v>18</v>
      </c>
      <c r="J114">
        <v>3</v>
      </c>
    </row>
    <row r="115" spans="1:10" x14ac:dyDescent="0.35">
      <c r="A115" s="21" t="s">
        <v>85</v>
      </c>
      <c r="B115">
        <v>2680</v>
      </c>
      <c r="C115" s="1">
        <v>46052</v>
      </c>
      <c r="D115">
        <v>18826</v>
      </c>
      <c r="E115">
        <v>44799</v>
      </c>
      <c r="F115" s="1">
        <v>42942</v>
      </c>
      <c r="G115" s="21" t="s">
        <v>11</v>
      </c>
      <c r="H115" s="21" t="s">
        <v>12</v>
      </c>
      <c r="I115" s="21" t="s">
        <v>18</v>
      </c>
      <c r="J115">
        <v>1</v>
      </c>
    </row>
    <row r="116" spans="1:10" x14ac:dyDescent="0.35">
      <c r="A116" s="21" t="s">
        <v>188</v>
      </c>
      <c r="B116">
        <v>1545</v>
      </c>
      <c r="C116" s="1">
        <v>46105</v>
      </c>
      <c r="D116">
        <v>19413</v>
      </c>
      <c r="E116">
        <v>45764</v>
      </c>
      <c r="F116" s="1">
        <v>40522</v>
      </c>
      <c r="G116" s="21" t="s">
        <v>11</v>
      </c>
      <c r="H116" s="21" t="s">
        <v>12</v>
      </c>
      <c r="I116" s="21" t="s">
        <v>18</v>
      </c>
      <c r="J116">
        <v>3</v>
      </c>
    </row>
    <row r="117" spans="1:10" x14ac:dyDescent="0.35">
      <c r="A117" s="21" t="s">
        <v>189</v>
      </c>
      <c r="B117">
        <v>775</v>
      </c>
      <c r="C117" s="1">
        <v>46111</v>
      </c>
      <c r="D117">
        <v>19470</v>
      </c>
      <c r="E117">
        <v>45856</v>
      </c>
      <c r="F117" s="1">
        <v>43922</v>
      </c>
      <c r="G117" s="21" t="s">
        <v>15</v>
      </c>
      <c r="H117" s="21" t="s">
        <v>12</v>
      </c>
      <c r="I117" s="21" t="s">
        <v>16</v>
      </c>
      <c r="J117">
        <v>3</v>
      </c>
    </row>
    <row r="118" spans="1:10" x14ac:dyDescent="0.35">
      <c r="A118" s="21" t="s">
        <v>190</v>
      </c>
      <c r="B118">
        <v>10170</v>
      </c>
      <c r="C118" s="1">
        <v>46101</v>
      </c>
      <c r="D118">
        <v>19377</v>
      </c>
      <c r="E118">
        <v>45703</v>
      </c>
      <c r="F118" s="1">
        <v>43347</v>
      </c>
      <c r="G118" s="21" t="s">
        <v>17</v>
      </c>
      <c r="H118" s="21" t="s">
        <v>12</v>
      </c>
      <c r="I118" s="21" t="s">
        <v>18</v>
      </c>
      <c r="J118">
        <v>3</v>
      </c>
    </row>
    <row r="119" spans="1:10" x14ac:dyDescent="0.35">
      <c r="A119" s="21" t="s">
        <v>191</v>
      </c>
      <c r="B119">
        <v>1545</v>
      </c>
      <c r="C119" s="1">
        <v>46101</v>
      </c>
      <c r="D119">
        <v>19372</v>
      </c>
      <c r="E119">
        <v>45683</v>
      </c>
      <c r="F119" s="1">
        <v>45415</v>
      </c>
      <c r="G119" s="21" t="s">
        <v>17</v>
      </c>
      <c r="H119" s="21" t="s">
        <v>12</v>
      </c>
      <c r="I119" s="21" t="s">
        <v>18</v>
      </c>
      <c r="J119">
        <v>3</v>
      </c>
    </row>
    <row r="120" spans="1:10" x14ac:dyDescent="0.35">
      <c r="A120" s="21" t="s">
        <v>192</v>
      </c>
      <c r="B120">
        <v>2370</v>
      </c>
      <c r="C120" s="1">
        <v>46100</v>
      </c>
      <c r="D120">
        <v>19365</v>
      </c>
      <c r="E120">
        <v>45676</v>
      </c>
      <c r="F120" s="1">
        <v>46100</v>
      </c>
      <c r="G120" s="21" t="s">
        <v>17</v>
      </c>
      <c r="H120" s="21" t="s">
        <v>12</v>
      </c>
      <c r="I120" s="21" t="s">
        <v>18</v>
      </c>
      <c r="J120">
        <v>3</v>
      </c>
    </row>
    <row r="121" spans="1:10" x14ac:dyDescent="0.35">
      <c r="A121" s="21" t="s">
        <v>193</v>
      </c>
      <c r="B121">
        <v>2990</v>
      </c>
      <c r="C121" s="1">
        <v>46087</v>
      </c>
      <c r="D121">
        <v>19228</v>
      </c>
      <c r="E121">
        <v>45393</v>
      </c>
      <c r="F121" s="1">
        <v>45775</v>
      </c>
      <c r="G121" s="21" t="s">
        <v>17</v>
      </c>
      <c r="H121" s="21" t="s">
        <v>12</v>
      </c>
      <c r="I121" s="21" t="s">
        <v>13</v>
      </c>
      <c r="J121">
        <v>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7BCA-9A13-40CC-9758-01914F9C1864}">
  <dimension ref="A1:E24"/>
  <sheetViews>
    <sheetView zoomScale="104" zoomScaleNormal="104" workbookViewId="0">
      <selection activeCell="H21" sqref="H21"/>
    </sheetView>
  </sheetViews>
  <sheetFormatPr defaultRowHeight="14.5" x14ac:dyDescent="0.35"/>
  <cols>
    <col min="2" max="2" width="11.90625" bestFit="1" customWidth="1"/>
    <col min="4" max="4" width="12.453125" bestFit="1" customWidth="1"/>
    <col min="5" max="5" width="11" bestFit="1" customWidth="1"/>
    <col min="6" max="6" width="9.7265625" bestFit="1" customWidth="1"/>
    <col min="14" max="14" width="12.453125" bestFit="1" customWidth="1"/>
    <col min="15" max="15" width="11" bestFit="1" customWidth="1"/>
  </cols>
  <sheetData>
    <row r="1" spans="1:5" x14ac:dyDescent="0.35">
      <c r="A1" t="s">
        <v>59</v>
      </c>
      <c r="B1" t="s">
        <v>60</v>
      </c>
    </row>
    <row r="2" spans="1:5" x14ac:dyDescent="0.35">
      <c r="A2" s="15">
        <v>0.1</v>
      </c>
      <c r="B2" s="16">
        <v>281453.33</v>
      </c>
      <c r="D2" s="2" t="s">
        <v>29</v>
      </c>
      <c r="E2" t="s">
        <v>61</v>
      </c>
    </row>
    <row r="3" spans="1:5" x14ac:dyDescent="0.35">
      <c r="A3" s="17">
        <v>0.2</v>
      </c>
      <c r="B3" s="18">
        <v>281453.33</v>
      </c>
      <c r="D3" s="19">
        <v>0.1</v>
      </c>
      <c r="E3">
        <v>1</v>
      </c>
    </row>
    <row r="4" spans="1:5" x14ac:dyDescent="0.35">
      <c r="A4" s="15">
        <v>0.3</v>
      </c>
      <c r="B4" s="16">
        <v>281453.33</v>
      </c>
      <c r="D4" s="19">
        <v>0.2</v>
      </c>
      <c r="E4">
        <v>1</v>
      </c>
    </row>
    <row r="5" spans="1:5" x14ac:dyDescent="0.35">
      <c r="A5" s="17">
        <v>0.4</v>
      </c>
      <c r="B5" s="18">
        <v>281453.33</v>
      </c>
      <c r="D5" s="19">
        <v>0.3</v>
      </c>
      <c r="E5">
        <v>1</v>
      </c>
    </row>
    <row r="6" spans="1:5" x14ac:dyDescent="0.35">
      <c r="A6" s="15">
        <v>0.5</v>
      </c>
      <c r="B6" s="16">
        <v>281453.33</v>
      </c>
      <c r="D6" s="19">
        <v>0.4</v>
      </c>
      <c r="E6">
        <v>1</v>
      </c>
    </row>
    <row r="7" spans="1:5" x14ac:dyDescent="0.35">
      <c r="A7" s="17">
        <v>0.6</v>
      </c>
      <c r="B7" s="18">
        <v>281453.33</v>
      </c>
      <c r="D7" s="19">
        <v>0.5</v>
      </c>
      <c r="E7">
        <v>1</v>
      </c>
    </row>
    <row r="8" spans="1:5" x14ac:dyDescent="0.35">
      <c r="A8" s="15">
        <v>0.7</v>
      </c>
      <c r="B8" s="16">
        <v>281453.33</v>
      </c>
      <c r="D8" s="19">
        <v>0.6</v>
      </c>
      <c r="E8">
        <v>1</v>
      </c>
    </row>
    <row r="9" spans="1:5" x14ac:dyDescent="0.35">
      <c r="A9" s="17">
        <v>0.8</v>
      </c>
      <c r="B9" s="18">
        <v>281453.33</v>
      </c>
      <c r="D9" s="19">
        <v>0.7</v>
      </c>
      <c r="E9">
        <v>1</v>
      </c>
    </row>
    <row r="10" spans="1:5" x14ac:dyDescent="0.35">
      <c r="A10" s="15">
        <v>0.9</v>
      </c>
      <c r="B10" s="16">
        <v>281453.33</v>
      </c>
      <c r="D10" s="19">
        <v>0.8</v>
      </c>
      <c r="E10">
        <v>1</v>
      </c>
    </row>
    <row r="11" spans="1:5" x14ac:dyDescent="0.35">
      <c r="A11" s="17">
        <v>1</v>
      </c>
      <c r="B11" s="18">
        <v>281453.33</v>
      </c>
      <c r="D11" s="19">
        <v>0.9</v>
      </c>
      <c r="E11">
        <v>1</v>
      </c>
    </row>
    <row r="12" spans="1:5" x14ac:dyDescent="0.35">
      <c r="A12" s="20">
        <v>1.1000000000000001</v>
      </c>
      <c r="B12" s="13">
        <v>281453.33</v>
      </c>
      <c r="D12" s="19">
        <v>1</v>
      </c>
      <c r="E12">
        <v>1</v>
      </c>
    </row>
    <row r="13" spans="1:5" x14ac:dyDescent="0.35">
      <c r="A13" s="17">
        <v>1.2</v>
      </c>
      <c r="B13" s="14">
        <v>0</v>
      </c>
      <c r="D13" s="19">
        <v>1.1000000000000001</v>
      </c>
      <c r="E13">
        <v>1</v>
      </c>
    </row>
    <row r="14" spans="1:5" x14ac:dyDescent="0.35">
      <c r="A14" s="15">
        <v>1.3</v>
      </c>
      <c r="B14" s="13">
        <v>0</v>
      </c>
      <c r="D14" s="19">
        <v>1.2</v>
      </c>
      <c r="E14">
        <v>1</v>
      </c>
    </row>
    <row r="15" spans="1:5" x14ac:dyDescent="0.35">
      <c r="A15" s="17">
        <v>1.4</v>
      </c>
      <c r="B15" s="14">
        <v>0</v>
      </c>
      <c r="D15" s="19">
        <v>1.3</v>
      </c>
      <c r="E15">
        <v>1</v>
      </c>
    </row>
    <row r="16" spans="1:5" x14ac:dyDescent="0.35">
      <c r="A16" s="15">
        <v>1.5</v>
      </c>
      <c r="B16" s="13">
        <v>0</v>
      </c>
      <c r="D16" s="19">
        <v>1.4</v>
      </c>
      <c r="E16">
        <v>1</v>
      </c>
    </row>
    <row r="17" spans="1:5" x14ac:dyDescent="0.35">
      <c r="A17" s="17">
        <v>1.6</v>
      </c>
      <c r="B17" s="14">
        <v>0</v>
      </c>
      <c r="D17" s="19">
        <v>1.5</v>
      </c>
      <c r="E17">
        <v>1</v>
      </c>
    </row>
    <row r="18" spans="1:5" x14ac:dyDescent="0.35">
      <c r="A18" s="15">
        <v>1.7</v>
      </c>
      <c r="B18" s="13">
        <v>0</v>
      </c>
      <c r="D18" s="19">
        <v>1.6</v>
      </c>
      <c r="E18">
        <v>1</v>
      </c>
    </row>
    <row r="19" spans="1:5" x14ac:dyDescent="0.35">
      <c r="A19" s="17">
        <v>1.8</v>
      </c>
      <c r="B19" s="14">
        <v>0</v>
      </c>
      <c r="D19" s="19">
        <v>1.7</v>
      </c>
      <c r="E19">
        <v>1</v>
      </c>
    </row>
    <row r="20" spans="1:5" x14ac:dyDescent="0.35">
      <c r="A20" s="15">
        <v>1.9</v>
      </c>
      <c r="B20" s="13">
        <v>0</v>
      </c>
      <c r="D20" s="19">
        <v>1.8</v>
      </c>
      <c r="E20">
        <v>1</v>
      </c>
    </row>
    <row r="21" spans="1:5" x14ac:dyDescent="0.35">
      <c r="A21" s="17">
        <v>2</v>
      </c>
      <c r="B21" s="14">
        <v>0</v>
      </c>
      <c r="D21" s="19">
        <v>1.9</v>
      </c>
      <c r="E21">
        <v>1</v>
      </c>
    </row>
    <row r="22" spans="1:5" x14ac:dyDescent="0.35">
      <c r="A22" s="15"/>
      <c r="B22" s="13"/>
      <c r="D22" s="19">
        <v>2</v>
      </c>
      <c r="E22">
        <v>1</v>
      </c>
    </row>
    <row r="23" spans="1:5" x14ac:dyDescent="0.35">
      <c r="A23" s="17"/>
      <c r="B23" s="14"/>
      <c r="D23" s="19" t="s">
        <v>30</v>
      </c>
      <c r="E23">
        <v>20</v>
      </c>
    </row>
    <row r="24" spans="1:5" x14ac:dyDescent="0.35">
      <c r="A24" s="15"/>
      <c r="B24" s="13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DB25C0-B303-4182-AB4A-C49C1F6375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Revenue Breakdown</vt:lpstr>
      <vt:lpstr>Org Revenues</vt:lpstr>
      <vt:lpstr>Orgs</vt:lpstr>
      <vt:lpstr>Ind Revenues</vt:lpstr>
      <vt:lpstr>Individual</vt:lpstr>
      <vt:lpstr>Affiliate</vt:lpstr>
      <vt:lpstr>Yrs of Membership</vt:lpstr>
      <vt:lpstr>Accounts with Mem and Receipts</vt:lpstr>
      <vt:lpstr>draft_mem_goal_work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Laakso</dc:creator>
  <cp:lastModifiedBy>Lynn Laakso</cp:lastModifiedBy>
  <dcterms:created xsi:type="dcterms:W3CDTF">2025-01-07T16:26:24Z</dcterms:created>
  <dcterms:modified xsi:type="dcterms:W3CDTF">2026-04-01T13:40:03Z</dcterms:modified>
</cp:coreProperties>
</file>