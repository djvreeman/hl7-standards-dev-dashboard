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F:\HL7_local\AMG_HL7 Admin\BOD_ELT\Reports\"/>
    </mc:Choice>
  </mc:AlternateContent>
  <xr:revisionPtr revIDLastSave="0" documentId="13_ncr:1_{084FA15E-85BC-4A2E-9672-3AA8F7FB64AF}" xr6:coauthVersionLast="47" xr6:coauthVersionMax="47" xr10:uidLastSave="{00000000-0000-0000-0000-000000000000}"/>
  <bookViews>
    <workbookView xWindow="35850" yWindow="-15330" windowWidth="22350" windowHeight="13970" tabRatio="827" xr2:uid="{2577D811-753B-4FA0-84AD-1CD14E9EE5AA}"/>
  </bookViews>
  <sheets>
    <sheet name="Dashboard" sheetId="9" r:id="rId1"/>
    <sheet name="Revenue Breakdown" sheetId="8" r:id="rId2"/>
    <sheet name="Org Revenues" sheetId="4" r:id="rId3"/>
    <sheet name="Orgs" sheetId="3" r:id="rId4"/>
    <sheet name="Ind Revenues" sheetId="6" r:id="rId5"/>
    <sheet name="Individual" sheetId="5" r:id="rId6"/>
    <sheet name="Affiliate" sheetId="1" r:id="rId7"/>
    <sheet name="Yrs of Membership" sheetId="7" r:id="rId8"/>
    <sheet name="Accounts with Mem and Receipts" sheetId="2" r:id="rId9"/>
    <sheet name="draft_mem_goal_work" sheetId="10" r:id="rId10"/>
  </sheets>
  <definedNames>
    <definedName name="_xlcn.WorksheetConnection_Book3Accounts_with_Mem_and_Receipts1" hidden="1">Accounts_with_Mem_and_Receipts[]</definedName>
    <definedName name="_xlcn.WorksheetConnection_Book3Processed1" hidden="1">Orgs[]</definedName>
    <definedName name="ExternalData_1" localSheetId="8" hidden="1">'Accounts with Mem and Receipts'!$A$1:$J$178</definedName>
    <definedName name="ExternalData_2" localSheetId="5" hidden="1">Individual!$A$1:$J$43</definedName>
    <definedName name="ExternalData_2" localSheetId="3" hidden="1">Orgs!$A$1:$J$104</definedName>
    <definedName name="ExternalData_2" localSheetId="7" hidden="1">'Yrs of Membership'!$A$1:$K$174</definedName>
  </definedNames>
  <calcPr calcId="191029"/>
  <pivotCaches>
    <pivotCache cacheId="0" r:id="rId11"/>
    <pivotCache cacheId="1" r:id="rId12"/>
    <pivotCache cacheId="2" r:id="rId13"/>
    <pivotCache cacheId="7" r:id="rId14"/>
    <pivotCache cacheId="14" r:id="rId15"/>
    <pivotCache cacheId="24" r:id="rId16"/>
    <pivotCache cacheId="33" r:id="rId17"/>
    <pivotCache cacheId="36" r:id="rId18"/>
    <pivotCache cacheId="39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cessed" name="Processed" connection="WorksheetConnection_Book3!Processed"/>
          <x15:modelTable id="Accounts_with_Mem_and_Receipts" name="Accounts_with_Mem_and_Receipts" connection="WorksheetConnection_Book3!Accounts_with_Mem_and_Receip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C17" i="6"/>
  <c r="C42" i="8" l="1"/>
  <c r="C12" i="8"/>
  <c r="B13" i="8"/>
  <c r="C13" i="8" s="1"/>
  <c r="C10" i="8"/>
  <c r="M6" i="4"/>
  <c r="M4" i="4"/>
  <c r="M5" i="4"/>
  <c r="G6" i="8"/>
  <c r="C27" i="6"/>
  <c r="C16" i="6"/>
  <c r="G5" i="8"/>
  <c r="H3" i="1"/>
  <c r="G4" i="8"/>
  <c r="G3" i="1"/>
  <c r="G7" i="8" l="1"/>
  <c r="C40" i="8" l="1"/>
  <c r="E12" i="8" s="1"/>
  <c r="B44" i="8" s="1"/>
  <c r="L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AD32-2AE1-4E86-A3FA-94689DB7CBB2}" keepAlive="1" name="Query - Accounts with Mem and Receipts" description="Connection to the 'Accounts with Mem and Receipts' query in the workbook." type="5" refreshedVersion="8" background="1" saveData="1">
    <dbPr connection="Provider=Microsoft.Mashup.OleDb.1;Data Source=$Workbook$;Location=&quot;Accounts with Mem and Receipts&quot;;Extended Properties=&quot;&quot;" command="SELECT * FROM [Accounts with Mem and Receipts]"/>
  </connection>
  <connection id="2" xr16:uid="{4C52203D-CAD3-4297-AF4D-643B6A893EA9}" keepAlive="1" name="Query - Individual" description="Connection to the 'Individual' query in the workbook." type="5" refreshedVersion="8" background="1" saveData="1">
    <dbPr connection="Provider=Microsoft.Mashup.OleDb.1;Data Source=$Workbook$;Location=Individual;Extended Properties=&quot;&quot;" command="SELECT * FROM [Individual]"/>
  </connection>
  <connection id="3" xr16:uid="{D5657D22-4D71-43F9-9766-80FF84A91FDC}" keepAlive="1" name="Query - Orgs" description="Connection to the 'Orgs' query in the workbook." type="5" refreshedVersion="8" background="1" saveData="1">
    <dbPr connection="Provider=Microsoft.Mashup.OleDb.1;Data Source=$Workbook$;Location=Orgs;Extended Properties=&quot;&quot;" command="SELECT * FROM [Orgs]"/>
  </connection>
  <connection id="4" xr16:uid="{F4A0CC5D-BBBE-4485-9B9D-7876596F651C}" keepAlive="1" name="Query - Yrs of Membership" description="Connection to the 'Yrs of Membership' query in the workbook." type="5" refreshedVersion="8" background="1" saveData="1">
    <dbPr connection="Provider=Microsoft.Mashup.OleDb.1;Data Source=$Workbook$;Location=&quot;Yrs of Membership&quot;;Extended Properties=&quot;&quot;" command="SELECT * FROM [Yrs of Membership]"/>
  </connection>
  <connection id="5" xr16:uid="{0575F60C-7A6E-453E-9783-DEE28CE6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7EF7F71-5D8D-40EE-95AA-152C27CAEC4A}" name="WorksheetConnection_Book3!Accounts_with_Mem_and_Receipts" type="102" refreshedVersion="8" minRefreshableVersion="5">
    <extLst>
      <ext xmlns:x15="http://schemas.microsoft.com/office/spreadsheetml/2010/11/main" uri="{DE250136-89BD-433C-8126-D09CA5730AF9}">
        <x15:connection id="Accounts_with_Mem_and_Receipts" autoDelete="1">
          <x15:rangePr sourceName="_xlcn.WorksheetConnection_Book3Accounts_with_Mem_and_Receipts1"/>
        </x15:connection>
      </ext>
    </extLst>
  </connection>
  <connection id="7" xr16:uid="{62A3069C-71CB-4E3A-B510-B612F1DB83A1}" name="WorksheetConnection_Book3!Processed" type="102" refreshedVersion="8" minRefreshableVersion="5">
    <extLst>
      <ext xmlns:x15="http://schemas.microsoft.com/office/spreadsheetml/2010/11/main" uri="{DE250136-89BD-433C-8126-D09CA5730AF9}">
        <x15:connection id="Processed" autoDelete="1">
          <x15:rangePr sourceName="_xlcn.WorksheetConnection_Book3Processed1"/>
        </x15:connection>
      </ext>
    </extLst>
  </connection>
</connections>
</file>

<file path=xl/sharedStrings.xml><?xml version="1.0" encoding="utf-8"?>
<sst xmlns="http://schemas.openxmlformats.org/spreadsheetml/2006/main" count="2277" uniqueCount="266">
  <si>
    <t>Consultant</t>
  </si>
  <si>
    <t>Account Name</t>
  </si>
  <si>
    <t>Total</t>
  </si>
  <si>
    <t>Posted Date</t>
  </si>
  <si>
    <t>Receipt Number</t>
  </si>
  <si>
    <t>Receipt Line ID</t>
  </si>
  <si>
    <t>Member Since</t>
  </si>
  <si>
    <t>Account Category</t>
  </si>
  <si>
    <t>Billing Country</t>
  </si>
  <si>
    <t>Item Name</t>
  </si>
  <si>
    <t>Paid_Month</t>
  </si>
  <si>
    <t>Government/Professional Associations/Academic Institution</t>
  </si>
  <si>
    <t>United States</t>
  </si>
  <si>
    <t>Gold Membership</t>
  </si>
  <si>
    <t>National Association of Dental Plans</t>
  </si>
  <si>
    <t/>
  </si>
  <si>
    <t>Individual Membership</t>
  </si>
  <si>
    <t>Supplier/Vendor</t>
  </si>
  <si>
    <t>Organizational Membership</t>
  </si>
  <si>
    <t>Professional Laboratory Management, Inc.</t>
  </si>
  <si>
    <t>Australia</t>
  </si>
  <si>
    <t>Benefactor Membership</t>
  </si>
  <si>
    <t>KlearTrust</t>
  </si>
  <si>
    <t>SLI Compliance</t>
  </si>
  <si>
    <t>Firely USA</t>
  </si>
  <si>
    <t>Tennessee Department of Health</t>
  </si>
  <si>
    <t>Flatiron Health</t>
  </si>
  <si>
    <t>Indian Health Service</t>
  </si>
  <si>
    <t>Beata Piehl Household</t>
  </si>
  <si>
    <t>Row Labels</t>
  </si>
  <si>
    <t>Grand Total</t>
  </si>
  <si>
    <t>Sum of Total</t>
  </si>
  <si>
    <t>Years Member</t>
  </si>
  <si>
    <t>1 Year</t>
  </si>
  <si>
    <t>Over 15 Years</t>
  </si>
  <si>
    <t>6 to 10 Years</t>
  </si>
  <si>
    <t>11 to 15 Years</t>
  </si>
  <si>
    <t>2 to 5 Years</t>
  </si>
  <si>
    <t>Count of Years Member</t>
  </si>
  <si>
    <t>BY MONTH</t>
  </si>
  <si>
    <t>Membership Class</t>
  </si>
  <si>
    <t>Affiliate Memberships</t>
  </si>
  <si>
    <t>Individual Memberships</t>
  </si>
  <si>
    <t>Organizational Memberships</t>
  </si>
  <si>
    <t>By Interest Type</t>
  </si>
  <si>
    <t>Data</t>
  </si>
  <si>
    <t>Pivot Table</t>
  </si>
  <si>
    <t>Labels</t>
  </si>
  <si>
    <t>Values</t>
  </si>
  <si>
    <t>Value</t>
  </si>
  <si>
    <t>Pointer</t>
  </si>
  <si>
    <t>Thickness</t>
  </si>
  <si>
    <t>Rest</t>
  </si>
  <si>
    <t xml:space="preserve">Goal: </t>
  </si>
  <si>
    <t>Count of Item Name</t>
  </si>
  <si>
    <t>Bellese Technologies</t>
  </si>
  <si>
    <t>New Fields Technologies LLC</t>
  </si>
  <si>
    <t>Sam Schifman Household</t>
  </si>
  <si>
    <t>Tetra Fields LLC</t>
  </si>
  <si>
    <t>pct</t>
  </si>
  <si>
    <t>total</t>
  </si>
  <si>
    <t>Count of pct</t>
  </si>
  <si>
    <t>Column1</t>
  </si>
  <si>
    <t>MedicaSoft</t>
  </si>
  <si>
    <t>Apelon, Inc.</t>
  </si>
  <si>
    <t>Feb</t>
  </si>
  <si>
    <t>Column Labels</t>
  </si>
  <si>
    <t>Patient Centric Solutions</t>
  </si>
  <si>
    <t>Japan</t>
  </si>
  <si>
    <t>CSIRO</t>
  </si>
  <si>
    <t>College of American Pathologists</t>
  </si>
  <si>
    <t>Dennis Loucks Household</t>
  </si>
  <si>
    <t>Donald Kurtz Household</t>
  </si>
  <si>
    <t>Epic</t>
  </si>
  <si>
    <t>First Databank</t>
  </si>
  <si>
    <t>ICF</t>
  </si>
  <si>
    <t>John Moehrke Household</t>
  </si>
  <si>
    <t>MyDirectives</t>
  </si>
  <si>
    <t>Onyx Technology LLC</t>
  </si>
  <si>
    <t>Ryan Lee Household</t>
  </si>
  <si>
    <t>SandwYch, Inc.</t>
  </si>
  <si>
    <t>Sandy Vance Household</t>
  </si>
  <si>
    <t>Srinivasan Parthasarathy Household</t>
  </si>
  <si>
    <t>Toshiaki Kato Household</t>
  </si>
  <si>
    <t>Virginia Department of Health</t>
  </si>
  <si>
    <t>West Virginia Departments of Human Services, Health and Health Facilities</t>
  </si>
  <si>
    <t>2026 Dues Total</t>
  </si>
  <si>
    <t>Acre Security</t>
  </si>
  <si>
    <t>American Dental Association</t>
  </si>
  <si>
    <t>Becton Dickinson</t>
  </si>
  <si>
    <t>Blue Cross Blue Shield Association</t>
  </si>
  <si>
    <t>Payer</t>
  </si>
  <si>
    <t>CAL2CAL Corporation</t>
  </si>
  <si>
    <t>Children's Hospital of Philadelphia</t>
  </si>
  <si>
    <t>Provider</t>
  </si>
  <si>
    <t>Confidential Information - Do Not Distribute</t>
  </si>
  <si>
    <t>Copyright © 2000-2026 salesforce.com, inc. All rights reserved.</t>
  </si>
  <si>
    <t>CyncHealth</t>
  </si>
  <si>
    <t>Daniel Ries Household</t>
  </si>
  <si>
    <t>Retiree Membership</t>
  </si>
  <si>
    <t>Dataware Sdn Bhd</t>
  </si>
  <si>
    <t>Malaysia</t>
  </si>
  <si>
    <t>Fresenius Vial</t>
  </si>
  <si>
    <t>France</t>
  </si>
  <si>
    <t>Glen Rigby Household</t>
  </si>
  <si>
    <t>HIMSS</t>
  </si>
  <si>
    <t>HL7 Ecuador</t>
  </si>
  <si>
    <t>Ecuador</t>
  </si>
  <si>
    <t>Affiliate Membership</t>
  </si>
  <si>
    <t>HL7 Norway</t>
  </si>
  <si>
    <t>Norway</t>
  </si>
  <si>
    <t>ICCBBA, Inc.</t>
  </si>
  <si>
    <t>Johns Hopkins Hospital</t>
  </si>
  <si>
    <t>Ken McCaslin Household</t>
  </si>
  <si>
    <t>MEDENT</t>
  </si>
  <si>
    <t>Mark Marciante Household</t>
  </si>
  <si>
    <t>Massachusetts Health Data Consortium</t>
  </si>
  <si>
    <t>Ready Computing LLC</t>
  </si>
  <si>
    <t>Regenstrief Institute, Inc.</t>
  </si>
  <si>
    <t>Roche Diagnostics International Ltd.</t>
  </si>
  <si>
    <t>Switzerland</t>
  </si>
  <si>
    <t>Ryan Weihler Household</t>
  </si>
  <si>
    <t>Stan Rankins Household</t>
  </si>
  <si>
    <t>Stedi</t>
  </si>
  <si>
    <t>Surescripts</t>
  </si>
  <si>
    <t>Univ of TX Health Science Center San Antonio</t>
  </si>
  <si>
    <t>(blank)</t>
  </si>
  <si>
    <t>ARUP Laboratories, Inc.</t>
  </si>
  <si>
    <t>American Medical Association</t>
  </si>
  <si>
    <t>Benedictine Health System</t>
  </si>
  <si>
    <t>Brandon Noffsinger Household</t>
  </si>
  <si>
    <t>Clinicomp, Intl</t>
  </si>
  <si>
    <t>DUANE VEACH Household</t>
  </si>
  <si>
    <t>Duteau Design Inc</t>
  </si>
  <si>
    <t>Canada</t>
  </si>
  <si>
    <t>Eli Streitmatter Household</t>
  </si>
  <si>
    <t>Federal Electronic Health Record Modernization Office</t>
  </si>
  <si>
    <t>Global Alliant Inc</t>
  </si>
  <si>
    <t>HL7 Austria</t>
  </si>
  <si>
    <t>Austria</t>
  </si>
  <si>
    <t>HL7 Brazil</t>
  </si>
  <si>
    <t>Brazil</t>
  </si>
  <si>
    <t>HL7 Canada</t>
  </si>
  <si>
    <t>HL7 China</t>
  </si>
  <si>
    <t>China</t>
  </si>
  <si>
    <t>HL7 Croatia</t>
  </si>
  <si>
    <t>Croatia</t>
  </si>
  <si>
    <t>HL7 Czech Republic</t>
  </si>
  <si>
    <t>Czech Republic</t>
  </si>
  <si>
    <t>HL7 Hong Kong</t>
  </si>
  <si>
    <t>HL7 Netherlands</t>
  </si>
  <si>
    <t>Netherlands</t>
  </si>
  <si>
    <t>HL7 Slovakia</t>
  </si>
  <si>
    <t>Slovakia</t>
  </si>
  <si>
    <t>HL7 Taiwan</t>
  </si>
  <si>
    <t>Taiwan</t>
  </si>
  <si>
    <t>HL7 UK</t>
  </si>
  <si>
    <t>United Kingdom</t>
  </si>
  <si>
    <t>Health and Welfare Information Systems Centre</t>
  </si>
  <si>
    <t>Estonia</t>
  </si>
  <si>
    <t>Helios Software</t>
  </si>
  <si>
    <t>Hung Vo Household</t>
  </si>
  <si>
    <t>Student Membership</t>
  </si>
  <si>
    <t>InterSystems</t>
  </si>
  <si>
    <t>Intrepid Ascent</t>
  </si>
  <si>
    <t>Jonathan Whitby Household</t>
  </si>
  <si>
    <t>Lisa Nelson Household</t>
  </si>
  <si>
    <t>Marc Albers Household</t>
  </si>
  <si>
    <t>Mediclinic Southern Africa</t>
  </si>
  <si>
    <t>South Africa</t>
  </si>
  <si>
    <t>NCQA</t>
  </si>
  <si>
    <t>NYC Department of Health and Mental Hygiene</t>
  </si>
  <si>
    <t>Nava</t>
  </si>
  <si>
    <t>Northwestern Medicine</t>
  </si>
  <si>
    <t>Office of the National Coordinator for Health IT</t>
  </si>
  <si>
    <t>Premier Healthcare Alliance</t>
  </si>
  <si>
    <t>Reed Technology and Information Services Inc.</t>
  </si>
  <si>
    <t>RevDoc, LLC</t>
  </si>
  <si>
    <t>Robert Campbell Household</t>
  </si>
  <si>
    <t>UHIN</t>
  </si>
  <si>
    <t>UNC School of Medicine</t>
  </si>
  <si>
    <t>USAging</t>
  </si>
  <si>
    <t>USC/CHLA</t>
  </si>
  <si>
    <t>University of Nebraska Medical Center</t>
  </si>
  <si>
    <t>University of Utah Health Care</t>
  </si>
  <si>
    <t>Vrushang Patel Household</t>
  </si>
  <si>
    <t>WPS Health Solutions</t>
  </si>
  <si>
    <t>WaveOne Associates Inc.</t>
  </si>
  <si>
    <t>Westat</t>
  </si>
  <si>
    <t>Yan Heras Household</t>
  </si>
  <si>
    <t>Yardi Systems, Inc.</t>
  </si>
  <si>
    <t>Zus Health</t>
  </si>
  <si>
    <t>innoVet Health, LLC</t>
  </si>
  <si>
    <t>tuuthfairy, Inc.</t>
  </si>
  <si>
    <t>Mar</t>
  </si>
  <si>
    <t>Agence du Numérique en Santé (ANS)</t>
  </si>
  <si>
    <t>Agence eSante Luxembourg</t>
  </si>
  <si>
    <t>Luxembourg</t>
  </si>
  <si>
    <t>American College of Physicians</t>
  </si>
  <si>
    <t>American College of Radiology</t>
  </si>
  <si>
    <t>American Immunization Registry Association (AIRA)</t>
  </si>
  <si>
    <t>Best Option Healthcare PR</t>
  </si>
  <si>
    <t>David Schlossman Household</t>
  </si>
  <si>
    <t>Deloitte Consulting LLP</t>
  </si>
  <si>
    <t>Diego Franco Household</t>
  </si>
  <si>
    <t>Flexpa</t>
  </si>
  <si>
    <t>Gary Blatt Household</t>
  </si>
  <si>
    <t>GigaTECH LLC</t>
  </si>
  <si>
    <t>HL7 Argentina</t>
  </si>
  <si>
    <t>Argentina</t>
  </si>
  <si>
    <t>HL7 Colombia</t>
  </si>
  <si>
    <t>Colombia</t>
  </si>
  <si>
    <t>HL7 Denmark</t>
  </si>
  <si>
    <t>Denmark</t>
  </si>
  <si>
    <t>HL7 France</t>
  </si>
  <si>
    <t>HL7 Germany</t>
  </si>
  <si>
    <t>Germany</t>
  </si>
  <si>
    <t>HL7 Italy</t>
  </si>
  <si>
    <t>Italy</t>
  </si>
  <si>
    <t>HL7 Korea</t>
  </si>
  <si>
    <t>Korea, Republic of</t>
  </si>
  <si>
    <t>HL7 Poland</t>
  </si>
  <si>
    <t>Poland</t>
  </si>
  <si>
    <t>HL7 Romania</t>
  </si>
  <si>
    <t>Romania</t>
  </si>
  <si>
    <t>HL7 Russia</t>
  </si>
  <si>
    <t>Russian Federation</t>
  </si>
  <si>
    <t>HL7 Slovenia</t>
  </si>
  <si>
    <t>Slovenia</t>
  </si>
  <si>
    <t>HL7 Sweden</t>
  </si>
  <si>
    <t>Sweden</t>
  </si>
  <si>
    <t>HL7 Switzerland</t>
  </si>
  <si>
    <t>HL7 UAE</t>
  </si>
  <si>
    <t>United Arab Emirates</t>
  </si>
  <si>
    <t>Health Samurai Inc.</t>
  </si>
  <si>
    <t>Healthcare Logistics Ltd</t>
  </si>
  <si>
    <t>Malta</t>
  </si>
  <si>
    <t>IPRO</t>
  </si>
  <si>
    <t>James Ferguson Household</t>
  </si>
  <si>
    <t>John Hatem Household</t>
  </si>
  <si>
    <t>John Hinch Household</t>
  </si>
  <si>
    <t>Kimberly Langer Household</t>
  </si>
  <si>
    <t>MASAHARU NAKAYAMA Household</t>
  </si>
  <si>
    <t>Manijeh Berenji Household</t>
  </si>
  <si>
    <t>Mass General Brigham</t>
  </si>
  <si>
    <t>Medtronic</t>
  </si>
  <si>
    <t>Melva Peters Household</t>
  </si>
  <si>
    <t>Michele Trofatter Household</t>
  </si>
  <si>
    <t>NICTIZ</t>
  </si>
  <si>
    <t>National Library of Medicine</t>
  </si>
  <si>
    <t>Navidence, Inc.</t>
  </si>
  <si>
    <t>Next Level Health Innovations</t>
  </si>
  <si>
    <t>Outburn Ltd</t>
  </si>
  <si>
    <t>Israel</t>
  </si>
  <si>
    <t>Patient Resource LLC</t>
  </si>
  <si>
    <t>PhenoML, Inc.</t>
  </si>
  <si>
    <t>Ramani Eedara Household</t>
  </si>
  <si>
    <t>Rhapsody</t>
  </si>
  <si>
    <t>SSATRANS</t>
  </si>
  <si>
    <t>Texas Department of State Health Services</t>
  </si>
  <si>
    <t>WI Department of Health Services</t>
  </si>
  <si>
    <t>WNY HEALTHeLINK</t>
  </si>
  <si>
    <t>Wolters Kluwer Health</t>
  </si>
  <si>
    <t>XIFIN, Inc.</t>
  </si>
  <si>
    <t>eClinicalWorks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</si>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</sst>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2" applyNumberFormat="1" applyFont="1"/>
    <xf numFmtId="9" fontId="0" fillId="0" borderId="0" xfId="0" applyNumberFormat="1"/>
    <xf numFmtId="6" fontId="0" fillId="0" borderId="0" xfId="0" applyNumberFormat="1"/>
    <xf numFmtId="8" fontId="0" fillId="0" borderId="0" xfId="0" applyNumberFormat="1"/>
    <xf numFmtId="9" fontId="0" fillId="0" borderId="0" xfId="3" applyFont="1"/>
    <xf numFmtId="0" fontId="0" fillId="2" borderId="2" xfId="0" applyFill="1" applyBorder="1"/>
    <xf numFmtId="0" fontId="0" fillId="0" borderId="2" xfId="0" applyBorder="1"/>
    <xf numFmtId="9" fontId="0" fillId="2" borderId="1" xfId="0" applyNumberFormat="1" applyFill="1" applyBorder="1"/>
    <xf numFmtId="8" fontId="0" fillId="2" borderId="2" xfId="0" applyNumberFormat="1" applyFill="1" applyBorder="1"/>
    <xf numFmtId="9" fontId="0" fillId="0" borderId="1" xfId="0" applyNumberFormat="1" applyBorder="1"/>
    <xf numFmtId="8" fontId="0" fillId="0" borderId="2" xfId="0" applyNumberFormat="1" applyBorder="1"/>
    <xf numFmtId="9" fontId="0" fillId="0" borderId="0" xfId="0" applyNumberFormat="1" applyAlignment="1">
      <alignment horizontal="left"/>
    </xf>
    <xf numFmtId="9" fontId="0" fillId="2" borderId="1" xfId="3" applyFont="1" applyFill="1" applyBorder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28F06"/>
      <color rgb="FF66FF99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27F-494B-901B-183A9AF04F0B}"/>
              </c:ext>
            </c:extLst>
          </c:dPt>
          <c:cat>
            <c:strRef>
              <c:f>('Revenue Breakdown'!$B$40,'Revenue Breakdown'!$B$42)</c:f>
              <c:strCache>
                <c:ptCount val="2"/>
                <c:pt idx="0">
                  <c:v>Pointer</c:v>
                </c:pt>
                <c:pt idx="1">
                  <c:v>Rest</c:v>
                </c:pt>
              </c:strCache>
            </c:strRef>
          </c:cat>
          <c:val>
            <c:numRef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490383.38</c:v>
                </c:pt>
                <c:pt idx="1">
                  <c:v>-2562975.9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39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27F-494B-901B-183A9AF04F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27F-494B-901B-183A9AF04F0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27F-494B-901B-183A9AF04F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27F-494B-901B-183A9AF04F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27F-494B-901B-183A9AF04F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27F-494B-901B-183A9AF04F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27F-494B-901B-183A9AF04F0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27F-494B-901B-183A9AF04F0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27F-494B-901B-183A9AF04F0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27F-494B-901B-183A9AF04F0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27F-494B-901B-183A9AF04F0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27F-494B-901B-183A9AF04F0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27F-494B-901B-183A9AF04F0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27F-494B-901B-183A9AF04F0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27F-494B-901B-183A9AF04F0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27F-494B-901B-183A9AF04F0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327F-494B-901B-183A9AF04F0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327F-494B-901B-183A9AF04F0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327F-494B-901B-183A9AF04F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F7D472B-10BB-4D82-92D7-8015E56B9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27F-494B-901B-183A9AF04F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2985F1-5947-4BFF-9FA8-53BC45D3E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27F-494B-901B-183A9AF04F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FAC0F1-DBF1-4050-8C6B-9B6B8763AB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27F-494B-901B-183A9AF04F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ADC383-ED96-4DEA-B7A7-F45CE6AF9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27F-494B-901B-183A9AF04F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0BA887E-6439-4CF2-8EF3-48F4DA9D1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27F-494B-901B-183A9AF04F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D6C3E79-A9FA-4F90-BC8D-80D0FC2FB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27F-494B-901B-183A9AF04F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A834D4B-D243-4C5B-B1AD-334E3BAA2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27F-494B-901B-183A9AF04F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9C49BC-B04E-45C9-963F-6A99D5E18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27F-494B-901B-183A9AF04F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24037D9-2A4E-4ED9-8440-D35608767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27F-494B-901B-183A9AF04F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533353-4516-479B-9ACD-BE11A8850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27F-494B-901B-183A9AF04F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F581D82-4A30-40C5-B655-390348E3A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27F-494B-901B-183A9AF04F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AE059FD-F8CC-4E4C-A2DE-CEF6308E47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27F-494B-901B-183A9AF04F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226E3D8-20F8-45F4-8AD8-0247CC808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27F-494B-901B-183A9AF04F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A890B09-9E46-4E80-A809-4091381A7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27F-494B-901B-183A9AF04F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C3E9B30-3C6E-471B-81DB-AEBB60358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27F-494B-901B-183A9AF04F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A379E8-2A92-4639-87B2-48FA7DDA2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27F-494B-901B-183A9AF04F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FDFBC9A-A590-47E9-B3E6-B31C0FDC0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27F-494B-901B-183A9AF04F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2BE59F-DC58-4ECB-A185-D2C77C205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27F-494B-901B-183A9AF04F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2C0151E-6D6C-4B21-8A1F-B729802FC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27F-494B-901B-183A9AF04F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1EA5294-1853-4ACF-999F-042EDF7D0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27F-494B-901B-183A9AF04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A-4F57-8F6D-EBA73316E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A-4F57-8F6D-EBA73316EF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A-4F57-8F6D-EBA73316EFAA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E5A12A28-CC8C-45E2-B21D-905D0725F4A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3B2BB6B-80BA-41D9-ABE0-4C4750D7D31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A1962E75-4115-4FF0-AA1E-B22DBE7A7AD6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F0A-4F57-8F6D-EBA73316EFAA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9BD7EE80-FB73-46D3-926A-BAE35593254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5582551-E477-4F07-809B-4ED8A086E6B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044D0796-5D5D-43AF-AD44-CA11BDD3AF1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F0A-4F57-8F6D-EBA73316EFAA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55B511A1-2E5A-4A19-951E-12635267CAC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151318C-CC15-4AD7-8E36-8009FB5268BD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FF67B377-EBAE-40C1-8F80-9E2673117C13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F0A-4F57-8F6D-EBA73316E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159437.93</c:v>
                </c:pt>
                <c:pt idx="1">
                  <c:v>30500</c:v>
                </c:pt>
                <c:pt idx="2">
                  <c:v>790828.83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F0A-4F57-8F6D-EBA73316E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4-4E3B-AC67-98D858FEA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4-4E3B-AC67-98D858FEA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74-4E3B-AC67-98D858FEA391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09A197C2-328F-423B-8D59-A8955DBF4DA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56F8655-3503-46D4-9EFC-73F794FFD7B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E806EBE3-D868-4694-AFA5-3829A212A19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74-4E3B-AC67-98D858FEA391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C8ED42AB-8B45-467C-9EB7-B2416D0B291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20557AF-036C-4620-9D2A-67B1A5301D2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B9F587A4-A812-4EB3-84A6-60E9F7ABF7F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74-4E3B-AC67-98D858FEA391}"/>
                </c:ext>
              </c:extLst>
            </c:dLbl>
            <c:dLbl>
              <c:idx val="2"/>
              <c:layout>
                <c:manualLayout>
                  <c:x val="2.6204693735221172E-3"/>
                  <c:y val="-4.5889115156084737E-2"/>
                </c:manualLayout>
              </c:layout>
              <c:tx>
                <c:rich>
                  <a:bodyPr/>
                  <a:lstStyle/>
                  <a:p>
                    <a:fld id="{31AEB3F4-C179-4F5E-B1FF-C648A7DCB60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4192C63-E166-44F2-A1D5-975F95DF651D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3084C426-A957-4441-AE82-B8480EC5FA2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74-4E3B-AC67-98D858FEA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159437.93</c:v>
                </c:pt>
                <c:pt idx="1">
                  <c:v>30500</c:v>
                </c:pt>
                <c:pt idx="2">
                  <c:v>790828.83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74-4E3B-AC67-98D858FE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Org Membership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3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3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3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3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3C-4085-BCE5-6500A9F5B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4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C-4085-BCE5-6500A9F5B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3C-4085-BCE5-6500A9F5B3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4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C-4085-BCE5-6500A9F5B3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3C-4085-BCE5-6500A9F5B3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C-4085-BCE5-6500A9F5B38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3C-4085-BCE5-6500A9F5B38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89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9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9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89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C-4085-BCE5-6500A9F5B38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3C-4085-BCE5-6500A9F5B38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3C-4085-BCE5-6500A9F5B38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3C-4085-BCE5-6500A9F5B38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769-4655-B6B7-53E8486B9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69-4655-B6B7-53E8486B9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1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769-4655-B6B7-53E8486B9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69-4655-B6B7-53E8486B9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769-4655-B6B7-53E8486B9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769-4655-B6B7-53E8486B9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769-4655-B6B7-53E8486B9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shade val="4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769-4655-B6B7-53E8486B9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769-4655-B6B7-53E8486B90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22C8AEF-8BB3-4CE4-A935-BDA28C79C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3C-4085-BCE5-6500A9F5B3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3C-4085-BCE5-6500A9F5B3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99BD35-C178-4C13-8053-0F7A5CA6A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3C-4085-BCE5-6500A9F5B3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9DF795D-0908-4870-8E2F-DC2A298379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3C-4085-BCE5-6500A9F5B3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788B6E4-4235-4BAA-9762-5D1C12FEF2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3C-4085-BCE5-6500A9F5B3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BC4DE32-35F7-4935-BC69-6485443B0C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3C-4085-BCE5-6500A9F5B3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301834C-B638-450E-952C-7FD2A9BA9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3C-4085-BCE5-6500A9F5B3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6F3C012-487F-4238-B8B5-AF9D2FFFA8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3C-4085-BCE5-6500A9F5B3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6C4BB60-9A5D-4E95-B41E-55A417CFB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3C-4085-BCE5-6500A9F5B3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6852B9-473B-4442-8EC2-BD796F64CF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3C-4085-BCE5-6500A9F5B3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7913958-0046-422C-B2A3-5F55BF0D6D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3C-4085-BCE5-6500A9F5B3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F23F000-5728-4835-8BBD-E3983FD3B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769-4655-B6B7-53E8486B9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49C9597-3859-4A88-9D22-A9EAB1131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769-4655-B6B7-53E8486B9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9D073F8-1B77-4405-A677-F582893747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769-4655-B6B7-53E8486B9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0A96E1E-89B8-48A5-A357-615F992BD9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769-4655-B6B7-53E8486B9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2277434-A653-421F-894D-DF3BA57EB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769-4655-B6B7-53E8486B9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3A41D59-34A8-473E-AB00-89573A8D1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769-4655-B6B7-53E8486B9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9C2954D-2978-4A1C-A5BE-80704429D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769-4655-B6B7-53E8486B9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1C808B0-EB1B-4ADC-8D57-6AFBE9F2ED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769-4655-B6B7-53E8486B9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37347E7-E9DE-4406-94D1-29CEE71F3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769-4655-B6B7-53E8486B9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'Revenue Breakdown'!$B$16:$B$35</c15:sqref>
                  </c15:fullRef>
                </c:ext>
              </c:extLst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'Revenue Breakdown'!$C$13:$C$35</c15:sqref>
                  </c15:fullRef>
                </c:ext>
              </c:extLst>
              <c:f>'Revenue Breakdown'!$C$13:$C$32</c:f>
              <c:numCache>
                <c:formatCode>General</c:formatCode>
                <c:ptCount val="20"/>
                <c:pt idx="0" formatCode="&quot;$&quot;#,##0.00_);[Red]\(&quot;$&quot;#,##0.00\)">
                  <c:v>28477.51</c:v>
                </c:pt>
                <c:pt idx="2">
                  <c:v>0</c:v>
                </c:pt>
                <c:pt idx="3" formatCode="&quot;$&quot;#,##0.00_);[Red]\(&quot;$&quot;#,##0.00\)">
                  <c:v>284775.09999999998</c:v>
                </c:pt>
                <c:pt idx="4" formatCode="&quot;$&quot;#,##0.00_);[Red]\(&quot;$&quot;#,##0.00\)">
                  <c:v>284775.09999999998</c:v>
                </c:pt>
                <c:pt idx="5" formatCode="&quot;$&quot;#,##0.00_);[Red]\(&quot;$&quot;#,##0.00\)">
                  <c:v>284775.09999999998</c:v>
                </c:pt>
                <c:pt idx="6" formatCode="&quot;$&quot;#,##0.00_);[Red]\(&quot;$&quot;#,##0.00\)">
                  <c:v>284775.09999999998</c:v>
                </c:pt>
                <c:pt idx="7" formatCode="&quot;$&quot;#,##0.00_);[Red]\(&quot;$&quot;#,##0.00\)">
                  <c:v>284775.09999999998</c:v>
                </c:pt>
                <c:pt idx="8" formatCode="&quot;$&quot;#,##0.00_);[Red]\(&quot;$&quot;#,##0.00\)">
                  <c:v>284775.09999999998</c:v>
                </c:pt>
                <c:pt idx="9" formatCode="&quot;$&quot;#,##0.00_);[Red]\(&quot;$&quot;#,##0.00\)">
                  <c:v>284775.09999999998</c:v>
                </c:pt>
                <c:pt idx="10" formatCode="&quot;$&quot;#,##0.00_);[Red]\(&quot;$&quot;#,##0.00\)">
                  <c:v>284775.09999999998</c:v>
                </c:pt>
                <c:pt idx="11" formatCode="&quot;$&quot;#,##0.00_);[Red]\(&quot;$&quot;#,##0.00\)">
                  <c:v>284775.09999999998</c:v>
                </c:pt>
                <c:pt idx="12" formatCode="&quot;$&quot;#,##0.00_);[Red]\(&quot;$&quot;#,##0.00\)">
                  <c:v>284775.09999999998</c:v>
                </c:pt>
                <c:pt idx="13" formatCode="&quot;$&quot;#,##0.00_);[Red]\(&quot;$&quot;#,##0.00\)">
                  <c:v>284775.09999999998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'Revenue Breakdown'!$C$33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65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65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65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65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9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9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9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9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3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3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3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3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2"/>
      </c:doughnutChart>
      <c:pieChart>
        <c:varyColors val="1"/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1-40FD-BEF1-3CC6C7F895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1-40FD-BEF1-3CC6C7F895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C-4085-BCE5-6500A9F5B383}"/>
              </c:ext>
            </c:extLst>
          </c:dPt>
          <c:cat>
            <c:numRef>
              <c:f>'Revenue Breakdown'!$C$16:$C$35</c:f>
              <c:numCache>
                <c:formatCode>"$"#,##0.00_);[Red]\("$"#,##0.00\)</c:formatCode>
                <c:ptCount val="20"/>
                <c:pt idx="0">
                  <c:v>284775.09999999998</c:v>
                </c:pt>
                <c:pt idx="1">
                  <c:v>284775.09999999998</c:v>
                </c:pt>
                <c:pt idx="2">
                  <c:v>284775.09999999998</c:v>
                </c:pt>
                <c:pt idx="3">
                  <c:v>284775.09999999998</c:v>
                </c:pt>
                <c:pt idx="4">
                  <c:v>284775.09999999998</c:v>
                </c:pt>
                <c:pt idx="5">
                  <c:v>284775.09999999998</c:v>
                </c:pt>
                <c:pt idx="6">
                  <c:v>284775.09999999998</c:v>
                </c:pt>
                <c:pt idx="7">
                  <c:v>284775.09999999998</c:v>
                </c:pt>
                <c:pt idx="8">
                  <c:v>284775.09999999998</c:v>
                </c:pt>
                <c:pt idx="9">
                  <c:v>284775.09999999998</c:v>
                </c:pt>
                <c:pt idx="10">
                  <c:v>284775.09999999998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cat>
          <c:val>
            <c:numRef>
              <c:f>'Revenue Breakdown'!$C$40:$C$42</c:f>
              <c:numCache>
                <c:formatCode>General</c:formatCode>
                <c:ptCount val="3"/>
                <c:pt idx="0" formatCode="_(&quot;$&quot;* #,##0_);_(&quot;$&quot;* \(#,##0\);_(&quot;$&quot;* &quot;-&quot;??_);_(@_)">
                  <c:v>490383.38</c:v>
                </c:pt>
                <c:pt idx="1">
                  <c:v>30000</c:v>
                </c:pt>
                <c:pt idx="2" formatCode="&quot;$&quot;#,##0_);[Red]\(&quot;$&quot;#,##0\)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7-4BCE-A933-C507175A5F8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Breakdown'!$C$40,'Revenue Breakdown'!$C$42)</c15:sqref>
                  </c15:fullRef>
                </c:ext>
              </c:extLst>
              <c:f>('Revenue Breakdown'!$C$40,'Revenue Breakdown'!$C$40)</c:f>
              <c:numCache>
                <c:formatCode>_("$"* #,##0_);_("$"* \(#,##0\);_("$"* "-"??_);_(@_)</c:formatCode>
                <c:ptCount val="2"/>
                <c:pt idx="0">
                  <c:v>490383.38</c:v>
                </c:pt>
                <c:pt idx="1">
                  <c:v>490383.38</c:v>
                </c:pt>
                <c:pt idx="2" formatCode="&quot;$&quot;#,##0_);[Red]\(&quot;$&quot;#,##0\)">
                  <c:v>-2562975.9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Breakdown'!$C$42)</c15:sqref>
                  </c15:fullRef>
                </c:ext>
              </c:extLst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490383.38</c:v>
                </c:pt>
                <c:pt idx="1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C-4821-AB9F-FEF76C1A43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C-4821-AB9F-FEF76C1A43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C-4821-AB9F-FEF76C1A43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C-4821-AB9F-FEF76C1A43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DC-4821-AB9F-FEF76C1A43A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C-4821-AB9F-FEF76C1A43A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DC-4821-AB9F-FEF76C1A43A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C-4821-AB9F-FEF76C1A43A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DC-4821-AB9F-FEF76C1A43A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C-4821-AB9F-FEF76C1A43A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DC-4821-AB9F-FEF76C1A43A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C-4821-AB9F-FEF76C1A43A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DC-4821-AB9F-FEF76C1A43A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C-4821-AB9F-FEF76C1A43A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DC-4821-AB9F-FEF76C1A43A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C-4821-AB9F-FEF76C1A43A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DC-4821-AB9F-FEF76C1A43A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DC-4821-AB9F-FEF76C1A43A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C-4821-AB9F-FEF76C1A43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04C37E7-01AC-455D-9CC3-A374522F3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DC-4821-AB9F-FEF76C1A43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1630C8-C172-46FA-9C6C-8D29EA6526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DC-4821-AB9F-FEF76C1A43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6F07C4-FEAE-4646-956D-F3DE46D5F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DC-4821-AB9F-FEF76C1A43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AE19A7-2283-45BB-9145-DF73F90E8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DC-4821-AB9F-FEF76C1A43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87BEF4-39EF-4962-899B-31831DE0A5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DC-4821-AB9F-FEF76C1A43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936B161-250F-4CEF-9082-563090F23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DC-4821-AB9F-FEF76C1A43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8C890E-0C13-4C85-8275-E9B3ED843D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DC-4821-AB9F-FEF76C1A43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895466C-FBFF-4B19-8C6B-3209EAFD1E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DC-4821-AB9F-FEF76C1A43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798AF46-2953-4E1D-BD04-1202F4085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DC-4821-AB9F-FEF76C1A43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C57725-8EBF-4805-9287-977F13DAA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DC-4821-AB9F-FEF76C1A43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129C420-98A5-4593-A9C1-7874F4AC3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DC-4821-AB9F-FEF76C1A43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85A0304-D68F-42C0-85FF-8613F8446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DC-4821-AB9F-FEF76C1A43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5E50CA2-1F92-425D-B52C-7D2D5A6435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DC-4821-AB9F-FEF76C1A43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29C1BD5-C5A5-4D41-9D87-8CE2B0CFC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DC-4821-AB9F-FEF76C1A43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F6F1F1-BAB0-47E1-AF8E-F225B0546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DC-4821-AB9F-FEF76C1A43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815F763-AB2B-4D6D-AB69-5A67840B1C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DC-4821-AB9F-FEF76C1A43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0D455B6-9532-4F39-A0A2-080D2F10A2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DC-4821-AB9F-FEF76C1A43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20268F5-09C0-4784-A7F5-9E92BCBCC9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DC-4821-AB9F-FEF76C1A43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2325E72-9F91-4332-9531-BEDFF0C7E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DC-4821-AB9F-FEF76C1A43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A4582B2-5281-4E7E-9555-9FB30A1FDF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DC-4821-AB9F-FEF76C1A4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[2026_Membership_Revenues_Apr2026.xlsx]Org Revenues!PivotTable3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 Member Revenues by Member Level</a:t>
            </a:r>
            <a:r>
              <a:rPr lang="en-US" baseline="0"/>
              <a:t> 2025</a:t>
            </a:r>
            <a:endParaRPr lang="en-US"/>
          </a:p>
        </c:rich>
      </c:tx>
      <c:layout>
        <c:manualLayout>
          <c:xMode val="edge"/>
          <c:yMode val="edge"/>
          <c:x val="0.143638888888888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050634295713034E-2"/>
              <c:y val="6.07746427529891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27777777777774"/>
                  <c:h val="0.2406714785651793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638779527559054E-2"/>
              <c:y val="0.141660104986876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255555555555554"/>
                  <c:h val="0.24993073782443861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996937882764656E-2"/>
              <c:y val="0.25210666375036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'Org Revenues'!$B$3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59-4EE9-B400-A6E024EF9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7-4903-B313-7481CDC7E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9-4EE9-B400-A6E024EF9E87}"/>
              </c:ext>
            </c:extLst>
          </c:dPt>
          <c:dLbls>
            <c:dLbl>
              <c:idx val="0"/>
              <c:layout>
                <c:manualLayout>
                  <c:x val="1.9050634295713034E-2"/>
                  <c:y val="6.07746427529891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27777777777774"/>
                      <c:h val="0.24067147856517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59-4EE9-B400-A6E024EF9E87}"/>
                </c:ext>
              </c:extLst>
            </c:dLbl>
            <c:dLbl>
              <c:idx val="1"/>
              <c:layout>
                <c:manualLayout>
                  <c:x val="1.5996937882764656E-2"/>
                  <c:y val="0.2521066637503644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7-4903-B313-7481CDC7E3BA}"/>
                </c:ext>
              </c:extLst>
            </c:dLbl>
            <c:dLbl>
              <c:idx val="2"/>
              <c:layout>
                <c:manualLayout>
                  <c:x val="1.1638779527559054E-2"/>
                  <c:y val="0.141660104986876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55555555555554"/>
                      <c:h val="0.249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9-4EE9-B400-A6E024EF9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 Revenues'!$A$4:$A$7</c:f>
              <c:strCache>
                <c:ptCount val="3"/>
                <c:pt idx="0">
                  <c:v>Benefactor Membership</c:v>
                </c:pt>
                <c:pt idx="1">
                  <c:v>Gold Membership</c:v>
                </c:pt>
                <c:pt idx="2">
                  <c:v>Organizational Membership</c:v>
                </c:pt>
              </c:strCache>
            </c:strRef>
          </c:cat>
          <c:val>
            <c:numRef>
              <c:f>'Org Revenues'!$B$4:$B$7</c:f>
              <c:numCache>
                <c:formatCode>_("$"* #,##0_);_("$"* \(#,##0\);_("$"* "-"??_);_(@_)</c:formatCode>
                <c:ptCount val="3"/>
                <c:pt idx="0">
                  <c:v>234070</c:v>
                </c:pt>
                <c:pt idx="1">
                  <c:v>75403.789999999994</c:v>
                </c:pt>
                <c:pt idx="2">
                  <c:v>481355.04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EE9-B400-A6E024E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[2026_Membership_Revenues_Apr2026.xlsx]Ind Revenues!PivotTable4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  <a:p>
            <a:pPr>
              <a:defRPr/>
            </a:pPr>
            <a:r>
              <a:rPr lang="en-US"/>
              <a:t> Individual</a:t>
            </a:r>
            <a:r>
              <a:rPr lang="en-US" baseline="0"/>
              <a:t> Memberships by Month</a:t>
            </a:r>
          </a:p>
        </c:rich>
      </c:tx>
      <c:layout>
        <c:manualLayout>
          <c:xMode val="edge"/>
          <c:yMode val="edge"/>
          <c:x val="0.12885021328144125"/>
          <c:y val="4.123918415344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 Revenues'!$A$4:$A$8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'Ind Revenues'!$B$4:$B$8</c:f>
              <c:numCache>
                <c:formatCode>_("$"* #,##0.00_);_("$"* \(#,##0.00\);_("$"* "-"??_);_(@_)</c:formatCode>
                <c:ptCount val="4"/>
                <c:pt idx="0">
                  <c:v>8525</c:v>
                </c:pt>
                <c:pt idx="1">
                  <c:v>4075</c:v>
                </c:pt>
                <c:pt idx="2">
                  <c:v>7825</c:v>
                </c:pt>
                <c:pt idx="3">
                  <c:v>10075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B70-B0CD-E534AC04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69007"/>
        <c:axId val="688868047"/>
      </c:barChart>
      <c:catAx>
        <c:axId val="6888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8047"/>
        <c:crosses val="autoZero"/>
        <c:auto val="1"/>
        <c:lblAlgn val="ctr"/>
        <c:lblOffset val="100"/>
        <c:noMultiLvlLbl val="0"/>
      </c:catAx>
      <c:valAx>
        <c:axId val="6888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[2026_Membership_Revenues_Apr2026.xlsx]Yrs of Membership!PivotTable6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Membership of Membership</a:t>
            </a:r>
            <a:r>
              <a:rPr lang="en-US" baseline="0"/>
              <a:t> Income</a:t>
            </a:r>
            <a:endParaRPr lang="en-US"/>
          </a:p>
        </c:rich>
      </c:tx>
      <c:layout>
        <c:manualLayout>
          <c:xMode val="edge"/>
          <c:yMode val="edge"/>
          <c:x val="0.1464785980699781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'Yrs of Membership'!$N$6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'Yrs of Membership'!$M$7:$M$13</c:f>
              <c:strCache>
                <c:ptCount val="6"/>
                <c:pt idx="0">
                  <c:v>1 Year</c:v>
                </c:pt>
                <c:pt idx="1">
                  <c:v>11 to 15 Years</c:v>
                </c:pt>
                <c:pt idx="2">
                  <c:v>2 to 5 Years</c:v>
                </c:pt>
                <c:pt idx="3">
                  <c:v>6 to 10 Years</c:v>
                </c:pt>
                <c:pt idx="4">
                  <c:v>Over 15 Years</c:v>
                </c:pt>
                <c:pt idx="5">
                  <c:v>(blank)</c:v>
                </c:pt>
              </c:strCache>
            </c:strRef>
          </c:cat>
          <c:val>
            <c:numRef>
              <c:f>'Yrs of Membership'!$N$7:$N$13</c:f>
              <c:numCache>
                <c:formatCode>General</c:formatCode>
                <c:ptCount val="6"/>
                <c:pt idx="0">
                  <c:v>23</c:v>
                </c:pt>
                <c:pt idx="1">
                  <c:v>11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456-A35E-639F4CE4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038640"/>
        <c:axId val="25450527"/>
      </c:barChart>
      <c:catAx>
        <c:axId val="6240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0527"/>
        <c:crosses val="autoZero"/>
        <c:auto val="1"/>
        <c:lblAlgn val="ctr"/>
        <c:lblOffset val="100"/>
        <c:noMultiLvlLbl val="0"/>
      </c:catAx>
      <c:valAx>
        <c:axId val="25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[2026_Membership_Revenues_Apr2026.xlsx]draft_mem_goal_work!PivotTable3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4BD9BB-5478-41C9-8697-6B030DB3CB0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6C502DC-109B-4E9A-BEBD-0EFA59F62D1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CDE4E5B-40AA-4970-BC33-813F521F3C4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F4A5F8-8D9C-4206-B4A0-8A5AF32A441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823F58-1DB3-4F55-BC9D-9BB9555266F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7A7198-02DE-4088-93AD-980D612E0FB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7412A92-B800-4F1B-AF67-C2DA4C21ADD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104D60A-95C3-426B-91BD-48BC8E30EEB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1799822-699A-49D6-948D-DD364C2DFAD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04583CF-C6F8-4E32-896D-8B1C3D00CCD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4B8F8AB-B7AB-4459-BEB7-442D0E679969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9974CF-1333-4924-B48A-2F54E8EA83A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2366597-B60B-4BDE-8F99-DA93B304B1D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958DB78-31C6-4354-98FC-51292EE3AFA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3065F0-1C05-43F8-9850-572C3AF3ABA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FF4C2F6-884A-4BF6-9FDB-09C91E9F0D8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D1A7AE9-AC7B-4DE3-A8E9-E4DE5D34F2F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C12D1D2-82BD-4F96-9746-87F9ADB9C07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EE274BF-9893-4D66-9ED5-D06DCDFB86A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C2B9366-0AD6-4895-8E84-BDF92226A57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draft_mem_goal_work!$D$3:$D$22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0-4F93-A48D-4A2FC73D39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0-4F93-A48D-4A2FC73D39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90-4F93-A48D-4A2FC73D39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0-4F93-A48D-4A2FC73D39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90-4F93-A48D-4A2FC73D39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90-4F93-A48D-4A2FC73D39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90-4F93-A48D-4A2FC73D39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90-4F93-A48D-4A2FC73D39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90-4F93-A48D-4A2FC73D39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F93-A48D-4A2FC73D39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90-4F93-A48D-4A2FC73D39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90-4F93-A48D-4A2FC73D39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C90-4F93-A48D-4A2FC73D39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90-4F93-A48D-4A2FC73D39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90-4F93-A48D-4A2FC73D39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90-4F93-A48D-4A2FC73D39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90-4F93-A48D-4A2FC73D39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90-4F93-A48D-4A2FC73D39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90-4F93-A48D-4A2FC73D39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90-4F93-A48D-4A2FC73D39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64BD9BB-5478-41C9-8697-6B030DB3C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C90-4F93-A48D-4A2FC73D39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C502DC-109B-4E9A-BEBD-0EFA59F62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90-4F93-A48D-4A2FC73D39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DE4E5B-40AA-4970-BC33-813F521F3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90-4F93-A48D-4A2FC73D39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BF4A5F8-8D9C-4206-B4A0-8A5AF32A4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90-4F93-A48D-4A2FC73D39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823F58-1DB3-4F55-BC9D-9BB9555266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90-4F93-A48D-4A2FC73D39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7A7198-02DE-4088-93AD-980D612E0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90-4F93-A48D-4A2FC73D39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412A92-B800-4F1B-AF67-C2DA4C21A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90-4F93-A48D-4A2FC73D39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104D60A-95C3-426B-91BD-48BC8E30EE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90-4F93-A48D-4A2FC73D39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1799822-699A-49D6-948D-DD364C2DF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90-4F93-A48D-4A2FC73D39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04583CF-C6F8-4E32-896D-8B1C3D00C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90-4F93-A48D-4A2FC73D39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4B8F8AB-B7AB-4459-BEB7-442D0E679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90-4F93-A48D-4A2FC73D39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59974CF-1333-4924-B48A-2F54E8EA83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90-4F93-A48D-4A2FC73D39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2366597-B60B-4BDE-8F99-DA93B304B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90-4F93-A48D-4A2FC73D39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58DB78-31C6-4354-98FC-51292EE3A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90-4F93-A48D-4A2FC73D39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73065F0-1C05-43F8-9850-572C3AF3A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90-4F93-A48D-4A2FC73D39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FF4C2F6-884A-4BF6-9FDB-09C91E9F0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90-4F93-A48D-4A2FC73D39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D1A7AE9-AC7B-4DE3-A8E9-E4DE5D34F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90-4F93-A48D-4A2FC73D3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12D1D2-82BD-4F96-9746-87F9ADB9C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90-4F93-A48D-4A2FC73D3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EE274BF-9893-4D66-9ED5-D06DCDFB8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90-4F93-A48D-4A2FC73D3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C2B9366-0AD6-4895-8E84-BDF92226A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90-4F93-A48D-4A2FC73D3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draft_mem_goal_work!$D$3:$D$22</c:f>
              <c:strCache>
                <c:ptCount val="2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  <c:pt idx="10">
                  <c:v>110%</c:v>
                </c:pt>
                <c:pt idx="11">
                  <c:v>120%</c:v>
                </c:pt>
                <c:pt idx="12">
                  <c:v>130%</c:v>
                </c:pt>
                <c:pt idx="13">
                  <c:v>140%</c:v>
                </c:pt>
                <c:pt idx="14">
                  <c:v>150%</c:v>
                </c:pt>
                <c:pt idx="15">
                  <c:v>160%</c:v>
                </c:pt>
                <c:pt idx="16">
                  <c:v>170%</c:v>
                </c:pt>
                <c:pt idx="17">
                  <c:v>180%</c:v>
                </c:pt>
                <c:pt idx="18">
                  <c:v>190%</c:v>
                </c:pt>
                <c:pt idx="19">
                  <c:v>200%</c:v>
                </c:pt>
              </c:strCache>
            </c:strRef>
          </c:cat>
          <c:val>
            <c:numRef>
              <c:f>draft_mem_goal_work!$D$3:$D$22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draft_mem_goal_work!$D$3:$D$22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90-4F93-A48D-4A2FC73D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158750</xdr:rowOff>
    </xdr:from>
    <xdr:to>
      <xdr:col>10</xdr:col>
      <xdr:colOff>120650</xdr:colOff>
      <xdr:row>26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A139F-1C3A-4F66-B110-29A125CBA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2</xdr:row>
      <xdr:rowOff>169333</xdr:rowOff>
    </xdr:from>
    <xdr:to>
      <xdr:col>13</xdr:col>
      <xdr:colOff>469900</xdr:colOff>
      <xdr:row>23</xdr:row>
      <xdr:rowOff>49389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1CDE7A0-3B7D-E16C-142A-E69A18712377}"/>
            </a:ext>
          </a:extLst>
        </xdr:cNvPr>
        <xdr:cNvSpPr/>
      </xdr:nvSpPr>
      <xdr:spPr>
        <a:xfrm>
          <a:off x="5753100" y="536222"/>
          <a:ext cx="2604911" cy="373238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278130</xdr:colOff>
      <xdr:row>2</xdr:row>
      <xdr:rowOff>143827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14F558-5AAF-4F7B-B7A6-98078EBB491F}"/>
            </a:ext>
          </a:extLst>
        </xdr:cNvPr>
        <xdr:cNvSpPr txBox="1"/>
      </xdr:nvSpPr>
      <xdr:spPr>
        <a:xfrm>
          <a:off x="0" y="0"/>
          <a:ext cx="13079730" cy="51212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HL7 International Membership</a:t>
          </a:r>
          <a:r>
            <a:rPr lang="en-US" sz="2400" baseline="0">
              <a:solidFill>
                <a:schemeClr val="accent5"/>
              </a:solidFill>
            </a:rPr>
            <a:t> Overview</a:t>
          </a:r>
          <a:r>
            <a:rPr lang="en-US" sz="2400">
              <a:solidFill>
                <a:schemeClr val="accent5"/>
              </a:solidFill>
            </a:rPr>
            <a:t> - 2026 </a:t>
          </a:r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21</xdr:col>
      <xdr:colOff>502355</xdr:colOff>
      <xdr:row>1</xdr:row>
      <xdr:rowOff>67028</xdr:rowOff>
    </xdr:from>
    <xdr:to>
      <xdr:col>24</xdr:col>
      <xdr:colOff>534104</xdr:colOff>
      <xdr:row>3</xdr:row>
      <xdr:rowOff>47978</xdr:rowOff>
    </xdr:to>
    <xdr:sp macro="" textlink="'Revenue Breakdown'!L7">
      <xdr:nvSpPr>
        <xdr:cNvPr id="4" name="TextBox 3">
          <a:extLst>
            <a:ext uri="{FF2B5EF4-FFF2-40B4-BE49-F238E27FC236}">
              <a16:creationId xmlns:a16="http://schemas.microsoft.com/office/drawing/2014/main" id="{17709755-1C31-46A6-3860-02CCA3E33E05}"/>
            </a:ext>
          </a:extLst>
        </xdr:cNvPr>
        <xdr:cNvSpPr txBox="1"/>
      </xdr:nvSpPr>
      <xdr:spPr>
        <a:xfrm>
          <a:off x="13244688" y="250472"/>
          <a:ext cx="1852083" cy="3478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E92F72-83B7-4D9F-BB07-40695EED7B7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$980,767</a:t>
          </a:fld>
          <a:endParaRPr lang="en-US" sz="1400" kern="1200"/>
        </a:p>
      </xdr:txBody>
    </xdr:sp>
    <xdr:clientData/>
  </xdr:twoCellAnchor>
  <xdr:twoCellAnchor>
    <xdr:from>
      <xdr:col>3</xdr:col>
      <xdr:colOff>152400</xdr:colOff>
      <xdr:row>18</xdr:row>
      <xdr:rowOff>165100</xdr:rowOff>
    </xdr:from>
    <xdr:to>
      <xdr:col>6</xdr:col>
      <xdr:colOff>514350</xdr:colOff>
      <xdr:row>20</xdr:row>
      <xdr:rowOff>152400</xdr:rowOff>
    </xdr:to>
    <xdr:sp macro="" textlink="'Revenue Breakdown'!C12">
      <xdr:nvSpPr>
        <xdr:cNvPr id="8" name="TextBox 7">
          <a:extLst>
            <a:ext uri="{FF2B5EF4-FFF2-40B4-BE49-F238E27FC236}">
              <a16:creationId xmlns:a16="http://schemas.microsoft.com/office/drawing/2014/main" id="{D8308FC7-464D-42E9-8869-806ED26D5C5D}"/>
            </a:ext>
          </a:extLst>
        </xdr:cNvPr>
        <xdr:cNvSpPr txBox="1"/>
      </xdr:nvSpPr>
      <xdr:spPr>
        <a:xfrm>
          <a:off x="1981200" y="3479800"/>
          <a:ext cx="219075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8DB067-336C-48C5-AB15-E53A862B8DD5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8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16</xdr:row>
      <xdr:rowOff>152400</xdr:rowOff>
    </xdr:from>
    <xdr:to>
      <xdr:col>6</xdr:col>
      <xdr:colOff>533400</xdr:colOff>
      <xdr:row>18</xdr:row>
      <xdr:rowOff>76200</xdr:rowOff>
    </xdr:to>
    <xdr:sp macro="" textlink="'Revenue Breakdown'!B44">
      <xdr:nvSpPr>
        <xdr:cNvPr id="9" name="TextBox 8">
          <a:extLst>
            <a:ext uri="{FF2B5EF4-FFF2-40B4-BE49-F238E27FC236}">
              <a16:creationId xmlns:a16="http://schemas.microsoft.com/office/drawing/2014/main" id="{08E5E8AC-D48D-49EB-BCED-526D781F9D29}"/>
            </a:ext>
          </a:extLst>
        </xdr:cNvPr>
        <xdr:cNvSpPr txBox="1"/>
      </xdr:nvSpPr>
      <xdr:spPr>
        <a:xfrm>
          <a:off x="1955800" y="3098800"/>
          <a:ext cx="2235200" cy="292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596DDF-FDF9-4237-BFCF-C18D14F4F4DB}" type="TxLink">
            <a:rPr lang="en-US" sz="1200" b="0" i="0" u="none" strike="noStrike" kern="1200">
              <a:solidFill>
                <a:srgbClr val="000000"/>
              </a:solidFill>
              <a:latin typeface="Aptos Narrow"/>
            </a:rPr>
            <a:pPr algn="ctr"/>
            <a:t>Current: $980,767, 34%</a:t>
          </a:fld>
          <a:endParaRPr lang="en-US" sz="2000" kern="1200">
            <a:noFill/>
          </a:endParaRPr>
        </a:p>
      </xdr:txBody>
    </xdr:sp>
    <xdr:clientData/>
  </xdr:twoCellAnchor>
  <xdr:twoCellAnchor>
    <xdr:from>
      <xdr:col>9</xdr:col>
      <xdr:colOff>368300</xdr:colOff>
      <xdr:row>4</xdr:row>
      <xdr:rowOff>152400</xdr:rowOff>
    </xdr:from>
    <xdr:to>
      <xdr:col>13</xdr:col>
      <xdr:colOff>374650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936DA2-D00A-42AD-92D8-9021CAC5FCD4}"/>
            </a:ext>
          </a:extLst>
        </xdr:cNvPr>
        <xdr:cNvSpPr txBox="1"/>
      </xdr:nvSpPr>
      <xdr:spPr>
        <a:xfrm>
          <a:off x="5854700" y="889000"/>
          <a:ext cx="24447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1200" cap="none" spc="0" normalizeH="0" baseline="0" noProof="0">
              <a:ln>
                <a:noFill/>
              </a:ln>
              <a:effectLst/>
              <a:uLnTx/>
              <a:uFillTx/>
              <a:latin typeface="Aptos Narrow"/>
              <a:ea typeface="+mn-ea"/>
              <a:cs typeface="+mn-cs"/>
            </a:rPr>
            <a:t>Member Metrics</a:t>
          </a:r>
        </a:p>
      </xdr:txBody>
    </xdr:sp>
    <xdr:clientData/>
  </xdr:twoCellAnchor>
  <xdr:twoCellAnchor>
    <xdr:from>
      <xdr:col>0</xdr:col>
      <xdr:colOff>63500</xdr:colOff>
      <xdr:row>23</xdr:row>
      <xdr:rowOff>57150</xdr:rowOff>
    </xdr:from>
    <xdr:to>
      <xdr:col>21</xdr:col>
      <xdr:colOff>336550</xdr:colOff>
      <xdr:row>26</xdr:row>
      <xdr:rowOff>44450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ABF9D6-F148-45CF-9A10-F7D137659B82}"/>
            </a:ext>
          </a:extLst>
        </xdr:cNvPr>
        <xdr:cNvSpPr txBox="1"/>
      </xdr:nvSpPr>
      <xdr:spPr>
        <a:xfrm>
          <a:off x="63500" y="4292600"/>
          <a:ext cx="13074650" cy="539750"/>
        </a:xfrm>
        <a:prstGeom prst="rect">
          <a:avLst/>
        </a:prstGeom>
        <a:solidFill>
          <a:schemeClr val="accent2">
            <a:lumMod val="40000"/>
            <a:lumOff val="60000"/>
            <a:alpha val="92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50800" dir="5400000" algn="ctr" rotWithShape="0">
            <a:srgbClr val="000000">
              <a:alpha val="98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Notes: Revenue data is recorded for the month that a membership term started. So, if membership payment was made in December 2023, but the membership term began in January 2024, the revenue is recorded for January 2024.</a:t>
          </a:r>
        </a:p>
      </xdr:txBody>
    </xdr:sp>
    <xdr:clientData/>
  </xdr:twoCellAnchor>
  <xdr:twoCellAnchor>
    <xdr:from>
      <xdr:col>9</xdr:col>
      <xdr:colOff>388056</xdr:colOff>
      <xdr:row>7</xdr:row>
      <xdr:rowOff>99483</xdr:rowOff>
    </xdr:from>
    <xdr:to>
      <xdr:col>13</xdr:col>
      <xdr:colOff>388056</xdr:colOff>
      <xdr:row>9</xdr:row>
      <xdr:rowOff>86783</xdr:rowOff>
    </xdr:to>
    <xdr:sp macro="" textlink="'Org Revenues'!M4">
      <xdr:nvSpPr>
        <xdr:cNvPr id="20" name="TextBox 19">
          <a:extLst>
            <a:ext uri="{FF2B5EF4-FFF2-40B4-BE49-F238E27FC236}">
              <a16:creationId xmlns:a16="http://schemas.microsoft.com/office/drawing/2014/main" id="{8C484619-4721-C781-133A-784BBC019291}"/>
            </a:ext>
          </a:extLst>
        </xdr:cNvPr>
        <xdr:cNvSpPr txBox="1"/>
      </xdr:nvSpPr>
      <xdr:spPr>
        <a:xfrm>
          <a:off x="5849056" y="1383594"/>
          <a:ext cx="242711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287ECB3-D962-4AAC-9648-36C846B99FB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Benefactor: 7</a:t>
          </a:fld>
          <a:endParaRPr kumimoji="0" lang="en-US" sz="24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355600</xdr:colOff>
      <xdr:row>10</xdr:row>
      <xdr:rowOff>101600</xdr:rowOff>
    </xdr:from>
    <xdr:to>
      <xdr:col>13</xdr:col>
      <xdr:colOff>374650</xdr:colOff>
      <xdr:row>12</xdr:row>
      <xdr:rowOff>88900</xdr:rowOff>
    </xdr:to>
    <xdr:sp macro="" textlink="'Org Revenues'!M5">
      <xdr:nvSpPr>
        <xdr:cNvPr id="21" name="TextBox 20">
          <a:extLst>
            <a:ext uri="{FF2B5EF4-FFF2-40B4-BE49-F238E27FC236}">
              <a16:creationId xmlns:a16="http://schemas.microsoft.com/office/drawing/2014/main" id="{59900078-21F3-5072-1205-A298749C5428}"/>
            </a:ext>
          </a:extLst>
        </xdr:cNvPr>
        <xdr:cNvSpPr txBox="1"/>
      </xdr:nvSpPr>
      <xdr:spPr>
        <a:xfrm>
          <a:off x="5842000" y="19431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379C83B-E2DD-4BB4-9E10-FF54ED0A0EE4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Gold: 17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368300</xdr:colOff>
      <xdr:row>13</xdr:row>
      <xdr:rowOff>82550</xdr:rowOff>
    </xdr:from>
    <xdr:to>
      <xdr:col>13</xdr:col>
      <xdr:colOff>368300</xdr:colOff>
      <xdr:row>15</xdr:row>
      <xdr:rowOff>69850</xdr:rowOff>
    </xdr:to>
    <xdr:sp macro="" textlink="'Org Revenues'!M6">
      <xdr:nvSpPr>
        <xdr:cNvPr id="22" name="TextBox 21">
          <a:extLst>
            <a:ext uri="{FF2B5EF4-FFF2-40B4-BE49-F238E27FC236}">
              <a16:creationId xmlns:a16="http://schemas.microsoft.com/office/drawing/2014/main" id="{D54E3E48-22FB-3912-FCC7-94FEE159AFF6}"/>
            </a:ext>
          </a:extLst>
        </xdr:cNvPr>
        <xdr:cNvSpPr txBox="1"/>
      </xdr:nvSpPr>
      <xdr:spPr>
        <a:xfrm>
          <a:off x="5854700" y="2476500"/>
          <a:ext cx="24384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24A744-DAE8-47E3-8E6E-FC89BB2A39CD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Organization: 50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381000</xdr:colOff>
      <xdr:row>16</xdr:row>
      <xdr:rowOff>63500</xdr:rowOff>
    </xdr:from>
    <xdr:to>
      <xdr:col>13</xdr:col>
      <xdr:colOff>393700</xdr:colOff>
      <xdr:row>18</xdr:row>
      <xdr:rowOff>50800</xdr:rowOff>
    </xdr:to>
    <xdr:sp macro="" textlink="'Ind Revenues'!C27">
      <xdr:nvSpPr>
        <xdr:cNvPr id="23" name="TextBox 22">
          <a:extLst>
            <a:ext uri="{FF2B5EF4-FFF2-40B4-BE49-F238E27FC236}">
              <a16:creationId xmlns:a16="http://schemas.microsoft.com/office/drawing/2014/main" id="{4BEF8E6B-6E12-2ABF-E83A-8EDE566267E2}"/>
            </a:ext>
          </a:extLst>
        </xdr:cNvPr>
        <xdr:cNvSpPr txBox="1"/>
      </xdr:nvSpPr>
      <xdr:spPr>
        <a:xfrm>
          <a:off x="5867400" y="3009900"/>
          <a:ext cx="24511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BA25D14-8BF7-4A9C-A244-18231A1FEAF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Individual: 42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387350</xdr:colOff>
      <xdr:row>19</xdr:row>
      <xdr:rowOff>19050</xdr:rowOff>
    </xdr:from>
    <xdr:to>
      <xdr:col>13</xdr:col>
      <xdr:colOff>406400</xdr:colOff>
      <xdr:row>21</xdr:row>
      <xdr:rowOff>6350</xdr:rowOff>
    </xdr:to>
    <xdr:sp macro="" textlink="Affiliate!I3">
      <xdr:nvSpPr>
        <xdr:cNvPr id="24" name="TextBox 23">
          <a:extLst>
            <a:ext uri="{FF2B5EF4-FFF2-40B4-BE49-F238E27FC236}">
              <a16:creationId xmlns:a16="http://schemas.microsoft.com/office/drawing/2014/main" id="{D2479B9D-B8C3-C9AB-2349-8043DC807BCE}"/>
            </a:ext>
          </a:extLst>
        </xdr:cNvPr>
        <xdr:cNvSpPr txBox="1"/>
      </xdr:nvSpPr>
      <xdr:spPr>
        <a:xfrm>
          <a:off x="5848350" y="3504494"/>
          <a:ext cx="244616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4494B2-E521-4B40-A542-45F34FAE5810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Affiliate: 27</a:t>
          </a:fld>
          <a:endParaRPr kumimoji="0" lang="en-US" sz="18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486833</xdr:colOff>
      <xdr:row>2</xdr:row>
      <xdr:rowOff>155222</xdr:rowOff>
    </xdr:from>
    <xdr:to>
      <xdr:col>21</xdr:col>
      <xdr:colOff>317500</xdr:colOff>
      <xdr:row>23</xdr:row>
      <xdr:rowOff>77611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D762BD-5EB8-4A13-9E47-4FF5D858C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0.18978</cdr:x>
      <cdr:y>0.50532</cdr:y>
    </cdr:from>
    <cdr:to>
      <cdr:x>0.82573</cdr:x>
      <cdr:y>0.92178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179822" y="2173931"/>
          <a:ext cx="3953479" cy="17916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$980,767</a:t>
          </a:fld>
          <a:endParaRPr lang="en-US" sz="14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232833</xdr:colOff>
      <xdr:row>9</xdr:row>
      <xdr:rowOff>28221</xdr:rowOff>
    </xdr:from>
    <xdr:to>
      <xdr:col>9</xdr:col>
      <xdr:colOff>1043516</xdr:colOff>
      <xdr:row>27</xdr:row>
      <xdr:rowOff>47270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A50D-5E4B-EC7E-909D-065EA63CF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853722</xdr:colOff>
      <xdr:row>28</xdr:row>
      <xdr:rowOff>168274</xdr:rowOff>
    </xdr:from>
    <xdr:to>
      <xdr:col>12</xdr:col>
      <xdr:colOff>22578</xdr:colOff>
      <xdr:row>46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2E625-6BFD-8152-E127-FA89ABE6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55</xdr:row>
      <xdr:rowOff>31750</xdr:rowOff>
    </xdr:from>
    <xdr:to>
      <xdr:col>9</xdr:col>
      <xdr:colOff>787400</xdr:colOff>
      <xdr:row>57</xdr:row>
      <xdr:rowOff>19050</xdr:rowOff>
    </xdr:to>
    <xdr:sp macro="" textlink="$C$12">
      <xdr:nvSpPr>
        <xdr:cNvPr id="6" name="TextBox 5">
          <a:extLst>
            <a:ext uri="{FF2B5EF4-FFF2-40B4-BE49-F238E27FC236}">
              <a16:creationId xmlns:a16="http://schemas.microsoft.com/office/drawing/2014/main" id="{8D11EF5C-1E04-D5DE-1538-58ED043E91A9}"/>
            </a:ext>
          </a:extLst>
        </xdr:cNvPr>
        <xdr:cNvSpPr txBox="1"/>
      </xdr:nvSpPr>
      <xdr:spPr>
        <a:xfrm>
          <a:off x="9296400" y="8318500"/>
          <a:ext cx="219075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E693DA-C8B5-48AF-9143-8A87AFBACF34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400" kern="1200"/>
        </a:p>
      </xdr:txBody>
    </xdr:sp>
    <xdr:clientData/>
  </xdr:twoCellAnchor>
  <xdr:twoCellAnchor>
    <xdr:from>
      <xdr:col>7</xdr:col>
      <xdr:colOff>50800</xdr:colOff>
      <xdr:row>53</xdr:row>
      <xdr:rowOff>6350</xdr:rowOff>
    </xdr:from>
    <xdr:to>
      <xdr:col>9</xdr:col>
      <xdr:colOff>615950</xdr:colOff>
      <xdr:row>54</xdr:row>
      <xdr:rowOff>114300</xdr:rowOff>
    </xdr:to>
    <xdr:sp macro="" textlink="$B$44">
      <xdr:nvSpPr>
        <xdr:cNvPr id="7" name="TextBox 6">
          <a:extLst>
            <a:ext uri="{FF2B5EF4-FFF2-40B4-BE49-F238E27FC236}">
              <a16:creationId xmlns:a16="http://schemas.microsoft.com/office/drawing/2014/main" id="{973F9DA9-E326-2350-A6F7-8882220DFD28}"/>
            </a:ext>
          </a:extLst>
        </xdr:cNvPr>
        <xdr:cNvSpPr txBox="1"/>
      </xdr:nvSpPr>
      <xdr:spPr>
        <a:xfrm>
          <a:off x="9531350" y="7924800"/>
          <a:ext cx="17843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CE8D6E-A750-4000-9BFA-79CF2116596F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Current: $980,767, 34%</a:t>
          </a:fld>
          <a:endParaRPr lang="en-US" sz="1400" kern="1200"/>
        </a:p>
      </xdr:txBody>
    </xdr:sp>
    <xdr:clientData/>
  </xdr:twoCellAnchor>
  <xdr:twoCellAnchor>
    <xdr:from>
      <xdr:col>0</xdr:col>
      <xdr:colOff>2455333</xdr:colOff>
      <xdr:row>47</xdr:row>
      <xdr:rowOff>112889</xdr:rowOff>
    </xdr:from>
    <xdr:to>
      <xdr:col>6</xdr:col>
      <xdr:colOff>620888</xdr:colOff>
      <xdr:row>67</xdr:row>
      <xdr:rowOff>141109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3695-14C1-D2C5-6A57-ECCBB727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$980,767</a:t>
          </a:fld>
          <a:endParaRPr lang="en-US" sz="14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0.19469</cdr:x>
      <cdr:y>0.54157</cdr:y>
    </cdr:from>
    <cdr:to>
      <cdr:x>0.83064</cdr:x>
      <cdr:y>0.95803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489076" y="2130426"/>
          <a:ext cx="4864100" cy="16383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3175</xdr:rowOff>
    </xdr:from>
    <xdr:to>
      <xdr:col>9</xdr:col>
      <xdr:colOff>127000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26D8-4881-EBBA-2AC9-8F0CF87C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7</xdr:row>
      <xdr:rowOff>15874</xdr:rowOff>
    </xdr:from>
    <xdr:to>
      <xdr:col>19</xdr:col>
      <xdr:colOff>457200</xdr:colOff>
      <xdr:row>24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0049-FD24-91A6-174A-DCE6CCB6B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7</xdr:row>
      <xdr:rowOff>152400</xdr:rowOff>
    </xdr:from>
    <xdr:to>
      <xdr:col>16</xdr:col>
      <xdr:colOff>368300</xdr:colOff>
      <xdr:row>9</xdr:row>
      <xdr:rowOff>57150</xdr:rowOff>
    </xdr:to>
    <xdr:sp macro="" textlink="$C$17">
      <xdr:nvSpPr>
        <xdr:cNvPr id="3" name="TextBox 2">
          <a:extLst>
            <a:ext uri="{FF2B5EF4-FFF2-40B4-BE49-F238E27FC236}">
              <a16:creationId xmlns:a16="http://schemas.microsoft.com/office/drawing/2014/main" id="{3A29942F-CE62-9979-97DE-203946C6F9E0}"/>
            </a:ext>
          </a:extLst>
        </xdr:cNvPr>
        <xdr:cNvSpPr txBox="1"/>
      </xdr:nvSpPr>
      <xdr:spPr>
        <a:xfrm>
          <a:off x="8985250" y="1441450"/>
          <a:ext cx="1562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363D6-27A8-4F3E-B5E2-C756082F7C64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Grand Total: $30,500</a:t>
          </a:fld>
          <a:endParaRPr 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15</xdr:row>
      <xdr:rowOff>22225</xdr:rowOff>
    </xdr:from>
    <xdr:to>
      <xdr:col>17</xdr:col>
      <xdr:colOff>107950</xdr:colOff>
      <xdr:row>30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09E5-DF88-8D11-B678-BC9CEB6B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443279</xdr:colOff>
      <xdr:row>2</xdr:row>
      <xdr:rowOff>96837</xdr:rowOff>
    </xdr:from>
    <xdr:to>
      <xdr:col>13</xdr:col>
      <xdr:colOff>63501</xdr:colOff>
      <xdr:row>17</xdr:row>
      <xdr:rowOff>92441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A4D4A-1A88-EB9A-BF84-730A7B63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4699074" createdVersion="8" refreshedVersion="8" minRefreshableVersion="3" recordCount="20" xr:uid="{619B6AF4-40B3-4ADD-B0CD-1A3A6410ACAF}">
  <cacheSource type="worksheet">
    <worksheetSource ref="A1:B21" sheet="draft_mem_goal_work"/>
  </cacheSource>
  <cacheFields count="2">
    <cacheField name="pct" numFmtId="9">
      <sharedItems containsSemiMixedTypes="0" containsString="0" containsNumber="1" minValue="0.1" maxValue="2" count="20"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total" numFmtId="0">
      <sharedItems containsSemiMixedTypes="0" containsString="0" containsNumber="1" minValue="0" maxValue="28145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87384259" createdVersion="8" refreshedVersion="8" minRefreshableVersion="3" recordCount="3" xr:uid="{18BA5DB4-C019-4CEE-9D98-AE783960781B}">
  <cacheSource type="worksheet">
    <worksheetSource name="Table10"/>
  </cacheSource>
  <cacheFields count="2">
    <cacheField name="Membership Class" numFmtId="0">
      <sharedItems count="3">
        <s v="Affiliate Memberships"/>
        <s v="Individual Memberships"/>
        <s v="Organizational Memberships"/>
      </sharedItems>
    </cacheField>
    <cacheField name="2026 Dues Total" numFmtId="0">
      <sharedItems containsSemiMixedTypes="0" containsString="0" containsNumber="1" minValue="9300" maxValue="110573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83.380696296299" createdVersion="8" refreshedVersion="8" minRefreshableVersion="3" recordCount="64" xr:uid="{6531C421-DFCF-4ADD-A59F-D7283A494ABE}">
  <cacheSource type="worksheet">
    <worksheetSource name="Yrs_of_Membership"/>
  </cacheSource>
  <cacheFields count="11">
    <cacheField name="Account Name" numFmtId="0">
      <sharedItems containsBlank="1"/>
    </cacheField>
    <cacheField name="Total" numFmtId="0">
      <sharedItems containsString="0" containsBlank="1" containsNumber="1" minValue="100" maxValue="38100"/>
    </cacheField>
    <cacheField name="Posted Date" numFmtId="14">
      <sharedItems containsNonDate="0" containsDate="1" containsString="0" containsBlank="1" minDate="2026-01-05T00:00:00" maxDate="2026-02-28T00:00:00"/>
    </cacheField>
    <cacheField name="Receipt Number" numFmtId="0">
      <sharedItems containsString="0" containsBlank="1" containsNumber="1" containsInteger="1" minValue="18359" maxValue="19083"/>
    </cacheField>
    <cacheField name="Receipt Line ID" numFmtId="0">
      <sharedItems containsString="0" containsBlank="1" containsNumber="1" containsInteger="1" minValue="44215" maxValue="45165"/>
    </cacheField>
    <cacheField name="Member Since" numFmtId="14">
      <sharedItems containsNonDate="0" containsDate="1" containsString="0" containsBlank="1" minDate="1996-01-01T00:00:00" maxDate="2026-01-02T00:00:00"/>
    </cacheField>
    <cacheField name="Account Category" numFmtId="0">
      <sharedItems containsBlank="1"/>
    </cacheField>
    <cacheField name="Billing Country" numFmtId="0">
      <sharedItems containsBlank="1"/>
    </cacheField>
    <cacheField name="Item Name" numFmtId="0">
      <sharedItems containsBlank="1"/>
    </cacheField>
    <cacheField name="Paid_Month" numFmtId="0">
      <sharedItems containsString="0" containsBlank="1" containsNumber="1" containsInteger="1" minValue="1" maxValue="2"/>
    </cacheField>
    <cacheField name="Years Member" numFmtId="0">
      <sharedItems containsBlank="1" count="6">
        <m/>
        <s v="1 Year"/>
        <s v="Over 15 Years"/>
        <s v="2 to 5 Years"/>
        <s v="6 to 10 Years"/>
        <s v="11 to 15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113.401436342596" createdVersion="8" refreshedVersion="8" minRefreshableVersion="3" recordCount="74" xr:uid="{57E158F3-5AA3-44B4-96AE-D05E0D608F4F}">
  <cacheSource type="worksheet">
    <worksheetSource name="Orgs"/>
  </cacheSource>
  <cacheFields count="10">
    <cacheField name="Account Name" numFmtId="0">
      <sharedItems/>
    </cacheField>
    <cacheField name="Total" numFmtId="0">
      <sharedItems containsSemiMixedTypes="0" containsString="0" containsNumber="1" minValue="108.79" maxValue="40000"/>
    </cacheField>
    <cacheField name="Posted Date" numFmtId="14">
      <sharedItems containsSemiMixedTypes="0" containsNonDate="0" containsDate="1" containsString="0" minDate="2026-01-05T00:00:00" maxDate="2026-04-01T00:00:00"/>
    </cacheField>
    <cacheField name="Receipt Number" numFmtId="0">
      <sharedItems containsSemiMixedTypes="0" containsString="0" containsNumber="1" containsInteger="1" minValue="18359" maxValue="19507"/>
    </cacheField>
    <cacheField name="Receipt Line ID" numFmtId="0">
      <sharedItems containsSemiMixedTypes="0" containsString="0" containsNumber="1" containsInteger="1" minValue="44215" maxValue="45907"/>
    </cacheField>
    <cacheField name="Member Since" numFmtId="14">
      <sharedItems containsSemiMixedTypes="0" containsNonDate="0" containsDate="1" containsString="0" minDate="1998-05-10T00:00:00" maxDate="2026-03-26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Organizational Membership"/>
        <s v="Gold Membership"/>
        <s v="Benefactor Membership"/>
      </sharedItems>
    </cacheField>
    <cacheField name="Paid_Month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143.380617708332" createdVersion="8" refreshedVersion="8" minRefreshableVersion="3" recordCount="177" xr:uid="{01C1A90D-F825-4B54-A04C-37AA8FD92959}">
  <cacheSource type="worksheet">
    <worksheetSource name="Accounts_with_Mem_and_Receipts"/>
  </cacheSource>
  <cacheFields count="12">
    <cacheField name="Account Name" numFmtId="0">
      <sharedItems containsBlank="1" count="173">
        <m/>
        <s v="ARUP Laboratories, Inc."/>
        <s v="Acre Security"/>
        <s v="Agence du Numérique en Santé (ANS)"/>
        <s v="Agence eSante Luxembourg"/>
        <s v="American College of Physicians"/>
        <s v="American College of Radiology"/>
        <s v="American Dental Association"/>
        <s v="American Immunization Registry Association (AIRA)"/>
        <s v="American Medical Association"/>
        <s v="Apelon, Inc."/>
        <s v="Beata Piehl Household"/>
        <s v="Becton Dickinson"/>
        <s v="Bellese Technologies"/>
        <s v="Benedictine Health System"/>
        <s v="Best Option Healthcare PR"/>
        <s v="Blue Cross Blue Shield Association"/>
        <s v="Brandon Noffsinger Household"/>
        <s v="CAL2CAL Corporation"/>
        <s v="CSIRO"/>
        <s v="Children's Hospital of Philadelphia"/>
        <s v="Clinicomp, Intl"/>
        <s v="College of American Pathologists"/>
        <s v="Confidential Information - Do Not Distribute"/>
        <s v="Copyright © 2000-2026 salesforce.com, inc. All rights reserved."/>
        <s v="CyncHealth"/>
        <s v="DUANE VEACH Household"/>
        <s v="Daniel Ries Household"/>
        <s v="Dataware Sdn Bhd"/>
        <s v="David Schlossman Household"/>
        <s v="Deloitte Consulting LLP"/>
        <s v="Dennis Loucks Household"/>
        <s v="Diego Franco Household"/>
        <s v="Donald Kurtz Household"/>
        <s v="Duteau Design Inc"/>
        <s v="Eli Streitmatter Household"/>
        <s v="Epic"/>
        <s v="Federal Electronic Health Record Modernization Office"/>
        <s v="Firely USA"/>
        <s v="First Databank"/>
        <s v="Flatiron Health"/>
        <s v="Flexpa"/>
        <s v="Fresenius Vial"/>
        <s v="Gary Blatt Household"/>
        <s v="GigaTECH LLC"/>
        <s v="Glen Rigby Household"/>
        <s v="Global Alliant Inc"/>
        <s v="HIMSS"/>
        <s v="HL7 Argentina"/>
        <s v="HL7 Austria"/>
        <s v="HL7 Brazil"/>
        <s v="HL7 Canada"/>
        <s v="HL7 China"/>
        <s v="HL7 Colombia"/>
        <s v="HL7 Croatia"/>
        <s v="HL7 Czech Republic"/>
        <s v="HL7 Denmark"/>
        <s v="HL7 Ecuador"/>
        <s v="HL7 France"/>
        <s v="HL7 Germany"/>
        <s v="HL7 Hong Kong"/>
        <s v="HL7 Italy"/>
        <s v="HL7 Korea"/>
        <s v="HL7 Netherlands"/>
        <s v="HL7 Norway"/>
        <s v="HL7 Poland"/>
        <s v="HL7 Romania"/>
        <s v="HL7 Russia"/>
        <s v="HL7 Slovakia"/>
        <s v="HL7 Slovenia"/>
        <s v="HL7 Sweden"/>
        <s v="HL7 Switzerland"/>
        <s v="HL7 Taiwan"/>
        <s v="HL7 UAE"/>
        <s v="HL7 UK"/>
        <s v="Health Samurai Inc."/>
        <s v="Health and Welfare Information Systems Centre"/>
        <s v="Healthcare Logistics Ltd"/>
        <s v="Helios Software"/>
        <s v="Hung Vo Household"/>
        <s v="ICCBBA, Inc."/>
        <s v="ICF"/>
        <s v="IPRO"/>
        <s v="Indian Health Service"/>
        <s v="InterSystems"/>
        <s v="Intrepid Ascent"/>
        <s v="James Ferguson Household"/>
        <s v="John Hatem Household"/>
        <s v="John Hinch Household"/>
        <s v="John Moehrke Household"/>
        <s v="Johns Hopkins Hospital"/>
        <s v="Jonathan Whitby Household"/>
        <s v="Ken McCaslin Household"/>
        <s v="Kimberly Langer Household"/>
        <s v="KlearTrust"/>
        <s v="Lisa Nelson Household"/>
        <s v="MASAHARU NAKAYAMA Household"/>
        <s v="MEDENT"/>
        <s v="Manijeh Berenji Household"/>
        <s v="Marc Albers Household"/>
        <s v="Mark Marciante Household"/>
        <s v="Mass General Brigham"/>
        <s v="Massachusetts Health Data Consortium"/>
        <s v="MedicaSoft"/>
        <s v="Mediclinic Southern Africa"/>
        <s v="Medtronic"/>
        <s v="Melva Peters Household"/>
        <s v="Michele Trofatter Household"/>
        <s v="MyDirectives"/>
        <s v="NCQA"/>
        <s v="NICTIZ"/>
        <s v="NYC Department of Health and Mental Hygiene"/>
        <s v="National Association of Dental Plans"/>
        <s v="National Library of Medicine"/>
        <s v="Nava"/>
        <s v="Navidence, Inc."/>
        <s v="New Fields Technologies LLC"/>
        <s v="Next Level Health Innovations"/>
        <s v="Northwestern Medicine"/>
        <s v="Office of the National Coordinator for Health IT"/>
        <s v="Onyx Technology LLC"/>
        <s v="Outburn Ltd"/>
        <s v="Patient Centric Solutions"/>
        <s v="Patient Resource LLC"/>
        <s v="PhenoML, Inc."/>
        <s v="Premier Healthcare Alliance"/>
        <s v="Professional Laboratory Management, Inc."/>
        <s v="Ramani Eedara Household"/>
        <s v="Ready Computing LLC"/>
        <s v="Reed Technology and Information Services Inc."/>
        <s v="Regenstrief Institute, Inc."/>
        <s v="RevDoc, LLC"/>
        <s v="Rhapsody"/>
        <s v="Robert Campbell Household"/>
        <s v="Roche Diagnostics International Ltd."/>
        <s v="Ryan Lee Household"/>
        <s v="Ryan Weihler Household"/>
        <s v="SLI Compliance"/>
        <s v="SSATRANS"/>
        <s v="Sam Schifman Household"/>
        <s v="SandwYch, Inc."/>
        <s v="Sandy Vance Household"/>
        <s v="Srinivasan Parthasarathy Household"/>
        <s v="Stan Rankins Household"/>
        <s v="Stedi"/>
        <s v="Surescripts"/>
        <s v="Tennessee Department of Health"/>
        <s v="Tetra Fields LLC"/>
        <s v="Texas Department of State Health Services"/>
        <s v="Toshiaki Kato Household"/>
        <s v="UHIN"/>
        <s v="UNC School of Medicine"/>
        <s v="USAging"/>
        <s v="USC/CHLA"/>
        <s v="Univ of TX Health Science Center San Antonio"/>
        <s v="University of Nebraska Medical Center"/>
        <s v="University of Utah Health Care"/>
        <s v="Virginia Department of Health"/>
        <s v="Vrushang Patel Household"/>
        <s v="WI Department of Health Services"/>
        <s v="WNY HEALTHeLINK"/>
        <s v="WPS Health Solutions"/>
        <s v="WaveOne Associates Inc."/>
        <s v="West Virginia Departments of Human Services, Health and Health Facilities"/>
        <s v="Westat"/>
        <s v="Wolters Kluwer Health"/>
        <s v="XIFIN, Inc."/>
        <s v="Yan Heras Household"/>
        <s v="Yardi Systems, Inc."/>
        <s v="Zus Health"/>
        <s v="eClinicalWorks"/>
        <s v="innoVet Health, LLC"/>
        <s v="tuuthfairy, Inc."/>
      </sharedItems>
    </cacheField>
    <cacheField name="Total" numFmtId="0">
      <sharedItems containsString="0" containsBlank="1" containsNumber="1" minValue="75" maxValue="40000"/>
    </cacheField>
    <cacheField name="Posted Date" numFmtId="14">
      <sharedItems containsNonDate="0" containsDate="1" containsString="0" containsBlank="1" minDate="2026-01-05T00:00:00" maxDate="2026-05-01T00:00:00" count="76">
        <m/>
        <d v="2026-03-30T00:00:00"/>
        <d v="2026-02-13T00:00:00"/>
        <d v="2026-04-13T00:00:00"/>
        <d v="2026-04-21T00:00:00"/>
        <d v="2026-04-23T00:00:00"/>
        <d v="2026-04-15T00:00:00"/>
        <d v="2026-02-19T00:00:00"/>
        <d v="2026-03-04T00:00:00"/>
        <d v="2026-01-13T00:00:00"/>
        <d v="2026-01-11T00:00:00"/>
        <d v="2026-01-05T00:00:00"/>
        <d v="2026-03-25T00:00:00"/>
        <d v="2026-04-16T00:00:00"/>
        <d v="2026-02-11T00:00:00"/>
        <d v="2026-03-26T00:00:00"/>
        <d v="2026-02-09T00:00:00"/>
        <d v="2026-01-12T00:00:00"/>
        <d v="2026-02-20T00:00:00"/>
        <d v="2026-03-27T00:00:00"/>
        <d v="2026-01-20T00:00:00"/>
        <d v="2026-02-06T00:00:00"/>
        <d v="2026-03-23T00:00:00"/>
        <d v="2026-02-16T00:00:00"/>
        <d v="2026-04-08T00:00:00"/>
        <d v="2026-04-09T00:00:00"/>
        <d v="2026-01-31T00:00:00"/>
        <d v="2026-04-10T00:00:00"/>
        <d v="2026-01-30T00:00:00"/>
        <d v="2026-03-02T00:00:00"/>
        <d v="2026-03-18T00:00:00"/>
        <d v="2026-01-26T00:00:00"/>
        <d v="2026-03-09T00:00:00"/>
        <d v="2026-01-08T00:00:00"/>
        <d v="2026-01-21T00:00:00"/>
        <d v="2026-04-07T00:00:00"/>
        <d v="2026-02-02T00:00:00"/>
        <d v="2026-04-06T00:00:00"/>
        <d v="2026-02-27T00:00:00"/>
        <d v="2026-03-11T00:00:00"/>
        <d v="2026-03-16T00:00:00"/>
        <d v="2026-03-03T00:00:00"/>
        <d v="2026-03-31T00:00:00"/>
        <d v="2026-03-24T00:00:00"/>
        <d v="2026-03-10T00:00:00"/>
        <d v="2026-02-26T00:00:00"/>
        <d v="2026-04-01T00:00:00"/>
        <d v="2026-04-02T00:00:00"/>
        <d v="2026-03-22T00:00:00"/>
        <d v="2026-02-17T00:00:00"/>
        <d v="2026-04-28T00:00:00"/>
        <d v="2026-04-03T00:00:00"/>
        <d v="2026-03-17T00:00:00"/>
        <d v="2026-04-20T00:00:00"/>
        <d v="2026-04-24T00:00:00"/>
        <d v="2026-03-13T00:00:00"/>
        <d v="2026-04-29T00:00:00"/>
        <d v="2026-01-15T00:00:00"/>
        <d v="2026-04-30T00:00:00"/>
        <d v="2026-01-06T00:00:00"/>
        <d v="2026-01-29T00:00:00"/>
        <d v="2026-03-06T00:00:00"/>
        <d v="2026-04-12T00:00:00"/>
        <d v="2026-03-20T00:00:00"/>
        <d v="2026-01-22T00:00:00"/>
        <d v="2026-04-17T00:00:00"/>
        <d v="2026-04-14T00:00:00"/>
        <d v="2026-01-23T00:00:00"/>
        <d v="2026-01-09T00:00:00"/>
        <d v="2026-02-18T00:00:00"/>
        <d v="2026-03-21T00:00:00"/>
        <d v="2026-01-07T00:00:00"/>
        <d v="2026-02-03T00:00:00"/>
        <d v="2026-01-16T00:00:00"/>
        <d v="2026-01-28T00:00:00"/>
        <d v="2026-03-19T00:00:00"/>
      </sharedItems>
      <fieldGroup par="11"/>
    </cacheField>
    <cacheField name="Receipt Number" numFmtId="0">
      <sharedItems containsString="0" containsBlank="1" containsNumber="1" containsInteger="1" minValue="18359" maxValue="19983"/>
    </cacheField>
    <cacheField name="Receipt Line ID" numFmtId="0">
      <sharedItems containsString="0" containsBlank="1" containsNumber="1" containsInteger="1" minValue="44215" maxValue="47210"/>
    </cacheField>
    <cacheField name="Member Since" numFmtId="14">
      <sharedItems containsNonDate="0" containsDate="1" containsString="0" containsBlank="1" minDate="1992-01-01T00:00:00" maxDate="2026-04-25T00:00:00"/>
    </cacheField>
    <cacheField name="Account Category" numFmtId="0">
      <sharedItems containsBlank="1"/>
    </cacheField>
    <cacheField name="Billing Country" numFmtId="0">
      <sharedItems containsBlank="1"/>
    </cacheField>
    <cacheField name="Item Name" numFmtId="0">
      <sharedItems containsBlank="1" count="8">
        <m/>
        <s v="Organizational Membership"/>
        <s v="Gold Membership"/>
        <s v="Benefactor Membership"/>
        <s v="Individual Membership"/>
        <s v="Retiree Membership"/>
        <s v="Affiliate Membership"/>
        <s v="Student Membership"/>
      </sharedItems>
    </cacheField>
    <cacheField name="Paid_Month" numFmtId="0">
      <sharedItems containsString="0" containsBlank="1" containsNumber="1" containsInteger="1" minValue="1" maxValue="4"/>
    </cacheField>
    <cacheField name="Days (Posted Date)" numFmtId="0" databaseField="0">
      <fieldGroup base="2">
        <rangePr groupBy="days" startDate="2026-01-05T00:00:00" endDate="2026-05-0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1/2026"/>
        </groupItems>
      </fieldGroup>
    </cacheField>
    <cacheField name="Months (Posted Date)" numFmtId="0" databaseField="0">
      <fieldGroup base="2">
        <rangePr groupBy="months" startDate="2026-01-05T00:00:00" endDate="2026-05-0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143.380897453702" createdVersion="8" refreshedVersion="8" minRefreshableVersion="3" recordCount="42" xr:uid="{C8EFC42E-61DF-4935-964B-0132AE937AF3}">
  <cacheSource type="worksheet">
    <worksheetSource name="Individual"/>
  </cacheSource>
  <cacheFields count="10">
    <cacheField name="Account Name" numFmtId="0">
      <sharedItems/>
    </cacheField>
    <cacheField name="Total" numFmtId="0">
      <sharedItems containsSemiMixedTypes="0" containsString="0" containsNumber="1" containsInteger="1" minValue="75" maxValue="775"/>
    </cacheField>
    <cacheField name="Posted Date" numFmtId="14">
      <sharedItems containsSemiMixedTypes="0" containsNonDate="0" containsDate="1" containsString="0" minDate="2026-01-05T00:00:00" maxDate="2026-05-01T00:00:00"/>
    </cacheField>
    <cacheField name="Receipt Number" numFmtId="0">
      <sharedItems containsSemiMixedTypes="0" containsString="0" containsNumber="1" containsInteger="1" minValue="18371" maxValue="19983"/>
    </cacheField>
    <cacheField name="Receipt Line ID" numFmtId="0">
      <sharedItems containsSemiMixedTypes="0" containsString="0" containsNumber="1" containsInteger="1" minValue="44227" maxValue="47210"/>
    </cacheField>
    <cacheField name="Member Since" numFmtId="14">
      <sharedItems containsSemiMixedTypes="0" containsNonDate="0" containsDate="1" containsString="0" minDate="1996-08-15T00:00:00" maxDate="2026-04-14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Individual Membership"/>
        <s v="Retiree Membership"/>
        <s v="Student Membership"/>
      </sharedItems>
    </cacheField>
    <cacheField name="Paid_Month" numFmtId="0">
      <sharedItems containsSemiMixedTypes="0" containsString="0" containsNumber="1" containsInteger="1" minValue="1" maxValue="12" count="12">
        <n v="1"/>
        <n v="3"/>
        <n v="2"/>
        <n v="4"/>
        <n v="8" u="1"/>
        <n v="9" u="1"/>
        <n v="7" u="1"/>
        <n v="11" u="1"/>
        <n v="6" u="1"/>
        <n v="12" u="1"/>
        <n v="10" u="1"/>
        <n v="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143.381247337966" backgroundQuery="1" createdVersion="8" refreshedVersion="8" minRefreshableVersion="3" recordCount="0" supportSubquery="1" supportAdvancedDrill="1" xr:uid="{6934E0F6-796E-4171-AB11-8F75B59856AC}">
  <cacheSource type="external" connectionId="5"/>
  <cacheFields count="2">
    <cacheField name="[Processed].[Paid_Month].[Paid_Month]" caption="Paid_Month" numFmtId="0" hierarchy="1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Processed].[Paid_Month].&amp;[1]"/>
            <x15:cachedUniqueName index="1" name="[Processed].[Paid_Month].&amp;[2]"/>
            <x15:cachedUniqueName index="2" name="[Processed].[Paid_Month].&amp;[3]"/>
            <x15:cachedUniqueName index="3" name="[Processed].[Paid_Month].&amp;[4]"/>
          </x15:cachedUniqueNames>
        </ext>
      </extLst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2" memberValueDatatype="20" unbalanced="0">
      <fieldsUsage count="2">
        <fieldUsage x="-1"/>
        <fieldUsage x="0"/>
      </fieldsUsage>
    </cacheHierarchy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143.381248148151" backgroundQuery="1" createdVersion="8" refreshedVersion="8" minRefreshableVersion="3" recordCount="0" supportSubquery="1" supportAdvancedDrill="1" xr:uid="{254D038B-BA73-4D38-8141-CCBDC6BAB1B4}">
  <cacheSource type="external" connectionId="5"/>
  <cacheFields count="2">
    <cacheField name="[Processed].[Item Name].[Item Name]" caption="Item Name" numFmtId="0" hierarchy="18" level="1">
      <sharedItems count="3">
        <s v="Benefactor Membership"/>
        <s v="Gold Membership"/>
        <s v="Organizational Membership"/>
      </sharedItems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2" memberValueDatatype="130" unbalanced="0">
      <fieldsUsage count="2">
        <fieldUsage x="-1"/>
        <fieldUsage x="0"/>
      </fieldsUsage>
    </cacheHierarchy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143.38137210648" backgroundQuery="1" createdVersion="8" refreshedVersion="8" minRefreshableVersion="3" recordCount="0" supportSubquery="1" supportAdvancedDrill="1" xr:uid="{3F7D1F73-C59D-4C83-93E5-F04B253C42FE}">
  <cacheSource type="external" connectionId="5"/>
  <cacheFields count="2">
    <cacheField name="[Accounts_with_Mem_and_Receipts].[Account Category].[Account Category]" caption="Account Category" numFmtId="0" hierarchy="6" level="1">
      <sharedItems count="3">
        <s v="Consultant"/>
        <s v="Government/Professional Associations/Academic Institution"/>
        <s v="Supplier/Vendor"/>
      </sharedItems>
    </cacheField>
    <cacheField name="[Measures].[Sum of Total 2]" caption="Sum of Total 2" numFmtId="0" hierarchy="25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2" memberValueDatatype="130" unbalanced="0">
      <fieldsUsage count="2">
        <fieldUsage x="-1"/>
        <fieldUsage x="0"/>
      </fieldsUsage>
    </cacheHierarchy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81453.33"/>
  </r>
  <r>
    <x v="1"/>
    <n v="281453.33"/>
  </r>
  <r>
    <x v="2"/>
    <n v="281453.33"/>
  </r>
  <r>
    <x v="3"/>
    <n v="281453.33"/>
  </r>
  <r>
    <x v="4"/>
    <n v="281453.33"/>
  </r>
  <r>
    <x v="5"/>
    <n v="281453.33"/>
  </r>
  <r>
    <x v="6"/>
    <n v="281453.33"/>
  </r>
  <r>
    <x v="7"/>
    <n v="281453.33"/>
  </r>
  <r>
    <x v="8"/>
    <n v="281453.33"/>
  </r>
  <r>
    <x v="9"/>
    <n v="281453.33"/>
  </r>
  <r>
    <x v="10"/>
    <n v="281453.33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300"/>
  </r>
  <r>
    <x v="1"/>
    <n v="9300"/>
  </r>
  <r>
    <x v="2"/>
    <n v="110573.8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m/>
    <m/>
    <m/>
    <m/>
    <m/>
    <m/>
    <m/>
    <m/>
    <m/>
    <m/>
    <x v="0"/>
  </r>
  <r>
    <s v="Confidential Information - Do Not Distribute"/>
    <m/>
    <m/>
    <m/>
    <m/>
    <m/>
    <m/>
    <m/>
    <m/>
    <m/>
    <x v="0"/>
  </r>
  <r>
    <s v="Copyright © 2000-2026 salesforce.com, inc. All rights reserved."/>
    <m/>
    <m/>
    <m/>
    <m/>
    <m/>
    <m/>
    <m/>
    <m/>
    <m/>
    <x v="0"/>
  </r>
  <r>
    <s v="Daniel Ries Household"/>
    <n v="100"/>
    <d v="2026-02-16T00:00:00"/>
    <n v="18946"/>
    <n v="44978"/>
    <d v="2023-01-01T00:00:00"/>
    <s v=""/>
    <s v="United States"/>
    <s v="Retiree Membership"/>
    <n v="2"/>
    <x v="1"/>
  </r>
  <r>
    <s v="Ken McCaslin Household"/>
    <n v="100"/>
    <d v="2026-02-11T00:00:00"/>
    <n v="18927"/>
    <n v="44951"/>
    <d v="1996-01-01T00:00:00"/>
    <s v=""/>
    <s v="United States"/>
    <s v="Retiree Membership"/>
    <n v="2"/>
    <x v="2"/>
  </r>
  <r>
    <s v="Patient Centric Solutions"/>
    <n v="460.04"/>
    <d v="2026-01-09T00:00:00"/>
    <n v="18491"/>
    <n v="44373"/>
    <d v="2025-01-01T00:00:00"/>
    <s v="Supplier/Vendor"/>
    <s v="United States"/>
    <s v="Organizational Membership"/>
    <n v="1"/>
    <x v="1"/>
  </r>
  <r>
    <s v="Beata Piehl Household"/>
    <n v="775"/>
    <d v="2026-01-11T00:00:00"/>
    <n v="18551"/>
    <n v="44438"/>
    <d v="2024-01-01T00:00:00"/>
    <s v=""/>
    <s v=""/>
    <s v="Individual Membership"/>
    <n v="1"/>
    <x v="1"/>
  </r>
  <r>
    <s v="Bellese Technologies"/>
    <n v="775"/>
    <d v="2026-01-05T00:00:00"/>
    <n v="18371"/>
    <n v="44227"/>
    <d v="2021-01-01T00:00:00"/>
    <s v=""/>
    <s v="United States"/>
    <s v="Individual Membership"/>
    <n v="1"/>
    <x v="3"/>
  </r>
  <r>
    <s v="CSIRO"/>
    <n v="775"/>
    <d v="2026-01-12T00:00:00"/>
    <n v="18605"/>
    <n v="44503"/>
    <d v="2026-01-01T00:00:00"/>
    <s v=""/>
    <s v="Australia"/>
    <s v="Individual Membership"/>
    <n v="1"/>
    <x v="1"/>
  </r>
  <r>
    <s v="Dennis Loucks Household"/>
    <n v="775"/>
    <d v="2026-01-31T00:00:00"/>
    <n v="18840"/>
    <n v="44813"/>
    <d v="2021-01-01T00:00:00"/>
    <s v=""/>
    <s v=""/>
    <s v="Individual Membership"/>
    <n v="1"/>
    <x v="3"/>
  </r>
  <r>
    <s v="Donald Kurtz Household"/>
    <n v="775"/>
    <d v="2026-01-30T00:00:00"/>
    <n v="18833"/>
    <n v="44806"/>
    <d v="2026-01-01T00:00:00"/>
    <s v=""/>
    <s v="United States"/>
    <s v="Individual Membership"/>
    <n v="1"/>
    <x v="1"/>
  </r>
  <r>
    <s v="First Databank"/>
    <n v="775"/>
    <d v="2026-01-21T00:00:00"/>
    <n v="18708"/>
    <n v="44608"/>
    <d v="2015-01-01T00:00:00"/>
    <s v="Supplier/Vendor"/>
    <s v="United States"/>
    <s v="Individual Membership"/>
    <n v="1"/>
    <x v="4"/>
  </r>
  <r>
    <s v="Glen Rigby Household"/>
    <n v="775"/>
    <d v="2026-02-27T00:00:00"/>
    <n v="19083"/>
    <n v="45165"/>
    <d v="2026-01-01T00:00:00"/>
    <s v=""/>
    <s v="United States"/>
    <s v="Individual Membership"/>
    <n v="2"/>
    <x v="1"/>
  </r>
  <r>
    <s v="John Moehrke Household"/>
    <n v="775"/>
    <d v="2026-01-06T00:00:00"/>
    <n v="18392"/>
    <n v="44254"/>
    <d v="2026-01-01T00:00:00"/>
    <s v=""/>
    <s v="United States"/>
    <s v="Individual Membership"/>
    <n v="1"/>
    <x v="1"/>
  </r>
  <r>
    <s v="Mark Marciante Household"/>
    <n v="775"/>
    <d v="2026-02-02T00:00:00"/>
    <n v="18853"/>
    <n v="44825"/>
    <d v="2024-01-01T00:00:00"/>
    <s v=""/>
    <s v=""/>
    <s v="Individual Membership"/>
    <n v="2"/>
    <x v="1"/>
  </r>
  <r>
    <s v="Ryan Lee Household"/>
    <n v="775"/>
    <d v="2026-01-12T00:00:00"/>
    <n v="18585"/>
    <n v="44482"/>
    <d v="2026-01-01T00:00:00"/>
    <s v=""/>
    <s v="United States"/>
    <s v="Individual Membership"/>
    <n v="1"/>
    <x v="1"/>
  </r>
  <r>
    <s v="Ryan Weihler Household"/>
    <n v="775"/>
    <d v="2026-02-17T00:00:00"/>
    <n v="18965"/>
    <n v="45000"/>
    <d v="2023-01-01T00:00:00"/>
    <s v=""/>
    <s v="United States"/>
    <s v="Individual Membership"/>
    <n v="2"/>
    <x v="1"/>
  </r>
  <r>
    <s v="Sam Schifman Household"/>
    <n v="775"/>
    <d v="2026-01-21T00:00:00"/>
    <n v="18695"/>
    <n v="44595"/>
    <d v="2025-01-01T00:00:00"/>
    <s v=""/>
    <s v=""/>
    <s v="Individual Membership"/>
    <n v="1"/>
    <x v="1"/>
  </r>
  <r>
    <s v="Sandy Vance Household"/>
    <n v="775"/>
    <d v="2026-01-07T00:00:00"/>
    <n v="18418"/>
    <n v="44298"/>
    <d v="2023-01-01T00:00:00"/>
    <s v=""/>
    <s v="United States"/>
    <s v="Individual Membership"/>
    <n v="1"/>
    <x v="1"/>
  </r>
  <r>
    <s v="Srinivasan Parthasarathy Household"/>
    <n v="775"/>
    <d v="2026-02-02T00:00:00"/>
    <n v="18845"/>
    <n v="44817"/>
    <d v="2026-01-01T00:00:00"/>
    <s v=""/>
    <s v="United States"/>
    <s v="Individual Membership"/>
    <n v="2"/>
    <x v="1"/>
  </r>
  <r>
    <s v="Stan Rankins Household"/>
    <n v="775"/>
    <d v="2026-02-03T00:00:00"/>
    <n v="18862"/>
    <n v="44835"/>
    <d v="2026-01-01T00:00:00"/>
    <s v=""/>
    <s v="United States"/>
    <s v="Individual Membership"/>
    <n v="2"/>
    <x v="1"/>
  </r>
  <r>
    <s v="Toshiaki Kato Household"/>
    <n v="775"/>
    <d v="2026-01-28T00:00:00"/>
    <n v="18774"/>
    <n v="44713"/>
    <d v="2026-01-01T00:00:00"/>
    <s v=""/>
    <s v="Japan"/>
    <s v="Individual Membership"/>
    <n v="1"/>
    <x v="1"/>
  </r>
  <r>
    <s v="HL7 Ecuador"/>
    <n v="1000"/>
    <d v="2026-02-26T00:00:00"/>
    <n v="19043"/>
    <n v="45122"/>
    <d v="2024-01-01T00:00:00"/>
    <s v=""/>
    <s v="Ecuador"/>
    <s v="Affiliate Membership"/>
    <n v="2"/>
    <x v="1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s v="Organizational Membership"/>
    <n v="1"/>
    <x v="5"/>
  </r>
  <r>
    <s v="Dataware Sdn Bhd"/>
    <n v="1545"/>
    <d v="2026-02-09T00:00:00"/>
    <n v="18914"/>
    <n v="44907"/>
    <d v="2012-01-01T00:00:00"/>
    <s v="Supplier/Vendor"/>
    <s v="Malaysia"/>
    <s v="Organizational Membership"/>
    <n v="2"/>
    <x v="5"/>
  </r>
  <r>
    <s v="ICCBBA, Inc."/>
    <n v="1545"/>
    <d v="2026-02-06T00:00:00"/>
    <n v="18891"/>
    <n v="44881"/>
    <d v="2000-01-01T00:00:00"/>
    <s v="Government/Professional Associations/Academic Institution"/>
    <s v="United States"/>
    <s v="Organizational Membership"/>
    <n v="2"/>
    <x v="2"/>
  </r>
  <r>
    <s v="KlearTrust"/>
    <n v="1545"/>
    <d v="2026-01-29T00:00:00"/>
    <n v="18802"/>
    <n v="44761"/>
    <d v="2024-01-01T00:00:00"/>
    <s v="Supplier/Vendor"/>
    <s v="United States"/>
    <s v="Organizational Membership"/>
    <n v="1"/>
    <x v="1"/>
  </r>
  <r>
    <s v="National Association of Dental Plans"/>
    <n v="1545"/>
    <d v="2026-01-15T00:00:00"/>
    <n v="18652"/>
    <n v="44550"/>
    <d v="2006-01-01T00:00:00"/>
    <s v="Government/Professional Associations/Academic Institution"/>
    <s v="United States"/>
    <s v="Organizational Membership"/>
    <n v="1"/>
    <x v="2"/>
  </r>
  <r>
    <s v="Professional Laboratory Management, Inc."/>
    <n v="1545"/>
    <d v="2026-01-05T00:00:00"/>
    <n v="18359"/>
    <n v="44215"/>
    <d v="2010-01-01T00:00:00"/>
    <s v="Consultant"/>
    <s v="United States"/>
    <s v="Organizational Membership"/>
    <n v="1"/>
    <x v="5"/>
  </r>
  <r>
    <s v="SLI Compliance"/>
    <n v="1545"/>
    <d v="2026-01-13T00:00:00"/>
    <n v="18620"/>
    <n v="44519"/>
    <d v="2013-01-01T00:00:00"/>
    <s v="Government/Professional Associations/Academic Institution"/>
    <s v="United States"/>
    <s v="Organizational Membership"/>
    <n v="1"/>
    <x v="4"/>
  </r>
  <r>
    <s v="SandwYch, Inc."/>
    <n v="1545"/>
    <d v="2026-01-07T00:00:00"/>
    <n v="18421"/>
    <n v="44301"/>
    <d v="2026-01-01T00:00:00"/>
    <s v="Supplier/Vendor"/>
    <s v="United States"/>
    <s v="Organizational Membership"/>
    <n v="1"/>
    <x v="1"/>
  </r>
  <r>
    <s v="Stedi"/>
    <n v="1545"/>
    <d v="2026-02-16T00:00:00"/>
    <n v="18947"/>
    <n v="44979"/>
    <d v="2021-01-01T00:00:00"/>
    <s v="Supplier/Vendor"/>
    <s v="United States"/>
    <s v="Organizational Membership"/>
    <n v="2"/>
    <x v="3"/>
  </r>
  <r>
    <s v="Tetra Fields LLC"/>
    <n v="1545"/>
    <d v="2026-01-20T00:00:00"/>
    <n v="18683"/>
    <n v="44583"/>
    <d v="2025-01-01T00:00:00"/>
    <s v="Supplier/Vendor"/>
    <s v="United States"/>
    <s v="Organizational Membership"/>
    <n v="1"/>
    <x v="1"/>
  </r>
  <r>
    <s v="American Dental Association"/>
    <n v="1620"/>
    <d v="2026-02-19T00:00:00"/>
    <n v="18996"/>
    <n v="45039"/>
    <d v="2012-01-01T00:00:00"/>
    <s v="Government/Professional Associations/Academic Institution"/>
    <s v="United States"/>
    <s v="Organizational Membership"/>
    <n v="2"/>
    <x v="5"/>
  </r>
  <r>
    <s v="Acre Security"/>
    <n v="1905"/>
    <d v="2026-02-13T00:00:00"/>
    <n v="18941"/>
    <n v="44973"/>
    <d v="2022-01-01T00:00:00"/>
    <s v="Supplier/Vendor"/>
    <s v="United States"/>
    <s v="Gold Membership"/>
    <n v="2"/>
    <x v="1"/>
  </r>
  <r>
    <s v="CAL2CAL Corporation"/>
    <n v="1905"/>
    <d v="2026-02-09T00:00:00"/>
    <n v="18906"/>
    <n v="44895"/>
    <d v="2003-01-01T00:00:00"/>
    <s v="Supplier/Vendor"/>
    <s v="United States"/>
    <s v="Gold Membership"/>
    <n v="2"/>
    <x v="2"/>
  </r>
  <r>
    <s v="Firely USA"/>
    <n v="1905"/>
    <d v="2026-01-08T00:00:00"/>
    <n v="18444"/>
    <n v="44327"/>
    <d v="2024-01-01T00:00:00"/>
    <s v="Supplier/Vendor"/>
    <s v="United States"/>
    <s v="Gold Membership"/>
    <n v="1"/>
    <x v="1"/>
  </r>
  <r>
    <s v="HIMSS"/>
    <n v="1905"/>
    <d v="2026-02-02T00:00:00"/>
    <n v="18850"/>
    <n v="44822"/>
    <d v="2009-01-01T00:00:00"/>
    <s v="Government/Professional Associations/Academic Institution"/>
    <s v="United States"/>
    <s v="Gold Membership"/>
    <n v="2"/>
    <x v="5"/>
  </r>
  <r>
    <s v="Massachusetts Health Data Consortium"/>
    <n v="1905"/>
    <d v="2026-02-17T00:00:00"/>
    <n v="18958"/>
    <n v="44993"/>
    <d v="2020-01-01T00:00:00"/>
    <s v="Government/Professional Associations/Academic Institution"/>
    <s v="United States"/>
    <s v="Gold Membership"/>
    <n v="2"/>
    <x v="3"/>
  </r>
  <r>
    <s v="MyDirectives"/>
    <n v="1905"/>
    <d v="2026-01-22T00:00:00"/>
    <n v="18717"/>
    <n v="44617"/>
    <d v="2018-01-01T00:00:00"/>
    <s v="Supplier/Vendor"/>
    <s v="United States"/>
    <s v="Gold Membership"/>
    <n v="1"/>
    <x v="3"/>
  </r>
  <r>
    <s v="Univ of TX Health Science Center San Antonio"/>
    <n v="1905"/>
    <d v="2026-02-16T00:00:00"/>
    <n v="18949"/>
    <n v="44981"/>
    <d v="2020-01-01T00:00:00"/>
    <s v="Government/Professional Associations/Academic Institution"/>
    <s v="United States"/>
    <s v="Gold Membership"/>
    <n v="2"/>
    <x v="3"/>
  </r>
  <r>
    <s v="Regenstrief Institute, Inc."/>
    <n v="2160"/>
    <d v="2026-02-18T00:00:00"/>
    <n v="18975"/>
    <n v="45010"/>
    <d v="1998-01-01T00:00:00"/>
    <s v="Provider"/>
    <s v="United States"/>
    <s v="Gold Membership"/>
    <n v="2"/>
    <x v="2"/>
  </r>
  <r>
    <s v="Apelon, Inc."/>
    <n v="2370"/>
    <d v="2026-01-13T00:00:00"/>
    <n v="18613"/>
    <n v="44511"/>
    <d v="2003-01-01T00:00:00"/>
    <s v="Supplier/Vendor"/>
    <s v="United States"/>
    <s v="Organizational Membership"/>
    <n v="1"/>
    <x v="2"/>
  </r>
  <r>
    <s v="MedicaSoft"/>
    <n v="2370"/>
    <d v="2026-01-20T00:00:00"/>
    <n v="18672"/>
    <n v="44570"/>
    <d v="2014-01-01T00:00:00"/>
    <s v="Supplier/Vendor"/>
    <s v="United States"/>
    <s v="Organizational Membership"/>
    <n v="1"/>
    <x v="4"/>
  </r>
  <r>
    <s v="Tennessee Department of Health"/>
    <n v="2680"/>
    <d v="2026-01-16T00:00:00"/>
    <n v="18656"/>
    <n v="44554"/>
    <d v="2001-01-01T00:00:00"/>
    <s v="Government/Professional Associations/Academic Institution"/>
    <s v="United States"/>
    <s v="Organizational Membership"/>
    <n v="1"/>
    <x v="2"/>
  </r>
  <r>
    <s v="Virginia Department of Health"/>
    <n v="2680"/>
    <d v="2026-01-16T00:00:00"/>
    <n v="18660"/>
    <n v="44559"/>
    <d v="2011-01-01T00:00:00"/>
    <s v="Government/Professional Associations/Academic Institution"/>
    <s v="United States"/>
    <s v="Organizational Membership"/>
    <n v="1"/>
    <x v="5"/>
  </r>
  <r>
    <s v="West Virginia Departments of Human Services, Health and Health Facilities"/>
    <n v="2680"/>
    <d v="2026-01-30T00:00:00"/>
    <n v="18826"/>
    <n v="44799"/>
    <d v="2017-01-01T00:00:00"/>
    <s v="Government/Professional Associations/Academic Institution"/>
    <s v="United States"/>
    <s v="Organizational Membership"/>
    <n v="1"/>
    <x v="4"/>
  </r>
  <r>
    <s v="New Fields Technologies LLC"/>
    <n v="2990"/>
    <d v="2026-01-23T00:00:00"/>
    <n v="18722"/>
    <n v="44622"/>
    <d v="2025-01-01T00:00:00"/>
    <s v="Supplier/Vendor"/>
    <s v="United States"/>
    <s v="Gold Membership"/>
    <n v="1"/>
    <x v="1"/>
  </r>
  <r>
    <s v="Onyx Technology LLC"/>
    <n v="2990"/>
    <d v="2026-01-09T00:00:00"/>
    <n v="18479"/>
    <n v="44361"/>
    <d v="2021-01-01T00:00:00"/>
    <s v="Supplier/Vendor"/>
    <s v="United States"/>
    <s v="Gold Membership"/>
    <n v="1"/>
    <x v="3"/>
  </r>
  <r>
    <s v="Indian Health Service"/>
    <n v="5460"/>
    <d v="2026-01-15T00:00:00"/>
    <n v="18650"/>
    <n v="44548"/>
    <d v="2009-01-01T00:00:00"/>
    <s v="Government/Professional Associations/Academic Institution"/>
    <s v="United States"/>
    <s v="Organizational Membership"/>
    <n v="1"/>
    <x v="5"/>
  </r>
  <r>
    <s v="Blue Cross Blue Shield Association"/>
    <n v="5770"/>
    <d v="2026-02-11T00:00:00"/>
    <n v="18923"/>
    <n v="44942"/>
    <d v="1999-01-01T00:00:00"/>
    <s v="Payer"/>
    <s v="United States"/>
    <s v="Organizational Membership"/>
    <n v="2"/>
    <x v="2"/>
  </r>
  <r>
    <s v="CyncHealth"/>
    <n v="7210"/>
    <d v="2026-02-06T00:00:00"/>
    <n v="18957"/>
    <n v="44992"/>
    <d v="2023-01-01T00:00:00"/>
    <s v="Provider"/>
    <s v="United States"/>
    <s v="Organizational Membership"/>
    <n v="2"/>
    <x v="1"/>
  </r>
  <r>
    <s v="HL7 Norway"/>
    <n v="8456.1"/>
    <d v="2026-02-17T00:00:00"/>
    <n v="18962"/>
    <n v="44997"/>
    <d v="2010-01-01T00:00:00"/>
    <s v=""/>
    <s v="Norway"/>
    <s v="Affiliate Membership"/>
    <n v="2"/>
    <x v="5"/>
  </r>
  <r>
    <s v="Flatiron Health"/>
    <n v="9685"/>
    <d v="2026-01-30T00:00:00"/>
    <n v="18825"/>
    <n v="44798"/>
    <d v="2015-01-01T00:00:00"/>
    <s v="Supplier/Vendor"/>
    <s v="United States"/>
    <s v="Organizational Membership"/>
    <n v="1"/>
    <x v="4"/>
  </r>
  <r>
    <s v="Children's Hospital of Philadelphia"/>
    <n v="9990"/>
    <d v="2026-02-20T00:00:00"/>
    <n v="18993"/>
    <n v="45036"/>
    <d v="2009-01-01T00:00:00"/>
    <s v="Provider"/>
    <s v="United States"/>
    <s v="Organizational Membership"/>
    <n v="2"/>
    <x v="5"/>
  </r>
  <r>
    <s v="Johns Hopkins Hospital"/>
    <n v="14420"/>
    <d v="2026-02-02T00:00:00"/>
    <n v="18849"/>
    <n v="44821"/>
    <d v="2003-01-01T00:00:00"/>
    <s v="Provider"/>
    <s v="United States"/>
    <s v="Organizational Membership"/>
    <n v="2"/>
    <x v="2"/>
  </r>
  <r>
    <s v="MEDENT"/>
    <n v="16175"/>
    <d v="2026-02-20T00:00:00"/>
    <n v="18994"/>
    <n v="45037"/>
    <d v="2010-01-01T00:00:00"/>
    <s v="Supplier/Vendor"/>
    <s v="United States"/>
    <s v="Organizational Membership"/>
    <n v="2"/>
    <x v="5"/>
  </r>
  <r>
    <s v="Ready Computing LLC"/>
    <n v="21630"/>
    <d v="2026-02-09T00:00:00"/>
    <n v="18908"/>
    <n v="44897"/>
    <d v="2015-01-01T00:00:00"/>
    <s v="Supplier/Vendor"/>
    <s v="United States"/>
    <s v="Benefactor Membership"/>
    <n v="2"/>
    <x v="4"/>
  </r>
  <r>
    <s v="Becton Dickinson"/>
    <n v="23375"/>
    <d v="2026-02-19T00:00:00"/>
    <n v="18995"/>
    <n v="45038"/>
    <d v="2015-01-01T00:00:00"/>
    <s v="Supplier/Vendor"/>
    <s v="United States"/>
    <s v="Organizational Membership"/>
    <n v="2"/>
    <x v="4"/>
  </r>
  <r>
    <s v="Fresenius Vial"/>
    <n v="23375"/>
    <d v="2026-02-02T00:00:00"/>
    <n v="18851"/>
    <n v="44823"/>
    <d v="2013-01-01T00:00:00"/>
    <s v="Supplier/Vendor"/>
    <s v="France"/>
    <s v="Organizational Membership"/>
    <n v="2"/>
    <x v="4"/>
  </r>
  <r>
    <s v="ICF"/>
    <n v="23375"/>
    <d v="2026-01-26T00:00:00"/>
    <n v="18752"/>
    <n v="44676"/>
    <d v="2012-01-01T00:00:00"/>
    <s v="Consultant"/>
    <s v="United States"/>
    <s v="Organizational Membership"/>
    <n v="1"/>
    <x v="5"/>
  </r>
  <r>
    <s v="Roche Diagnostics International Ltd."/>
    <n v="23375"/>
    <d v="2026-02-13T00:00:00"/>
    <n v="18940"/>
    <n v="44972"/>
    <d v="2013-01-01T00:00:00"/>
    <s v="Supplier/Vendor"/>
    <s v="Switzerland"/>
    <s v="Organizational Membership"/>
    <n v="2"/>
    <x v="4"/>
  </r>
  <r>
    <s v="Surescripts"/>
    <n v="23375"/>
    <d v="2026-02-27T00:00:00"/>
    <n v="19076"/>
    <n v="45158"/>
    <d v="2002-01-01T00:00:00"/>
    <s v="Supplier/Vendor"/>
    <s v="United States"/>
    <s v="Organizational Membership"/>
    <n v="2"/>
    <x v="2"/>
  </r>
  <r>
    <s v="Epic"/>
    <n v="38100"/>
    <d v="2026-01-26T00:00:00"/>
    <n v="18755"/>
    <n v="44679"/>
    <d v="1998-01-01T00:00:00"/>
    <s v="Supplier/Vendor"/>
    <s v="United States"/>
    <s v="Benefactor Membership"/>
    <n v="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ARUP Laboratories, Inc."/>
    <n v="1650"/>
    <d v="2026-03-30T00:00:00"/>
    <n v="19487"/>
    <n v="45879"/>
    <d v="2002-07-23T00:00:00"/>
    <s v="Provider"/>
    <s v="United States"/>
    <x v="0"/>
    <n v="3"/>
  </r>
  <r>
    <s v="Acre Security"/>
    <n v="1905"/>
    <d v="2026-02-13T00:00:00"/>
    <n v="18941"/>
    <n v="44973"/>
    <d v="2022-01-10T00:00:00"/>
    <s v="Supplier/Vendor"/>
    <s v="United States"/>
    <x v="1"/>
    <n v="2"/>
  </r>
  <r>
    <s v="American Dental Association"/>
    <n v="1620"/>
    <d v="2026-02-19T00:00:00"/>
    <n v="18996"/>
    <n v="45039"/>
    <d v="2012-03-08T00:00:00"/>
    <s v="Government/Professional Associations/Academic Institution"/>
    <s v="United States"/>
    <x v="0"/>
    <n v="2"/>
  </r>
  <r>
    <s v="American Medical Association"/>
    <n v="16500"/>
    <d v="2026-03-04T00:00:00"/>
    <n v="19145"/>
    <n v="45249"/>
    <d v="2009-12-15T00:00:00"/>
    <s v="Government/Professional Associations/Academic Institution"/>
    <s v="United States"/>
    <x v="2"/>
    <n v="3"/>
  </r>
  <r>
    <s v="Apelon, Inc."/>
    <n v="2370"/>
    <d v="2026-01-13T00:00:00"/>
    <n v="18613"/>
    <n v="44511"/>
    <d v="2003-08-06T00:00:00"/>
    <s v="Supplier/Vendor"/>
    <s v="United States"/>
    <x v="0"/>
    <n v="1"/>
  </r>
  <r>
    <s v="Becton Dickinson"/>
    <n v="23375"/>
    <d v="2026-02-19T00:00:00"/>
    <n v="18995"/>
    <n v="45038"/>
    <d v="2015-10-20T00:00:00"/>
    <s v="Supplier/Vendor"/>
    <s v="United States"/>
    <x v="0"/>
    <n v="2"/>
  </r>
  <r>
    <s v="Benedictine Health System"/>
    <n v="2680"/>
    <d v="2026-03-25T00:00:00"/>
    <n v="19429"/>
    <n v="45783"/>
    <d v="2019-04-04T00:00:00"/>
    <s v="Provider"/>
    <s v="United States"/>
    <x v="0"/>
    <n v="3"/>
  </r>
  <r>
    <s v="Blue Cross Blue Shield Association"/>
    <n v="5770"/>
    <d v="2026-02-11T00:00:00"/>
    <n v="18923"/>
    <n v="44942"/>
    <d v="1999-07-19T00:00:00"/>
    <s v="Payer"/>
    <s v="United States"/>
    <x v="0"/>
    <n v="2"/>
  </r>
  <r>
    <s v="CAL2CAL Corporation"/>
    <n v="1905"/>
    <d v="2026-02-09T00:00:00"/>
    <n v="18906"/>
    <n v="44895"/>
    <d v="2003-04-14T00:00:00"/>
    <s v="Supplier/Vendor"/>
    <s v="United States"/>
    <x v="1"/>
    <n v="2"/>
  </r>
  <r>
    <s v="Children's Hospital of Philadelphia"/>
    <n v="9990"/>
    <d v="2026-02-20T00:00:00"/>
    <n v="18993"/>
    <n v="45036"/>
    <d v="2009-06-19T00:00:00"/>
    <s v="Provider"/>
    <s v="United States"/>
    <x v="0"/>
    <n v="2"/>
  </r>
  <r>
    <s v="Clinicomp, Intl"/>
    <n v="16175"/>
    <d v="2026-03-27T00:00:00"/>
    <n v="19452"/>
    <n v="45818"/>
    <d v="2010-01-01T00:00:00"/>
    <s v="Supplier/Vendor"/>
    <s v="United States"/>
    <x v="0"/>
    <n v="3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x v="0"/>
    <n v="1"/>
  </r>
  <r>
    <s v="CyncHealth"/>
    <n v="7210"/>
    <d v="2026-02-06T00:00:00"/>
    <n v="18957"/>
    <n v="44992"/>
    <d v="2023-08-30T00:00:00"/>
    <s v="Provider"/>
    <s v="United States"/>
    <x v="0"/>
    <n v="2"/>
  </r>
  <r>
    <s v="Dataware Sdn Bhd"/>
    <n v="1545"/>
    <d v="2026-02-09T00:00:00"/>
    <n v="18914"/>
    <n v="44907"/>
    <d v="2012-08-16T00:00:00"/>
    <s v="Supplier/Vendor"/>
    <s v="Malaysia"/>
    <x v="0"/>
    <n v="2"/>
  </r>
  <r>
    <s v="Duteau Design Inc"/>
    <n v="1905"/>
    <d v="2026-03-02T00:00:00"/>
    <n v="19109"/>
    <n v="45195"/>
    <d v="2020-12-15T00:00:00"/>
    <s v="Consultant"/>
    <s v="Canada"/>
    <x v="1"/>
    <n v="3"/>
  </r>
  <r>
    <s v="Epic"/>
    <n v="38100"/>
    <d v="2026-01-26T00:00:00"/>
    <n v="18755"/>
    <n v="44679"/>
    <d v="1998-05-10T00:00:00"/>
    <s v="Supplier/Vendor"/>
    <s v="United States"/>
    <x v="2"/>
    <n v="1"/>
  </r>
  <r>
    <s v="Federal Electronic Health Record Modernization Office"/>
    <n v="35000"/>
    <d v="2026-03-09T00:00:00"/>
    <n v="19242"/>
    <n v="45430"/>
    <d v="2016-07-07T00:00:00"/>
    <s v="Government/Professional Associations/Academic Institution"/>
    <s v="United States"/>
    <x v="2"/>
    <n v="3"/>
  </r>
  <r>
    <s v="Firely USA"/>
    <n v="1905"/>
    <d v="2026-01-08T00:00:00"/>
    <n v="18444"/>
    <n v="44327"/>
    <d v="2024-02-19T00:00:00"/>
    <s v="Supplier/Vendor"/>
    <s v="United States"/>
    <x v="1"/>
    <n v="1"/>
  </r>
  <r>
    <s v="Flatiron Health"/>
    <n v="9685"/>
    <d v="2026-01-30T00:00:00"/>
    <n v="18825"/>
    <n v="44798"/>
    <d v="2015-05-20T00:00:00"/>
    <s v="Supplier/Vendor"/>
    <s v="United States"/>
    <x v="0"/>
    <n v="1"/>
  </r>
  <r>
    <s v="Fresenius Vial"/>
    <n v="23375"/>
    <d v="2026-02-02T00:00:00"/>
    <n v="18851"/>
    <n v="44823"/>
    <d v="2013-10-11T00:00:00"/>
    <s v="Supplier/Vendor"/>
    <s v="France"/>
    <x v="0"/>
    <n v="2"/>
  </r>
  <r>
    <s v="Global Alliant Inc"/>
    <n v="9685"/>
    <d v="2026-03-11T00:00:00"/>
    <n v="19269"/>
    <n v="45476"/>
    <d v="2024-04-18T00:00:00"/>
    <s v="Supplier/Vendor"/>
    <s v="United States"/>
    <x v="0"/>
    <n v="3"/>
  </r>
  <r>
    <s v="HIMSS"/>
    <n v="1905"/>
    <d v="2026-02-02T00:00:00"/>
    <n v="18850"/>
    <n v="44822"/>
    <d v="2009-09-11T00:00:00"/>
    <s v="Government/Professional Associations/Academic Institution"/>
    <s v="United States"/>
    <x v="1"/>
    <n v="2"/>
  </r>
  <r>
    <s v="Health and Welfare Information Systems Centre"/>
    <n v="5460"/>
    <d v="2026-03-16T00:00:00"/>
    <n v="19301"/>
    <n v="45540"/>
    <d v="2017-04-05T00:00:00"/>
    <s v="Government/Professional Associations/Academic Institution"/>
    <s v="Estonia"/>
    <x v="0"/>
    <n v="3"/>
  </r>
  <r>
    <s v="Helios Software"/>
    <n v="1545"/>
    <d v="2026-03-25T00:00:00"/>
    <n v="19422"/>
    <n v="45776"/>
    <d v="2026-03-25T00:00:00"/>
    <s v="Supplier/Vendor"/>
    <s v="United States"/>
    <x v="0"/>
    <n v="3"/>
  </r>
  <r>
    <s v="ICCBBA, Inc."/>
    <n v="1545"/>
    <d v="2026-02-06T00:00:00"/>
    <n v="18891"/>
    <n v="44881"/>
    <d v="2000-02-14T00:00:00"/>
    <s v="Government/Professional Associations/Academic Institution"/>
    <s v="United States"/>
    <x v="0"/>
    <n v="2"/>
  </r>
  <r>
    <s v="ICF"/>
    <n v="23375"/>
    <d v="2026-01-26T00:00:00"/>
    <n v="18752"/>
    <n v="44676"/>
    <d v="2012-12-13T00:00:00"/>
    <s v="Consultant"/>
    <s v="United States"/>
    <x v="0"/>
    <n v="1"/>
  </r>
  <r>
    <s v="Indian Health Service"/>
    <n v="5460"/>
    <d v="2026-01-15T00:00:00"/>
    <n v="18650"/>
    <n v="44548"/>
    <d v="2009-06-25T00:00:00"/>
    <s v="Government/Professional Associations/Academic Institution"/>
    <s v="United States"/>
    <x v="0"/>
    <n v="1"/>
  </r>
  <r>
    <s v="InterSystems"/>
    <n v="40000"/>
    <d v="2026-03-17T00:00:00"/>
    <n v="19316"/>
    <n v="45566"/>
    <d v="2009-07-07T00:00:00"/>
    <s v="Supplier/Vendor"/>
    <s v="United States"/>
    <x v="2"/>
    <n v="3"/>
  </r>
  <r>
    <s v="Intrepid Ascent"/>
    <n v="5770"/>
    <d v="2026-03-13T00:00:00"/>
    <n v="19294"/>
    <n v="45528"/>
    <d v="2025-04-18T00:00:00"/>
    <s v="Consultant"/>
    <s v="United States"/>
    <x v="0"/>
    <n v="3"/>
  </r>
  <r>
    <s v="Johns Hopkins Hospital"/>
    <n v="14420"/>
    <d v="2026-02-02T00:00:00"/>
    <n v="18849"/>
    <n v="44821"/>
    <d v="2003-12-08T00:00:00"/>
    <s v="Provider"/>
    <s v="United States"/>
    <x v="0"/>
    <n v="2"/>
  </r>
  <r>
    <s v="KlearTrust"/>
    <n v="1545"/>
    <d v="2026-01-29T00:00:00"/>
    <n v="18802"/>
    <n v="44761"/>
    <d v="2024-01-12T00:00:00"/>
    <s v="Supplier/Vendor"/>
    <s v="United States"/>
    <x v="0"/>
    <n v="1"/>
  </r>
  <r>
    <s v="MEDENT"/>
    <n v="16175"/>
    <d v="2026-02-20T00:00:00"/>
    <n v="18994"/>
    <n v="45037"/>
    <d v="2010-01-27T00:00:00"/>
    <s v="Supplier/Vendor"/>
    <s v="United States"/>
    <x v="0"/>
    <n v="2"/>
  </r>
  <r>
    <s v="Massachusetts Health Data Consortium"/>
    <n v="1905"/>
    <d v="2026-02-17T00:00:00"/>
    <n v="18958"/>
    <n v="44993"/>
    <d v="2020-05-15T00:00:00"/>
    <s v="Government/Professional Associations/Academic Institution"/>
    <s v="United States"/>
    <x v="1"/>
    <n v="2"/>
  </r>
  <r>
    <s v="MedicaSoft"/>
    <n v="2370"/>
    <d v="2026-01-20T00:00:00"/>
    <n v="18672"/>
    <n v="44570"/>
    <d v="2014-12-15T00:00:00"/>
    <s v="Supplier/Vendor"/>
    <s v="United States"/>
    <x v="0"/>
    <n v="1"/>
  </r>
  <r>
    <s v="Mediclinic Southern Africa"/>
    <n v="1650"/>
    <d v="2026-03-27T00:00:00"/>
    <n v="19449"/>
    <n v="45813"/>
    <d v="2016-03-30T00:00:00"/>
    <s v="Provider"/>
    <s v="South Africa"/>
    <x v="0"/>
    <n v="3"/>
  </r>
  <r>
    <s v="MyDirectives"/>
    <n v="1905"/>
    <d v="2026-01-22T00:00:00"/>
    <n v="18717"/>
    <n v="44617"/>
    <d v="2018-12-31T00:00:00"/>
    <s v="Supplier/Vendor"/>
    <s v="United States"/>
    <x v="1"/>
    <n v="1"/>
  </r>
  <r>
    <s v="NCQA"/>
    <n v="16500"/>
    <d v="2026-03-09T00:00:00"/>
    <n v="19240"/>
    <n v="45428"/>
    <d v="2012-04-05T00:00:00"/>
    <s v="Government/Professional Associations/Academic Institution"/>
    <s v="United States"/>
    <x v="2"/>
    <n v="3"/>
  </r>
  <r>
    <s v="NYC Department of Health and Mental Hygiene"/>
    <n v="1905"/>
    <d v="2026-03-04T00:00:00"/>
    <n v="19156"/>
    <n v="45291"/>
    <d v="2011-06-27T00:00:00"/>
    <s v="Government/Professional Associations/Academic Institution"/>
    <s v="United States"/>
    <x v="1"/>
    <n v="3"/>
  </r>
  <r>
    <s v="National Association of Dental Plans"/>
    <n v="1545"/>
    <d v="2026-01-15T00:00:00"/>
    <n v="18652"/>
    <n v="44550"/>
    <d v="2006-01-03T00:00:00"/>
    <s v="Government/Professional Associations/Academic Institution"/>
    <s v="United States"/>
    <x v="0"/>
    <n v="1"/>
  </r>
  <r>
    <s v="Nava"/>
    <n v="5460"/>
    <d v="2026-03-09T00:00:00"/>
    <n v="19245"/>
    <n v="45433"/>
    <d v="2023-05-23T00:00:00"/>
    <s v="Government/Professional Associations/Academic Institution"/>
    <s v="United States"/>
    <x v="0"/>
    <n v="3"/>
  </r>
  <r>
    <s v="New Fields Technologies LLC"/>
    <n v="2990"/>
    <d v="2026-01-23T00:00:00"/>
    <n v="18722"/>
    <n v="44622"/>
    <d v="2025-01-25T00:00:00"/>
    <s v="Supplier/Vendor"/>
    <s v="United States"/>
    <x v="1"/>
    <n v="1"/>
  </r>
  <r>
    <s v="Northwestern Medicine"/>
    <n v="18025"/>
    <d v="2026-03-25T00:00:00"/>
    <n v="19426"/>
    <n v="45780"/>
    <d v="2020-04-15T00:00:00"/>
    <s v="Provider"/>
    <s v="United States"/>
    <x v="1"/>
    <n v="3"/>
  </r>
  <r>
    <s v="Office of the National Coordinator for Health IT"/>
    <n v="36050"/>
    <d v="2026-03-25T00:00:00"/>
    <n v="19421"/>
    <n v="45775"/>
    <d v="2010-09-20T00:00:00"/>
    <s v="Government/Professional Associations/Academic Institution"/>
    <s v="United States"/>
    <x v="2"/>
    <n v="3"/>
  </r>
  <r>
    <s v="Onyx Technology LLC"/>
    <n v="2990"/>
    <d v="2026-01-09T00:00:00"/>
    <n v="18479"/>
    <n v="44361"/>
    <d v="2021-01-13T00:00:00"/>
    <s v="Supplier/Vendor"/>
    <s v="United States"/>
    <x v="1"/>
    <n v="1"/>
  </r>
  <r>
    <s v="Patient Centric Solutions"/>
    <n v="108.79"/>
    <d v="2026-01-09T00:00:00"/>
    <n v="18507"/>
    <n v="44390"/>
    <d v="2025-04-30T00:00:00"/>
    <s v="Supplier/Vendor"/>
    <s v="United States"/>
    <x v="1"/>
    <n v="1"/>
  </r>
  <r>
    <s v="Patient Centric Solutions"/>
    <n v="460.04"/>
    <d v="2026-01-09T00:00:00"/>
    <n v="18491"/>
    <n v="44373"/>
    <d v="2025-04-30T00:00:00"/>
    <s v="Supplier/Vendor"/>
    <s v="United States"/>
    <x v="0"/>
    <n v="1"/>
  </r>
  <r>
    <s v="Premier Healthcare Alliance"/>
    <n v="23375"/>
    <d v="2026-03-20T00:00:00"/>
    <n v="19374"/>
    <n v="45692"/>
    <d v="2011-06-24T00:00:00"/>
    <s v="Supplier/Vendor"/>
    <s v="United States"/>
    <x v="0"/>
    <n v="3"/>
  </r>
  <r>
    <s v="Professional Laboratory Management, Inc."/>
    <n v="1545"/>
    <d v="2026-01-05T00:00:00"/>
    <n v="18359"/>
    <n v="44215"/>
    <d v="2010-02-16T00:00:00"/>
    <s v="Consultant"/>
    <s v="United States"/>
    <x v="0"/>
    <n v="1"/>
  </r>
  <r>
    <s v="Ready Computing LLC"/>
    <n v="21630"/>
    <d v="2026-02-09T00:00:00"/>
    <n v="18908"/>
    <n v="44897"/>
    <d v="2015-10-27T00:00:00"/>
    <s v="Supplier/Vendor"/>
    <s v="United States"/>
    <x v="2"/>
    <n v="2"/>
  </r>
  <r>
    <s v="Reed Technology and Information Services Inc."/>
    <n v="2370"/>
    <d v="2026-03-27T00:00:00"/>
    <n v="19461"/>
    <n v="45835"/>
    <d v="2005-12-22T00:00:00"/>
    <s v="Supplier/Vendor"/>
    <s v="United States"/>
    <x v="0"/>
    <n v="3"/>
  </r>
  <r>
    <s v="Regenstrief Institute, Inc."/>
    <n v="2160"/>
    <d v="2026-02-18T00:00:00"/>
    <n v="18975"/>
    <n v="45010"/>
    <d v="1998-08-25T00:00:00"/>
    <s v="Provider"/>
    <s v="United States"/>
    <x v="1"/>
    <n v="2"/>
  </r>
  <r>
    <s v="RevDoc, LLC"/>
    <n v="1620"/>
    <d v="2026-03-21T00:00:00"/>
    <n v="19394"/>
    <n v="45737"/>
    <d v="2023-08-30T00:00:00"/>
    <s v="Supplier/Vendor"/>
    <s v="United States"/>
    <x v="0"/>
    <n v="3"/>
  </r>
  <r>
    <s v="Roche Diagnostics International Ltd."/>
    <n v="23375"/>
    <d v="2026-02-13T00:00:00"/>
    <n v="18940"/>
    <n v="44972"/>
    <d v="2013-01-28T00:00:00"/>
    <s v="Supplier/Vendor"/>
    <s v="Switzerland"/>
    <x v="0"/>
    <n v="2"/>
  </r>
  <r>
    <s v="SLI Compliance"/>
    <n v="1545"/>
    <d v="2026-01-13T00:00:00"/>
    <n v="18620"/>
    <n v="44519"/>
    <d v="2013-02-12T00:00:00"/>
    <s v="Government/Professional Associations/Academic Institution"/>
    <s v="United States"/>
    <x v="0"/>
    <n v="1"/>
  </r>
  <r>
    <s v="SandwYch, Inc."/>
    <n v="1545"/>
    <d v="2026-01-07T00:00:00"/>
    <n v="18421"/>
    <n v="44301"/>
    <d v="2026-01-07T00:00:00"/>
    <s v="Supplier/Vendor"/>
    <s v="United States"/>
    <x v="0"/>
    <n v="1"/>
  </r>
  <r>
    <s v="Stedi"/>
    <n v="1545"/>
    <d v="2026-02-16T00:00:00"/>
    <n v="18947"/>
    <n v="44979"/>
    <d v="2021-12-08T00:00:00"/>
    <s v="Supplier/Vendor"/>
    <s v="United States"/>
    <x v="0"/>
    <n v="2"/>
  </r>
  <r>
    <s v="Surescripts"/>
    <n v="23375"/>
    <d v="2026-02-27T00:00:00"/>
    <n v="19076"/>
    <n v="45158"/>
    <d v="2002-12-12T00:00:00"/>
    <s v="Supplier/Vendor"/>
    <s v="United States"/>
    <x v="0"/>
    <n v="2"/>
  </r>
  <r>
    <s v="Tennessee Department of Health"/>
    <n v="2680"/>
    <d v="2026-01-16T00:00:00"/>
    <n v="18656"/>
    <n v="44554"/>
    <d v="2001-04-04T00:00:00"/>
    <s v="Government/Professional Associations/Academic Institution"/>
    <s v="United States"/>
    <x v="0"/>
    <n v="1"/>
  </r>
  <r>
    <s v="Tetra Fields LLC"/>
    <n v="1545"/>
    <d v="2026-01-20T00:00:00"/>
    <n v="18683"/>
    <n v="44583"/>
    <d v="2025-01-22T00:00:00"/>
    <s v="Supplier/Vendor"/>
    <s v="United States"/>
    <x v="0"/>
    <n v="1"/>
  </r>
  <r>
    <s v="UHIN"/>
    <n v="1545"/>
    <d v="2026-03-06T00:00:00"/>
    <n v="19227"/>
    <n v="45392"/>
    <d v="2009-08-26T00:00:00"/>
    <s v="Government/Professional Associations/Academic Institution"/>
    <s v="United States"/>
    <x v="0"/>
    <n v="3"/>
  </r>
  <r>
    <s v="UNC School of Medicine"/>
    <n v="1905"/>
    <d v="2026-03-30T00:00:00"/>
    <n v="19477"/>
    <n v="45869"/>
    <d v="2011-03-28T00:00:00"/>
    <s v="Government/Professional Associations/Academic Institution"/>
    <s v="United States"/>
    <x v="1"/>
    <n v="3"/>
  </r>
  <r>
    <s v="USAging"/>
    <n v="1905"/>
    <d v="2026-03-09T00:00:00"/>
    <n v="19241"/>
    <n v="45429"/>
    <d v="2022-06-06T00:00:00"/>
    <s v="Government/Professional Associations/Academic Institution"/>
    <s v="United States"/>
    <x v="1"/>
    <n v="3"/>
  </r>
  <r>
    <s v="Univ of TX Health Science Center San Antonio"/>
    <n v="1905"/>
    <d v="2026-02-16T00:00:00"/>
    <n v="18949"/>
    <n v="44981"/>
    <d v="2020-09-21T00:00:00"/>
    <s v="Government/Professional Associations/Academic Institution"/>
    <s v="United States"/>
    <x v="1"/>
    <n v="2"/>
  </r>
  <r>
    <s v="University of Nebraska Medical Center"/>
    <n v="1650"/>
    <d v="2026-03-31T00:00:00"/>
    <n v="19507"/>
    <n v="45907"/>
    <d v="2002-04-05T00:00:00"/>
    <s v="Provider"/>
    <s v="United States"/>
    <x v="0"/>
    <n v="3"/>
  </r>
  <r>
    <s v="University of Utah Health Care"/>
    <n v="7570"/>
    <d v="2026-03-31T00:00:00"/>
    <n v="19505"/>
    <n v="45905"/>
    <d v="2006-05-30T00:00:00"/>
    <s v="Provider"/>
    <s v="United States"/>
    <x v="0"/>
    <n v="3"/>
  </r>
  <r>
    <s v="Virginia Department of Health"/>
    <n v="2680"/>
    <d v="2026-01-16T00:00:00"/>
    <n v="18660"/>
    <n v="44559"/>
    <d v="2011-12-20T00:00:00"/>
    <s v="Government/Professional Associations/Academic Institution"/>
    <s v="United States"/>
    <x v="0"/>
    <n v="1"/>
  </r>
  <r>
    <s v="WPS Health Solutions"/>
    <n v="5770"/>
    <d v="2026-03-27T00:00:00"/>
    <n v="19453"/>
    <n v="45819"/>
    <d v="2003-01-09T00:00:00"/>
    <s v="Payer"/>
    <s v="United States"/>
    <x v="0"/>
    <n v="3"/>
  </r>
  <r>
    <s v="WaveOne Associates Inc."/>
    <n v="1545"/>
    <d v="2026-03-26T00:00:00"/>
    <n v="19437"/>
    <n v="45792"/>
    <d v="2013-04-25T00:00:00"/>
    <s v="Consultant"/>
    <s v="United States"/>
    <x v="0"/>
    <n v="3"/>
  </r>
  <r>
    <s v="West Virginia Departments of Human Services, Health and Health Facilities"/>
    <n v="2680"/>
    <d v="2026-01-30T00:00:00"/>
    <n v="18826"/>
    <n v="44799"/>
    <d v="2017-07-26T00:00:00"/>
    <s v="Government/Professional Associations/Academic Institution"/>
    <s v="United States"/>
    <x v="0"/>
    <n v="1"/>
  </r>
  <r>
    <s v="Westat"/>
    <n v="1545"/>
    <d v="2026-03-24T00:00:00"/>
    <n v="19413"/>
    <n v="45764"/>
    <d v="2010-12-10T00:00:00"/>
    <s v="Government/Professional Associations/Academic Institution"/>
    <s v="United States"/>
    <x v="0"/>
    <n v="3"/>
  </r>
  <r>
    <s v="Yardi Systems, Inc."/>
    <n v="10170"/>
    <d v="2026-03-20T00:00:00"/>
    <n v="19377"/>
    <n v="45703"/>
    <d v="2018-09-04T00:00:00"/>
    <s v="Supplier/Vendor"/>
    <s v="United States"/>
    <x v="0"/>
    <n v="3"/>
  </r>
  <r>
    <s v="Zus Health"/>
    <n v="1545"/>
    <d v="2026-03-20T00:00:00"/>
    <n v="19372"/>
    <n v="45683"/>
    <d v="2024-05-03T00:00:00"/>
    <s v="Supplier/Vendor"/>
    <s v="United States"/>
    <x v="0"/>
    <n v="3"/>
  </r>
  <r>
    <s v="innoVet Health, LLC"/>
    <n v="2370"/>
    <d v="2026-03-19T00:00:00"/>
    <n v="19365"/>
    <n v="45676"/>
    <d v="2026-03-19T00:00:00"/>
    <s v="Supplier/Vendor"/>
    <s v="United States"/>
    <x v="0"/>
    <n v="3"/>
  </r>
  <r>
    <s v="tuuthfairy, Inc."/>
    <n v="2990"/>
    <d v="2026-03-06T00:00:00"/>
    <n v="19228"/>
    <n v="45393"/>
    <d v="2025-04-28T00:00:00"/>
    <s v="Supplier/Vendor"/>
    <s v="United States"/>
    <x v="1"/>
    <n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m/>
    <x v="0"/>
    <m/>
    <m/>
    <m/>
    <m/>
    <m/>
    <x v="0"/>
    <m/>
  </r>
  <r>
    <x v="0"/>
    <m/>
    <x v="0"/>
    <m/>
    <m/>
    <m/>
    <m/>
    <m/>
    <x v="0"/>
    <m/>
  </r>
  <r>
    <x v="1"/>
    <n v="1650"/>
    <x v="1"/>
    <n v="19487"/>
    <n v="45879"/>
    <d v="2002-07-23T00:00:00"/>
    <s v="Provider"/>
    <s v="United States"/>
    <x v="1"/>
    <n v="3"/>
  </r>
  <r>
    <x v="2"/>
    <n v="1905"/>
    <x v="2"/>
    <n v="18941"/>
    <n v="44973"/>
    <d v="2022-01-10T00:00:00"/>
    <s v="Supplier/Vendor"/>
    <s v="United States"/>
    <x v="2"/>
    <n v="2"/>
  </r>
  <r>
    <x v="3"/>
    <n v="5460"/>
    <x v="3"/>
    <n v="19656"/>
    <n v="46344"/>
    <d v="2012-06-25T00:00:00"/>
    <s v="Government/Professional Associations/Academic Institution"/>
    <s v="France"/>
    <x v="1"/>
    <n v="4"/>
  </r>
  <r>
    <x v="4"/>
    <n v="1545"/>
    <x v="4"/>
    <n v="19835"/>
    <n v="46933"/>
    <d v="2015-06-04T00:00:00"/>
    <s v="Government/Professional Associations/Academic Institution"/>
    <s v="Luxembourg"/>
    <x v="1"/>
    <n v="4"/>
  </r>
  <r>
    <x v="5"/>
    <n v="1905"/>
    <x v="5"/>
    <n v="19874"/>
    <n v="47015"/>
    <d v="2013-03-28T00:00:00"/>
    <s v="Government/Professional Associations/Academic Institution"/>
    <s v="United States"/>
    <x v="2"/>
    <n v="4"/>
  </r>
  <r>
    <x v="6"/>
    <n v="1545"/>
    <x v="6"/>
    <n v="19719"/>
    <n v="46506"/>
    <d v="2003-05-31T00:00:00"/>
    <s v="Government/Professional Associations/Academic Institution"/>
    <s v="United States"/>
    <x v="1"/>
    <n v="4"/>
  </r>
  <r>
    <x v="7"/>
    <n v="1620"/>
    <x v="7"/>
    <n v="18996"/>
    <n v="45039"/>
    <d v="2012-03-08T00:00:00"/>
    <s v="Government/Professional Associations/Academic Institution"/>
    <s v="United States"/>
    <x v="1"/>
    <n v="2"/>
  </r>
  <r>
    <x v="8"/>
    <n v="1545"/>
    <x v="3"/>
    <n v="19665"/>
    <n v="46358"/>
    <d v="2005-03-02T00:00:00"/>
    <s v="Government/Professional Associations/Academic Institution"/>
    <s v="United States"/>
    <x v="1"/>
    <n v="4"/>
  </r>
  <r>
    <x v="9"/>
    <n v="16500"/>
    <x v="8"/>
    <n v="19145"/>
    <n v="45249"/>
    <d v="2009-12-15T00:00:00"/>
    <s v="Government/Professional Associations/Academic Institution"/>
    <s v="United States"/>
    <x v="3"/>
    <n v="3"/>
  </r>
  <r>
    <x v="10"/>
    <n v="2370"/>
    <x v="9"/>
    <n v="18613"/>
    <n v="44511"/>
    <d v="2003-08-06T00:00:00"/>
    <s v="Supplier/Vendor"/>
    <s v="United States"/>
    <x v="1"/>
    <n v="1"/>
  </r>
  <r>
    <x v="11"/>
    <n v="775"/>
    <x v="10"/>
    <n v="18551"/>
    <n v="44438"/>
    <d v="2024-04-03T00:00:00"/>
    <s v=""/>
    <s v=""/>
    <x v="4"/>
    <n v="1"/>
  </r>
  <r>
    <x v="12"/>
    <n v="23375"/>
    <x v="7"/>
    <n v="18995"/>
    <n v="45038"/>
    <d v="2015-10-20T00:00:00"/>
    <s v="Supplier/Vendor"/>
    <s v="United States"/>
    <x v="1"/>
    <n v="2"/>
  </r>
  <r>
    <x v="13"/>
    <n v="775"/>
    <x v="11"/>
    <n v="18371"/>
    <n v="44227"/>
    <d v="2021-08-25T00:00:00"/>
    <s v=""/>
    <s v="United States"/>
    <x v="4"/>
    <n v="1"/>
  </r>
  <r>
    <x v="14"/>
    <n v="2680"/>
    <x v="12"/>
    <n v="19429"/>
    <n v="45783"/>
    <d v="2019-04-04T00:00:00"/>
    <s v="Provider"/>
    <s v="United States"/>
    <x v="1"/>
    <n v="3"/>
  </r>
  <r>
    <x v="15"/>
    <n v="1650"/>
    <x v="13"/>
    <n v="19738"/>
    <n v="46563"/>
    <d v="2022-05-16T00:00:00"/>
    <s v="Provider"/>
    <s v="United States"/>
    <x v="1"/>
    <n v="4"/>
  </r>
  <r>
    <x v="16"/>
    <n v="5770"/>
    <x v="14"/>
    <n v="18923"/>
    <n v="44942"/>
    <d v="1999-07-19T00:00:00"/>
    <s v="Payer"/>
    <s v="United States"/>
    <x v="1"/>
    <n v="2"/>
  </r>
  <r>
    <x v="17"/>
    <n v="775"/>
    <x v="15"/>
    <n v="19433"/>
    <n v="45787"/>
    <d v="2026-03-26T00:00:00"/>
    <s v=""/>
    <s v="United States"/>
    <x v="4"/>
    <n v="3"/>
  </r>
  <r>
    <x v="18"/>
    <n v="1905"/>
    <x v="16"/>
    <n v="18906"/>
    <n v="44895"/>
    <d v="2003-04-14T00:00:00"/>
    <s v="Supplier/Vendor"/>
    <s v="United States"/>
    <x v="2"/>
    <n v="2"/>
  </r>
  <r>
    <x v="19"/>
    <n v="775"/>
    <x v="17"/>
    <n v="18605"/>
    <n v="44503"/>
    <d v="2026-01-12T00:00:00"/>
    <s v=""/>
    <s v="Australia"/>
    <x v="4"/>
    <n v="1"/>
  </r>
  <r>
    <x v="20"/>
    <n v="9990"/>
    <x v="18"/>
    <n v="18993"/>
    <n v="45036"/>
    <d v="2009-06-19T00:00:00"/>
    <s v="Provider"/>
    <s v="United States"/>
    <x v="1"/>
    <n v="2"/>
  </r>
  <r>
    <x v="21"/>
    <n v="16175"/>
    <x v="19"/>
    <n v="19452"/>
    <n v="45818"/>
    <d v="2010-01-01T00:00:00"/>
    <s v="Supplier/Vendor"/>
    <s v="United States"/>
    <x v="1"/>
    <n v="3"/>
  </r>
  <r>
    <x v="22"/>
    <n v="1545"/>
    <x v="20"/>
    <n v="18678"/>
    <n v="44578"/>
    <d v="2010-01-01T00:00:00"/>
    <s v="Government/Professional Associations/Academic Institution"/>
    <s v="United States"/>
    <x v="1"/>
    <n v="1"/>
  </r>
  <r>
    <x v="23"/>
    <m/>
    <x v="0"/>
    <m/>
    <m/>
    <m/>
    <m/>
    <m/>
    <x v="0"/>
    <m/>
  </r>
  <r>
    <x v="24"/>
    <m/>
    <x v="0"/>
    <m/>
    <m/>
    <m/>
    <m/>
    <m/>
    <x v="0"/>
    <m/>
  </r>
  <r>
    <x v="25"/>
    <n v="7210"/>
    <x v="21"/>
    <n v="18957"/>
    <n v="44992"/>
    <d v="2023-08-30T00:00:00"/>
    <s v="Provider"/>
    <s v="United States"/>
    <x v="1"/>
    <n v="2"/>
  </r>
  <r>
    <x v="26"/>
    <n v="775"/>
    <x v="22"/>
    <n v="19400"/>
    <n v="45749"/>
    <d v="2026-03-23T00:00:00"/>
    <s v=""/>
    <s v="United States"/>
    <x v="4"/>
    <n v="3"/>
  </r>
  <r>
    <x v="27"/>
    <n v="100"/>
    <x v="23"/>
    <n v="18946"/>
    <n v="44978"/>
    <d v="2023-02-02T00:00:00"/>
    <s v=""/>
    <s v="United States"/>
    <x v="5"/>
    <n v="2"/>
  </r>
  <r>
    <x v="28"/>
    <n v="1545"/>
    <x v="16"/>
    <n v="18914"/>
    <n v="44907"/>
    <d v="2012-08-16T00:00:00"/>
    <s v="Supplier/Vendor"/>
    <s v="Malaysia"/>
    <x v="1"/>
    <n v="2"/>
  </r>
  <r>
    <x v="29"/>
    <n v="775"/>
    <x v="24"/>
    <n v="19610"/>
    <n v="46209"/>
    <d v="2026-04-08T00:00:00"/>
    <s v=""/>
    <s v=""/>
    <x v="4"/>
    <n v="4"/>
  </r>
  <r>
    <x v="30"/>
    <n v="775"/>
    <x v="25"/>
    <n v="19625"/>
    <n v="46234"/>
    <d v="2023-02-23T00:00:00"/>
    <s v="Consultant"/>
    <s v="United States"/>
    <x v="4"/>
    <n v="4"/>
  </r>
  <r>
    <x v="31"/>
    <n v="775"/>
    <x v="26"/>
    <n v="18840"/>
    <n v="44813"/>
    <d v="2021-12-16T00:00:00"/>
    <s v=""/>
    <s v=""/>
    <x v="4"/>
    <n v="1"/>
  </r>
  <r>
    <x v="32"/>
    <n v="775"/>
    <x v="27"/>
    <n v="19638"/>
    <n v="46266"/>
    <d v="2026-04-10T00:00:00"/>
    <s v=""/>
    <s v="United States"/>
    <x v="4"/>
    <n v="4"/>
  </r>
  <r>
    <x v="33"/>
    <n v="775"/>
    <x v="28"/>
    <n v="18833"/>
    <n v="44806"/>
    <d v="2026-01-30T00:00:00"/>
    <s v=""/>
    <s v="United States"/>
    <x v="4"/>
    <n v="1"/>
  </r>
  <r>
    <x v="34"/>
    <n v="1905"/>
    <x v="29"/>
    <n v="19109"/>
    <n v="45195"/>
    <d v="2020-12-15T00:00:00"/>
    <s v="Consultant"/>
    <s v="Canada"/>
    <x v="2"/>
    <n v="3"/>
  </r>
  <r>
    <x v="35"/>
    <n v="775"/>
    <x v="30"/>
    <n v="19340"/>
    <n v="45627"/>
    <d v="2026-03-18T00:00:00"/>
    <s v=""/>
    <s v="United States"/>
    <x v="4"/>
    <n v="3"/>
  </r>
  <r>
    <x v="36"/>
    <n v="38100"/>
    <x v="31"/>
    <n v="18755"/>
    <n v="44679"/>
    <d v="1998-05-10T00:00:00"/>
    <s v="Supplier/Vendor"/>
    <s v="United States"/>
    <x v="3"/>
    <n v="1"/>
  </r>
  <r>
    <x v="37"/>
    <n v="35000"/>
    <x v="32"/>
    <n v="19242"/>
    <n v="45430"/>
    <d v="2016-07-07T00:00:00"/>
    <s v="Government/Professional Associations/Academic Institution"/>
    <s v="United States"/>
    <x v="3"/>
    <n v="3"/>
  </r>
  <r>
    <x v="38"/>
    <n v="1905"/>
    <x v="33"/>
    <n v="18444"/>
    <n v="44327"/>
    <d v="2024-02-19T00:00:00"/>
    <s v="Supplier/Vendor"/>
    <s v="United States"/>
    <x v="2"/>
    <n v="1"/>
  </r>
  <r>
    <x v="39"/>
    <n v="775"/>
    <x v="34"/>
    <n v="18708"/>
    <n v="44608"/>
    <d v="2015-02-03T00:00:00"/>
    <s v="Supplier/Vendor"/>
    <s v="United States"/>
    <x v="4"/>
    <n v="1"/>
  </r>
  <r>
    <x v="40"/>
    <n v="9685"/>
    <x v="28"/>
    <n v="18825"/>
    <n v="44798"/>
    <d v="2015-05-20T00:00:00"/>
    <s v="Supplier/Vendor"/>
    <s v="United States"/>
    <x v="1"/>
    <n v="1"/>
  </r>
  <r>
    <x v="41"/>
    <n v="2370"/>
    <x v="35"/>
    <n v="19578"/>
    <n v="46089"/>
    <d v="2022-05-19T00:00:00"/>
    <s v="Supplier/Vendor"/>
    <s v="United States"/>
    <x v="1"/>
    <n v="4"/>
  </r>
  <r>
    <x v="42"/>
    <n v="23375"/>
    <x v="36"/>
    <n v="18851"/>
    <n v="44823"/>
    <d v="2013-10-11T00:00:00"/>
    <s v="Supplier/Vendor"/>
    <s v="France"/>
    <x v="1"/>
    <n v="2"/>
  </r>
  <r>
    <x v="43"/>
    <n v="775"/>
    <x v="25"/>
    <n v="19620"/>
    <n v="46229"/>
    <d v="2023-04-19T00:00:00"/>
    <s v=""/>
    <s v=""/>
    <x v="4"/>
    <n v="4"/>
  </r>
  <r>
    <x v="44"/>
    <n v="1545"/>
    <x v="37"/>
    <n v="19562"/>
    <n v="46062"/>
    <d v="2021-01-11T00:00:00"/>
    <s v="Consultant"/>
    <s v="United States"/>
    <x v="1"/>
    <n v="4"/>
  </r>
  <r>
    <x v="45"/>
    <n v="775"/>
    <x v="38"/>
    <n v="19083"/>
    <n v="45165"/>
    <d v="2026-02-27T00:00:00"/>
    <s v=""/>
    <s v="United States"/>
    <x v="4"/>
    <n v="2"/>
  </r>
  <r>
    <x v="46"/>
    <n v="9685"/>
    <x v="39"/>
    <n v="19269"/>
    <n v="45476"/>
    <d v="2024-04-18T00:00:00"/>
    <s v="Supplier/Vendor"/>
    <s v="United States"/>
    <x v="1"/>
    <n v="3"/>
  </r>
  <r>
    <x v="47"/>
    <n v="1905"/>
    <x v="36"/>
    <n v="18850"/>
    <n v="44822"/>
    <d v="2009-09-11T00:00:00"/>
    <s v="Government/Professional Associations/Academic Institution"/>
    <s v="United States"/>
    <x v="2"/>
    <n v="2"/>
  </r>
  <r>
    <x v="48"/>
    <n v="1000"/>
    <x v="40"/>
    <n v="19639"/>
    <n v="46267"/>
    <d v="2001-01-01T00:00:00"/>
    <s v=""/>
    <s v="Argentina"/>
    <x v="6"/>
    <n v="3"/>
  </r>
  <r>
    <x v="49"/>
    <n v="11621"/>
    <x v="41"/>
    <n v="19122"/>
    <n v="45218"/>
    <d v="2007-07-26T00:00:00"/>
    <s v=""/>
    <s v="Austria"/>
    <x v="6"/>
    <n v="3"/>
  </r>
  <r>
    <x v="50"/>
    <n v="1463.4"/>
    <x v="42"/>
    <n v="19509"/>
    <n v="45910"/>
    <d v="2002-02-08T00:00:00"/>
    <s v=""/>
    <s v="Brazil"/>
    <x v="6"/>
    <n v="3"/>
  </r>
  <r>
    <x v="51"/>
    <n v="2562"/>
    <x v="43"/>
    <n v="19408"/>
    <n v="45758"/>
    <d v="1996-03-01T00:00:00"/>
    <s v=""/>
    <s v="Canada"/>
    <x v="6"/>
    <n v="3"/>
  </r>
  <r>
    <x v="52"/>
    <n v="1000"/>
    <x v="44"/>
    <n v="19255"/>
    <n v="45453"/>
    <d v="2000-05-30T00:00:00"/>
    <s v=""/>
    <s v="China"/>
    <x v="6"/>
    <n v="3"/>
  </r>
  <r>
    <x v="53"/>
    <n v="1400"/>
    <x v="13"/>
    <n v="19789"/>
    <n v="46801"/>
    <d v="2022-06-01T00:00:00"/>
    <s v=""/>
    <s v="Colombia"/>
    <x v="6"/>
    <n v="4"/>
  </r>
  <r>
    <x v="54"/>
    <n v="1000"/>
    <x v="15"/>
    <n v="19440"/>
    <n v="45795"/>
    <d v="2002-09-12T00:00:00"/>
    <s v=""/>
    <s v="Croatia"/>
    <x v="6"/>
    <n v="3"/>
  </r>
  <r>
    <x v="55"/>
    <n v="2016.29"/>
    <x v="19"/>
    <n v="19480"/>
    <n v="45872"/>
    <d v="2001-10-01T00:00:00"/>
    <s v=""/>
    <s v="Czech Republic"/>
    <x v="6"/>
    <n v="3"/>
  </r>
  <r>
    <x v="56"/>
    <n v="6194"/>
    <x v="25"/>
    <n v="19621"/>
    <n v="46230"/>
    <d v="2015-03-18T00:00:00"/>
    <s v=""/>
    <s v="Denmark"/>
    <x v="6"/>
    <n v="4"/>
  </r>
  <r>
    <x v="57"/>
    <n v="1000"/>
    <x v="45"/>
    <n v="19043"/>
    <n v="45122"/>
    <d v="2024-06-19T00:00:00"/>
    <s v=""/>
    <s v="Ecuador"/>
    <x v="6"/>
    <n v="2"/>
  </r>
  <r>
    <x v="58"/>
    <n v="12735.05"/>
    <x v="46"/>
    <n v="19521"/>
    <n v="45948"/>
    <d v="2004-09-02T00:00:00"/>
    <s v=""/>
    <s v="France"/>
    <x v="6"/>
    <n v="4"/>
  </r>
  <r>
    <x v="59"/>
    <n v="13979"/>
    <x v="46"/>
    <n v="19527"/>
    <n v="45953"/>
    <d v="1995-07-10T00:00:00"/>
    <s v=""/>
    <s v="Germany"/>
    <x v="6"/>
    <n v="4"/>
  </r>
  <r>
    <x v="59"/>
    <n v="13225.35"/>
    <x v="47"/>
    <n v="19543"/>
    <n v="45998"/>
    <d v="1995-07-10T00:00:00"/>
    <s v=""/>
    <s v="Germany"/>
    <x v="6"/>
    <n v="4"/>
  </r>
  <r>
    <x v="60"/>
    <n v="8050"/>
    <x v="19"/>
    <n v="19455"/>
    <n v="45821"/>
    <d v="2009-10-06T00:00:00"/>
    <s v=""/>
    <s v="China"/>
    <x v="6"/>
    <n v="3"/>
  </r>
  <r>
    <x v="61"/>
    <n v="13441.75"/>
    <x v="48"/>
    <n v="19846"/>
    <n v="46944"/>
    <d v="2003-09-26T00:00:00"/>
    <s v=""/>
    <s v="Italy"/>
    <x v="6"/>
    <n v="3"/>
  </r>
  <r>
    <x v="62"/>
    <n v="1545"/>
    <x v="46"/>
    <n v="19541"/>
    <n v="45996"/>
    <d v="2000-05-01T00:00:00"/>
    <s v=""/>
    <s v="Korea, Republic of"/>
    <x v="6"/>
    <n v="4"/>
  </r>
  <r>
    <x v="63"/>
    <n v="23939.83"/>
    <x v="12"/>
    <n v="19435"/>
    <n v="45789"/>
    <d v="1996-08-01T00:00:00"/>
    <s v=""/>
    <s v="Netherlands"/>
    <x v="6"/>
    <n v="3"/>
  </r>
  <r>
    <x v="64"/>
    <n v="8456.1"/>
    <x v="49"/>
    <n v="18962"/>
    <n v="44997"/>
    <d v="2010-04-15T00:00:00"/>
    <s v=""/>
    <s v="Norway"/>
    <x v="6"/>
    <n v="2"/>
  </r>
  <r>
    <x v="65"/>
    <n v="1674"/>
    <x v="4"/>
    <n v="19833"/>
    <n v="46924"/>
    <d v="2017-01-26T00:00:00"/>
    <s v=""/>
    <s v="Poland"/>
    <x v="6"/>
    <n v="4"/>
  </r>
  <r>
    <x v="66"/>
    <n v="1000"/>
    <x v="50"/>
    <n v="19936"/>
    <n v="47131"/>
    <d v="2007-07-05T00:00:00"/>
    <s v=""/>
    <s v="Romania"/>
    <x v="6"/>
    <n v="4"/>
  </r>
  <r>
    <x v="67"/>
    <n v="1000"/>
    <x v="51"/>
    <n v="19602"/>
    <n v="46181"/>
    <d v="2009-07-25T00:00:00"/>
    <s v=""/>
    <s v="Russian Federation"/>
    <x v="6"/>
    <n v="4"/>
  </r>
  <r>
    <x v="68"/>
    <n v="1000"/>
    <x v="44"/>
    <n v="19253"/>
    <n v="45451"/>
    <d v="2023-11-21T00:00:00"/>
    <s v=""/>
    <s v="Slovakia"/>
    <x v="6"/>
    <n v="3"/>
  </r>
  <r>
    <x v="69"/>
    <n v="1000"/>
    <x v="46"/>
    <n v="19530"/>
    <n v="45956"/>
    <d v="2014-10-09T00:00:00"/>
    <s v=""/>
    <s v="Slovenia"/>
    <x v="6"/>
    <n v="4"/>
  </r>
  <r>
    <x v="70"/>
    <n v="2351"/>
    <x v="25"/>
    <n v="19623"/>
    <n v="46232"/>
    <d v="2006-01-13T00:00:00"/>
    <s v=""/>
    <s v="Sweden"/>
    <x v="6"/>
    <n v="4"/>
  </r>
  <r>
    <x v="71"/>
    <n v="15225"/>
    <x v="13"/>
    <n v="19750"/>
    <n v="46618"/>
    <d v="2000-09-20T00:00:00"/>
    <s v=""/>
    <s v="Switzerland"/>
    <x v="6"/>
    <n v="4"/>
  </r>
  <r>
    <x v="72"/>
    <n v="1215"/>
    <x v="52"/>
    <n v="19312"/>
    <n v="45563"/>
    <d v="2000-05-23T00:00:00"/>
    <s v=""/>
    <s v="Taiwan"/>
    <x v="6"/>
    <n v="3"/>
  </r>
  <r>
    <x v="73"/>
    <n v="1000"/>
    <x v="53"/>
    <n v="19825"/>
    <n v="46911"/>
    <d v="2017-05-18T00:00:00"/>
    <s v=""/>
    <s v="United Arab Emirates"/>
    <x v="6"/>
    <n v="4"/>
  </r>
  <r>
    <x v="74"/>
    <n v="9344.16"/>
    <x v="1"/>
    <n v="19479"/>
    <n v="45871"/>
    <d v="1999-01-05T00:00:00"/>
    <s v=""/>
    <s v="United Kingdom"/>
    <x v="6"/>
    <n v="3"/>
  </r>
  <r>
    <x v="75"/>
    <n v="5770"/>
    <x v="54"/>
    <n v="19917"/>
    <n v="47095"/>
    <d v="2026-04-24T00:00:00"/>
    <s v="Supplier/Vendor"/>
    <s v="United States"/>
    <x v="1"/>
    <n v="4"/>
  </r>
  <r>
    <x v="76"/>
    <n v="5460"/>
    <x v="40"/>
    <n v="19301"/>
    <n v="45540"/>
    <d v="2017-04-05T00:00:00"/>
    <s v="Government/Professional Associations/Academic Institution"/>
    <s v="Estonia"/>
    <x v="1"/>
    <n v="3"/>
  </r>
  <r>
    <x v="77"/>
    <n v="2370"/>
    <x v="25"/>
    <n v="19619"/>
    <n v="46228"/>
    <d v="2025-05-09T00:00:00"/>
    <s v="Supplier/Vendor"/>
    <s v="Malta"/>
    <x v="1"/>
    <n v="4"/>
  </r>
  <r>
    <x v="78"/>
    <n v="1545"/>
    <x v="12"/>
    <n v="19422"/>
    <n v="45776"/>
    <d v="2026-03-25T00:00:00"/>
    <s v="Supplier/Vendor"/>
    <s v="United States"/>
    <x v="1"/>
    <n v="3"/>
  </r>
  <r>
    <x v="79"/>
    <n v="75"/>
    <x v="55"/>
    <n v="19292"/>
    <n v="45526"/>
    <d v="2026-03-13T00:00:00"/>
    <s v=""/>
    <s v="United States"/>
    <x v="7"/>
    <n v="3"/>
  </r>
  <r>
    <x v="80"/>
    <n v="1545"/>
    <x v="21"/>
    <n v="18891"/>
    <n v="44881"/>
    <d v="2000-02-14T00:00:00"/>
    <s v="Government/Professional Associations/Academic Institution"/>
    <s v="United States"/>
    <x v="1"/>
    <n v="2"/>
  </r>
  <r>
    <x v="81"/>
    <n v="23375"/>
    <x v="31"/>
    <n v="18752"/>
    <n v="44676"/>
    <d v="2012-12-13T00:00:00"/>
    <s v="Consultant"/>
    <s v="United States"/>
    <x v="1"/>
    <n v="1"/>
  </r>
  <r>
    <x v="82"/>
    <n v="1545"/>
    <x v="56"/>
    <n v="19966"/>
    <n v="47181"/>
    <d v="2021-05-21T00:00:00"/>
    <s v="Government/Professional Associations/Academic Institution"/>
    <s v="United States"/>
    <x v="1"/>
    <n v="4"/>
  </r>
  <r>
    <x v="83"/>
    <n v="5460"/>
    <x v="57"/>
    <n v="18650"/>
    <n v="44548"/>
    <d v="2009-06-25T00:00:00"/>
    <s v="Government/Professional Associations/Academic Institution"/>
    <s v="United States"/>
    <x v="1"/>
    <n v="1"/>
  </r>
  <r>
    <x v="84"/>
    <n v="40000"/>
    <x v="52"/>
    <n v="19316"/>
    <n v="45566"/>
    <d v="2009-07-07T00:00:00"/>
    <s v="Supplier/Vendor"/>
    <s v="United States"/>
    <x v="3"/>
    <n v="3"/>
  </r>
  <r>
    <x v="85"/>
    <n v="5770"/>
    <x v="55"/>
    <n v="19294"/>
    <n v="45528"/>
    <d v="2025-04-18T00:00:00"/>
    <s v="Consultant"/>
    <s v="United States"/>
    <x v="1"/>
    <n v="3"/>
  </r>
  <r>
    <x v="86"/>
    <n v="775"/>
    <x v="46"/>
    <n v="19529"/>
    <n v="45955"/>
    <d v="2026-04-01T00:00:00"/>
    <s v=""/>
    <s v="United States"/>
    <x v="4"/>
    <n v="4"/>
  </r>
  <r>
    <x v="87"/>
    <n v="775"/>
    <x v="24"/>
    <n v="19596"/>
    <n v="46166"/>
    <d v="2016-05-11T00:00:00"/>
    <s v=""/>
    <s v="United States"/>
    <x v="4"/>
    <n v="4"/>
  </r>
  <r>
    <x v="88"/>
    <n v="775"/>
    <x v="58"/>
    <n v="19983"/>
    <n v="47210"/>
    <d v="2025-04-15T00:00:00"/>
    <s v=""/>
    <s v="United States"/>
    <x v="4"/>
    <n v="4"/>
  </r>
  <r>
    <x v="89"/>
    <n v="775"/>
    <x v="59"/>
    <n v="18392"/>
    <n v="44254"/>
    <d v="2026-01-06T00:00:00"/>
    <s v=""/>
    <s v="United States"/>
    <x v="4"/>
    <n v="1"/>
  </r>
  <r>
    <x v="90"/>
    <n v="14420"/>
    <x v="36"/>
    <n v="18849"/>
    <n v="44821"/>
    <d v="2003-12-08T00:00:00"/>
    <s v="Provider"/>
    <s v="United States"/>
    <x v="1"/>
    <n v="2"/>
  </r>
  <r>
    <x v="91"/>
    <n v="775"/>
    <x v="8"/>
    <n v="19136"/>
    <n v="45235"/>
    <d v="2019-02-27T00:00:00"/>
    <s v=""/>
    <s v="United States"/>
    <x v="4"/>
    <n v="3"/>
  </r>
  <r>
    <x v="92"/>
    <n v="100"/>
    <x v="14"/>
    <n v="18927"/>
    <n v="44951"/>
    <d v="1996-08-15T00:00:00"/>
    <s v=""/>
    <s v="United States"/>
    <x v="5"/>
    <n v="2"/>
  </r>
  <r>
    <x v="93"/>
    <n v="775"/>
    <x v="3"/>
    <n v="19658"/>
    <n v="46346"/>
    <d v="2026-04-13T00:00:00"/>
    <s v=""/>
    <s v="United States"/>
    <x v="4"/>
    <n v="4"/>
  </r>
  <r>
    <x v="94"/>
    <n v="1545"/>
    <x v="60"/>
    <n v="18802"/>
    <n v="44761"/>
    <d v="2024-01-12T00:00:00"/>
    <s v="Supplier/Vendor"/>
    <s v="United States"/>
    <x v="1"/>
    <n v="1"/>
  </r>
  <r>
    <x v="95"/>
    <n v="775"/>
    <x v="61"/>
    <n v="19224"/>
    <n v="45388"/>
    <d v="2025-03-25T00:00:00"/>
    <s v=""/>
    <s v=""/>
    <x v="4"/>
    <n v="3"/>
  </r>
  <r>
    <x v="96"/>
    <n v="775"/>
    <x v="62"/>
    <n v="19651"/>
    <n v="46329"/>
    <d v="2021-05-11T00:00:00"/>
    <s v=""/>
    <s v=""/>
    <x v="4"/>
    <n v="4"/>
  </r>
  <r>
    <x v="97"/>
    <n v="16175"/>
    <x v="18"/>
    <n v="18994"/>
    <n v="45037"/>
    <d v="2010-01-27T00:00:00"/>
    <s v="Supplier/Vendor"/>
    <s v="United States"/>
    <x v="1"/>
    <n v="2"/>
  </r>
  <r>
    <x v="98"/>
    <n v="775"/>
    <x v="46"/>
    <n v="19525"/>
    <n v="45951"/>
    <d v="2025-03-24T00:00:00"/>
    <s v=""/>
    <s v=""/>
    <x v="4"/>
    <n v="4"/>
  </r>
  <r>
    <x v="99"/>
    <n v="775"/>
    <x v="63"/>
    <n v="19382"/>
    <n v="45724"/>
    <d v="2026-03-20T00:00:00"/>
    <s v=""/>
    <s v="United States"/>
    <x v="4"/>
    <n v="3"/>
  </r>
  <r>
    <x v="100"/>
    <n v="775"/>
    <x v="36"/>
    <n v="18853"/>
    <n v="44825"/>
    <d v="2024-02-22T00:00:00"/>
    <s v=""/>
    <s v=""/>
    <x v="4"/>
    <n v="2"/>
  </r>
  <r>
    <x v="101"/>
    <n v="30290"/>
    <x v="53"/>
    <n v="19819"/>
    <n v="46904"/>
    <d v="2003-07-08T00:00:00"/>
    <s v="Provider"/>
    <s v="United States"/>
    <x v="3"/>
    <n v="4"/>
  </r>
  <r>
    <x v="102"/>
    <n v="1905"/>
    <x v="49"/>
    <n v="18958"/>
    <n v="44993"/>
    <d v="2020-05-15T00:00:00"/>
    <s v="Government/Professional Associations/Academic Institution"/>
    <s v="United States"/>
    <x v="2"/>
    <n v="2"/>
  </r>
  <r>
    <x v="103"/>
    <n v="2370"/>
    <x v="20"/>
    <n v="18672"/>
    <n v="44570"/>
    <d v="2014-12-15T00:00:00"/>
    <s v="Supplier/Vendor"/>
    <s v="United States"/>
    <x v="1"/>
    <n v="1"/>
  </r>
  <r>
    <x v="104"/>
    <n v="1650"/>
    <x v="19"/>
    <n v="19449"/>
    <n v="45813"/>
    <d v="2016-03-30T00:00:00"/>
    <s v="Provider"/>
    <s v="South Africa"/>
    <x v="1"/>
    <n v="3"/>
  </r>
  <r>
    <x v="105"/>
    <n v="23375"/>
    <x v="47"/>
    <n v="19544"/>
    <n v="45999"/>
    <d v="2005-01-11T00:00:00"/>
    <s v="Supplier/Vendor"/>
    <s v="United States"/>
    <x v="1"/>
    <n v="4"/>
  </r>
  <r>
    <x v="106"/>
    <n v="775"/>
    <x v="3"/>
    <n v="19659"/>
    <n v="46347"/>
    <d v="2012-07-13T00:00:00"/>
    <s v=""/>
    <s v="Canada"/>
    <x v="4"/>
    <n v="4"/>
  </r>
  <r>
    <x v="107"/>
    <n v="775"/>
    <x v="58"/>
    <n v="19980"/>
    <n v="47207"/>
    <d v="2025-05-22T00:00:00"/>
    <s v=""/>
    <s v="United States"/>
    <x v="4"/>
    <n v="4"/>
  </r>
  <r>
    <x v="108"/>
    <n v="1905"/>
    <x v="64"/>
    <n v="18717"/>
    <n v="44617"/>
    <d v="2018-12-31T00:00:00"/>
    <s v="Supplier/Vendor"/>
    <s v="United States"/>
    <x v="2"/>
    <n v="1"/>
  </r>
  <r>
    <x v="109"/>
    <n v="16500"/>
    <x v="32"/>
    <n v="19240"/>
    <n v="45428"/>
    <d v="2012-04-05T00:00:00"/>
    <s v="Government/Professional Associations/Academic Institution"/>
    <s v="United States"/>
    <x v="3"/>
    <n v="3"/>
  </r>
  <r>
    <x v="110"/>
    <n v="16480"/>
    <x v="65"/>
    <n v="19779"/>
    <n v="46745"/>
    <d v="2000-11-15T00:00:00"/>
    <s v="Government/Professional Associations/Academic Institution"/>
    <s v="Netherlands"/>
    <x v="2"/>
    <n v="4"/>
  </r>
  <r>
    <x v="111"/>
    <n v="1905"/>
    <x v="8"/>
    <n v="19156"/>
    <n v="45291"/>
    <d v="2011-06-27T00:00:00"/>
    <s v="Government/Professional Associations/Academic Institution"/>
    <s v="United States"/>
    <x v="2"/>
    <n v="3"/>
  </r>
  <r>
    <x v="112"/>
    <n v="1545"/>
    <x v="57"/>
    <n v="18652"/>
    <n v="44550"/>
    <d v="2006-01-03T00:00:00"/>
    <s v="Government/Professional Associations/Academic Institution"/>
    <s v="United States"/>
    <x v="1"/>
    <n v="1"/>
  </r>
  <r>
    <x v="113"/>
    <n v="8560"/>
    <x v="35"/>
    <n v="19574"/>
    <n v="46085"/>
    <d v="1992-01-01T00:00:00"/>
    <s v="Government/Professional Associations/Academic Institution"/>
    <s v="United States"/>
    <x v="1"/>
    <n v="4"/>
  </r>
  <r>
    <x v="114"/>
    <n v="5460"/>
    <x v="32"/>
    <n v="19245"/>
    <n v="45433"/>
    <d v="2023-05-23T00:00:00"/>
    <s v="Government/Professional Associations/Academic Institution"/>
    <s v="United States"/>
    <x v="1"/>
    <n v="3"/>
  </r>
  <r>
    <x v="115"/>
    <n v="2370"/>
    <x v="66"/>
    <n v="19692"/>
    <n v="46414"/>
    <d v="2022-11-09T00:00:00"/>
    <s v="Supplier/Vendor"/>
    <s v="United States"/>
    <x v="1"/>
    <n v="4"/>
  </r>
  <r>
    <x v="116"/>
    <n v="2990"/>
    <x v="67"/>
    <n v="18722"/>
    <n v="44622"/>
    <d v="2025-01-25T00:00:00"/>
    <s v="Supplier/Vendor"/>
    <s v="United States"/>
    <x v="2"/>
    <n v="1"/>
  </r>
  <r>
    <x v="117"/>
    <n v="2990"/>
    <x v="4"/>
    <n v="19837"/>
    <n v="46935"/>
    <d v="2023-05-09T00:00:00"/>
    <s v="Consultant"/>
    <s v="United States"/>
    <x v="2"/>
    <n v="4"/>
  </r>
  <r>
    <x v="118"/>
    <n v="18025"/>
    <x v="12"/>
    <n v="19426"/>
    <n v="45780"/>
    <d v="2020-04-15T00:00:00"/>
    <s v="Provider"/>
    <s v="United States"/>
    <x v="2"/>
    <n v="3"/>
  </r>
  <r>
    <x v="119"/>
    <n v="36050"/>
    <x v="12"/>
    <n v="19421"/>
    <n v="45775"/>
    <d v="2010-09-20T00:00:00"/>
    <s v="Government/Professional Associations/Academic Institution"/>
    <s v="United States"/>
    <x v="3"/>
    <n v="3"/>
  </r>
  <r>
    <x v="120"/>
    <n v="2990"/>
    <x v="68"/>
    <n v="18479"/>
    <n v="44361"/>
    <d v="2021-01-13T00:00:00"/>
    <s v="Supplier/Vendor"/>
    <s v="United States"/>
    <x v="2"/>
    <n v="1"/>
  </r>
  <r>
    <x v="121"/>
    <n v="1545"/>
    <x v="3"/>
    <n v="19670"/>
    <n v="46373"/>
    <d v="2020-12-12T00:00:00"/>
    <s v="Consultant"/>
    <s v="Israel"/>
    <x v="1"/>
    <n v="4"/>
  </r>
  <r>
    <x v="122"/>
    <n v="1905"/>
    <x v="65"/>
    <n v="19781"/>
    <n v="46747"/>
    <d v="2025-04-30T00:00:00"/>
    <s v="Supplier/Vendor"/>
    <s v="United States"/>
    <x v="2"/>
    <n v="4"/>
  </r>
  <r>
    <x v="122"/>
    <n v="108.79"/>
    <x v="68"/>
    <n v="18507"/>
    <n v="44390"/>
    <d v="2025-04-30T00:00:00"/>
    <s v="Supplier/Vendor"/>
    <s v="United States"/>
    <x v="2"/>
    <n v="1"/>
  </r>
  <r>
    <x v="122"/>
    <n v="460.04"/>
    <x v="68"/>
    <n v="18491"/>
    <n v="44373"/>
    <d v="2025-04-30T00:00:00"/>
    <s v="Supplier/Vendor"/>
    <s v="United States"/>
    <x v="1"/>
    <n v="1"/>
  </r>
  <r>
    <x v="123"/>
    <n v="1620"/>
    <x v="56"/>
    <n v="19954"/>
    <n v="47165"/>
    <d v="2012-06-26T00:00:00"/>
    <s v="Supplier/Vendor"/>
    <s v="United States"/>
    <x v="1"/>
    <n v="4"/>
  </r>
  <r>
    <x v="124"/>
    <n v="1545"/>
    <x v="13"/>
    <n v="19755"/>
    <n v="46639"/>
    <d v="2026-04-16T00:00:00"/>
    <s v="Supplier/Vendor"/>
    <s v="United States"/>
    <x v="1"/>
    <n v="4"/>
  </r>
  <r>
    <x v="125"/>
    <n v="23375"/>
    <x v="63"/>
    <n v="19374"/>
    <n v="45692"/>
    <d v="2011-06-24T00:00:00"/>
    <s v="Supplier/Vendor"/>
    <s v="United States"/>
    <x v="1"/>
    <n v="3"/>
  </r>
  <r>
    <x v="126"/>
    <n v="1545"/>
    <x v="11"/>
    <n v="18359"/>
    <n v="44215"/>
    <d v="2010-02-16T00:00:00"/>
    <s v="Consultant"/>
    <s v="United States"/>
    <x v="1"/>
    <n v="1"/>
  </r>
  <r>
    <x v="127"/>
    <n v="775"/>
    <x v="35"/>
    <n v="19579"/>
    <n v="46090"/>
    <d v="2026-04-07T00:00:00"/>
    <s v=""/>
    <s v="United States"/>
    <x v="4"/>
    <n v="4"/>
  </r>
  <r>
    <x v="128"/>
    <n v="21630"/>
    <x v="16"/>
    <n v="18908"/>
    <n v="44897"/>
    <d v="2015-10-27T00:00:00"/>
    <s v="Supplier/Vendor"/>
    <s v="United States"/>
    <x v="3"/>
    <n v="2"/>
  </r>
  <r>
    <x v="129"/>
    <n v="2370"/>
    <x v="19"/>
    <n v="19461"/>
    <n v="45835"/>
    <d v="2005-12-22T00:00:00"/>
    <s v="Supplier/Vendor"/>
    <s v="United States"/>
    <x v="1"/>
    <n v="3"/>
  </r>
  <r>
    <x v="130"/>
    <n v="2160"/>
    <x v="69"/>
    <n v="18975"/>
    <n v="45010"/>
    <d v="1998-08-25T00:00:00"/>
    <s v="Provider"/>
    <s v="United States"/>
    <x v="2"/>
    <n v="2"/>
  </r>
  <r>
    <x v="131"/>
    <n v="1620"/>
    <x v="70"/>
    <n v="19394"/>
    <n v="45737"/>
    <d v="2023-08-30T00:00:00"/>
    <s v="Supplier/Vendor"/>
    <s v="United States"/>
    <x v="1"/>
    <n v="3"/>
  </r>
  <r>
    <x v="132"/>
    <n v="16175"/>
    <x v="37"/>
    <n v="19573"/>
    <n v="46083"/>
    <d v="1998-03-27T00:00:00"/>
    <s v="Supplier/Vendor"/>
    <s v="United States"/>
    <x v="1"/>
    <n v="4"/>
  </r>
  <r>
    <x v="133"/>
    <n v="775"/>
    <x v="61"/>
    <n v="19198"/>
    <n v="45356"/>
    <d v="2022-03-09T00:00:00"/>
    <s v=""/>
    <s v="United States"/>
    <x v="4"/>
    <n v="3"/>
  </r>
  <r>
    <x v="134"/>
    <n v="23375"/>
    <x v="2"/>
    <n v="18940"/>
    <n v="44972"/>
    <d v="2013-01-28T00:00:00"/>
    <s v="Supplier/Vendor"/>
    <s v="Switzerland"/>
    <x v="1"/>
    <n v="2"/>
  </r>
  <r>
    <x v="135"/>
    <n v="775"/>
    <x v="17"/>
    <n v="18585"/>
    <n v="44482"/>
    <d v="2026-01-12T00:00:00"/>
    <s v=""/>
    <s v="United States"/>
    <x v="4"/>
    <n v="1"/>
  </r>
  <r>
    <x v="136"/>
    <n v="775"/>
    <x v="49"/>
    <n v="18965"/>
    <n v="45000"/>
    <d v="2023-03-28T00:00:00"/>
    <s v=""/>
    <s v="United States"/>
    <x v="4"/>
    <n v="2"/>
  </r>
  <r>
    <x v="137"/>
    <n v="1545"/>
    <x v="9"/>
    <n v="18620"/>
    <n v="44519"/>
    <d v="2013-02-12T00:00:00"/>
    <s v="Government/Professional Associations/Academic Institution"/>
    <s v="United States"/>
    <x v="1"/>
    <n v="1"/>
  </r>
  <r>
    <x v="138"/>
    <n v="1905"/>
    <x v="25"/>
    <n v="19622"/>
    <n v="46231"/>
    <d v="2026-04-09T00:00:00"/>
    <s v="Consultant"/>
    <s v="United States"/>
    <x v="2"/>
    <n v="4"/>
  </r>
  <r>
    <x v="139"/>
    <n v="775"/>
    <x v="34"/>
    <n v="18695"/>
    <n v="44595"/>
    <d v="2025-01-24T00:00:00"/>
    <s v=""/>
    <s v=""/>
    <x v="4"/>
    <n v="1"/>
  </r>
  <r>
    <x v="140"/>
    <n v="1545"/>
    <x v="71"/>
    <n v="18421"/>
    <n v="44301"/>
    <d v="2026-01-07T00:00:00"/>
    <s v="Supplier/Vendor"/>
    <s v="United States"/>
    <x v="1"/>
    <n v="1"/>
  </r>
  <r>
    <x v="141"/>
    <n v="775"/>
    <x v="71"/>
    <n v="18418"/>
    <n v="44298"/>
    <d v="2023-05-04T00:00:00"/>
    <s v=""/>
    <s v="United States"/>
    <x v="4"/>
    <n v="1"/>
  </r>
  <r>
    <x v="142"/>
    <n v="775"/>
    <x v="36"/>
    <n v="18845"/>
    <n v="44817"/>
    <d v="2026-02-02T00:00:00"/>
    <s v=""/>
    <s v="United States"/>
    <x v="4"/>
    <n v="2"/>
  </r>
  <r>
    <x v="143"/>
    <n v="775"/>
    <x v="72"/>
    <n v="18862"/>
    <n v="44835"/>
    <d v="2026-02-03T00:00:00"/>
    <s v=""/>
    <s v="United States"/>
    <x v="4"/>
    <n v="2"/>
  </r>
  <r>
    <x v="144"/>
    <n v="1545"/>
    <x v="23"/>
    <n v="18947"/>
    <n v="44979"/>
    <d v="2021-12-08T00:00:00"/>
    <s v="Supplier/Vendor"/>
    <s v="United States"/>
    <x v="1"/>
    <n v="2"/>
  </r>
  <r>
    <x v="145"/>
    <n v="23375"/>
    <x v="38"/>
    <n v="19076"/>
    <n v="45158"/>
    <d v="2002-12-12T00:00:00"/>
    <s v="Supplier/Vendor"/>
    <s v="United States"/>
    <x v="1"/>
    <n v="2"/>
  </r>
  <r>
    <x v="146"/>
    <n v="2680"/>
    <x v="73"/>
    <n v="18656"/>
    <n v="44554"/>
    <d v="2001-04-04T00:00:00"/>
    <s v="Government/Professional Associations/Academic Institution"/>
    <s v="United States"/>
    <x v="1"/>
    <n v="1"/>
  </r>
  <r>
    <x v="147"/>
    <n v="1545"/>
    <x v="20"/>
    <n v="18683"/>
    <n v="44583"/>
    <d v="2025-01-22T00:00:00"/>
    <s v="Supplier/Vendor"/>
    <s v="United States"/>
    <x v="1"/>
    <n v="1"/>
  </r>
  <r>
    <x v="148"/>
    <n v="2680"/>
    <x v="58"/>
    <n v="19981"/>
    <n v="47208"/>
    <d v="2009-12-15T00:00:00"/>
    <s v="Government/Professional Associations/Academic Institution"/>
    <s v="United States"/>
    <x v="1"/>
    <n v="4"/>
  </r>
  <r>
    <x v="149"/>
    <n v="775"/>
    <x v="74"/>
    <n v="18774"/>
    <n v="44713"/>
    <d v="2026-01-28T00:00:00"/>
    <s v=""/>
    <s v="Japan"/>
    <x v="4"/>
    <n v="1"/>
  </r>
  <r>
    <x v="150"/>
    <n v="1545"/>
    <x v="61"/>
    <n v="19227"/>
    <n v="45392"/>
    <d v="2009-08-26T00:00:00"/>
    <s v="Government/Professional Associations/Academic Institution"/>
    <s v="United States"/>
    <x v="1"/>
    <n v="3"/>
  </r>
  <r>
    <x v="151"/>
    <n v="1905"/>
    <x v="1"/>
    <n v="19477"/>
    <n v="45869"/>
    <d v="2011-03-28T00:00:00"/>
    <s v="Government/Professional Associations/Academic Institution"/>
    <s v="United States"/>
    <x v="2"/>
    <n v="3"/>
  </r>
  <r>
    <x v="152"/>
    <n v="1905"/>
    <x v="32"/>
    <n v="19241"/>
    <n v="45429"/>
    <d v="2022-06-06T00:00:00"/>
    <s v="Government/Professional Associations/Academic Institution"/>
    <s v="United States"/>
    <x v="2"/>
    <n v="3"/>
  </r>
  <r>
    <x v="153"/>
    <n v="775"/>
    <x v="43"/>
    <n v="19406"/>
    <n v="45756"/>
    <d v="2022-01-16T00:00:00"/>
    <s v=""/>
    <s v="United States"/>
    <x v="4"/>
    <n v="3"/>
  </r>
  <r>
    <x v="154"/>
    <n v="1905"/>
    <x v="23"/>
    <n v="18949"/>
    <n v="44981"/>
    <d v="2020-09-21T00:00:00"/>
    <s v="Government/Professional Associations/Academic Institution"/>
    <s v="United States"/>
    <x v="2"/>
    <n v="2"/>
  </r>
  <r>
    <x v="155"/>
    <n v="1650"/>
    <x v="42"/>
    <n v="19507"/>
    <n v="45907"/>
    <d v="2002-04-05T00:00:00"/>
    <s v="Provider"/>
    <s v="United States"/>
    <x v="1"/>
    <n v="3"/>
  </r>
  <r>
    <x v="156"/>
    <n v="7570"/>
    <x v="42"/>
    <n v="19505"/>
    <n v="45905"/>
    <d v="2006-05-30T00:00:00"/>
    <s v="Provider"/>
    <s v="United States"/>
    <x v="1"/>
    <n v="3"/>
  </r>
  <r>
    <x v="157"/>
    <n v="2680"/>
    <x v="73"/>
    <n v="18660"/>
    <n v="44559"/>
    <d v="2011-12-20T00:00:00"/>
    <s v="Government/Professional Associations/Academic Institution"/>
    <s v="United States"/>
    <x v="1"/>
    <n v="1"/>
  </r>
  <r>
    <x v="158"/>
    <n v="775"/>
    <x v="75"/>
    <n v="19359"/>
    <n v="45652"/>
    <d v="2026-03-19T00:00:00"/>
    <s v=""/>
    <s v="United States"/>
    <x v="4"/>
    <n v="3"/>
  </r>
  <r>
    <x v="159"/>
    <n v="2680"/>
    <x v="65"/>
    <n v="19803"/>
    <n v="46853"/>
    <d v="2017-03-10T00:00:00"/>
    <s v="Government/Professional Associations/Academic Institution"/>
    <s v="United States"/>
    <x v="1"/>
    <n v="4"/>
  </r>
  <r>
    <x v="160"/>
    <n v="1545"/>
    <x v="50"/>
    <n v="19934"/>
    <n v="47129"/>
    <d v="2011-03-28T00:00:00"/>
    <s v="Government/Professional Associations/Academic Institution"/>
    <s v="United States"/>
    <x v="1"/>
    <n v="4"/>
  </r>
  <r>
    <x v="161"/>
    <n v="5770"/>
    <x v="19"/>
    <n v="19453"/>
    <n v="45819"/>
    <d v="2003-01-09T00:00:00"/>
    <s v="Payer"/>
    <s v="United States"/>
    <x v="1"/>
    <n v="3"/>
  </r>
  <r>
    <x v="162"/>
    <n v="1545"/>
    <x v="15"/>
    <n v="19437"/>
    <n v="45792"/>
    <d v="2013-04-25T00:00:00"/>
    <s v="Consultant"/>
    <s v="United States"/>
    <x v="1"/>
    <n v="3"/>
  </r>
  <r>
    <x v="163"/>
    <n v="2680"/>
    <x v="28"/>
    <n v="18826"/>
    <n v="44799"/>
    <d v="2017-07-26T00:00:00"/>
    <s v="Government/Professional Associations/Academic Institution"/>
    <s v="United States"/>
    <x v="1"/>
    <n v="1"/>
  </r>
  <r>
    <x v="164"/>
    <n v="1545"/>
    <x v="43"/>
    <n v="19413"/>
    <n v="45764"/>
    <d v="2010-12-10T00:00:00"/>
    <s v="Government/Professional Associations/Academic Institution"/>
    <s v="United States"/>
    <x v="1"/>
    <n v="3"/>
  </r>
  <r>
    <x v="165"/>
    <n v="24545"/>
    <x v="54"/>
    <n v="19887"/>
    <n v="47038"/>
    <d v="2008-05-05T00:00:00"/>
    <s v="Supplier/Vendor"/>
    <s v="United States"/>
    <x v="1"/>
    <n v="4"/>
  </r>
  <r>
    <x v="166"/>
    <n v="18950"/>
    <x v="53"/>
    <n v="19818"/>
    <n v="46903"/>
    <d v="1999-07-26T00:00:00"/>
    <s v="Supplier/Vendor"/>
    <s v="United States"/>
    <x v="1"/>
    <n v="4"/>
  </r>
  <r>
    <x v="167"/>
    <n v="775"/>
    <x v="1"/>
    <n v="19470"/>
    <n v="45856"/>
    <d v="2020-04-01T00:00:00"/>
    <s v=""/>
    <s v="United States"/>
    <x v="4"/>
    <n v="3"/>
  </r>
  <r>
    <x v="168"/>
    <n v="10170"/>
    <x v="63"/>
    <n v="19377"/>
    <n v="45703"/>
    <d v="2018-09-04T00:00:00"/>
    <s v="Supplier/Vendor"/>
    <s v="United States"/>
    <x v="1"/>
    <n v="3"/>
  </r>
  <r>
    <x v="169"/>
    <n v="1545"/>
    <x v="63"/>
    <n v="19372"/>
    <n v="45683"/>
    <d v="2024-05-03T00:00:00"/>
    <s v="Supplier/Vendor"/>
    <s v="United States"/>
    <x v="1"/>
    <n v="3"/>
  </r>
  <r>
    <x v="170"/>
    <n v="23375"/>
    <x v="65"/>
    <n v="19799"/>
    <n v="46844"/>
    <d v="2013-03-13T00:00:00"/>
    <s v="Supplier/Vendor"/>
    <s v="United States"/>
    <x v="1"/>
    <n v="4"/>
  </r>
  <r>
    <x v="171"/>
    <n v="2370"/>
    <x v="75"/>
    <n v="19365"/>
    <n v="45676"/>
    <d v="2026-03-19T00:00:00"/>
    <s v="Supplier/Vendor"/>
    <s v="United States"/>
    <x v="1"/>
    <n v="3"/>
  </r>
  <r>
    <x v="172"/>
    <n v="2990"/>
    <x v="61"/>
    <n v="19228"/>
    <n v="45393"/>
    <d v="2025-04-28T00:00:00"/>
    <s v="Supplier/Vendor"/>
    <s v="United States"/>
    <x v="2"/>
    <n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Beata Piehl Household"/>
    <n v="775"/>
    <d v="2026-01-11T00:00:00"/>
    <n v="18551"/>
    <n v="44438"/>
    <d v="2024-04-03T00:00:00"/>
    <s v=""/>
    <s v=""/>
    <x v="0"/>
    <x v="0"/>
  </r>
  <r>
    <s v="Bellese Technologies"/>
    <n v="775"/>
    <d v="2026-01-05T00:00:00"/>
    <n v="18371"/>
    <n v="44227"/>
    <d v="2021-08-25T00:00:00"/>
    <s v=""/>
    <s v="United States"/>
    <x v="0"/>
    <x v="0"/>
  </r>
  <r>
    <s v="Brandon Noffsinger Household"/>
    <n v="775"/>
    <d v="2026-03-26T00:00:00"/>
    <n v="19433"/>
    <n v="45787"/>
    <d v="2026-03-26T00:00:00"/>
    <s v=""/>
    <s v="United States"/>
    <x v="0"/>
    <x v="1"/>
  </r>
  <r>
    <s v="CSIRO"/>
    <n v="775"/>
    <d v="2026-01-12T00:00:00"/>
    <n v="18605"/>
    <n v="44503"/>
    <d v="2026-01-12T00:00:00"/>
    <s v=""/>
    <s v="Australia"/>
    <x v="0"/>
    <x v="0"/>
  </r>
  <r>
    <s v="DUANE VEACH Household"/>
    <n v="775"/>
    <d v="2026-03-23T00:00:00"/>
    <n v="19400"/>
    <n v="45749"/>
    <d v="2026-03-23T00:00:00"/>
    <s v=""/>
    <s v="United States"/>
    <x v="0"/>
    <x v="1"/>
  </r>
  <r>
    <s v="Daniel Ries Household"/>
    <n v="100"/>
    <d v="2026-02-16T00:00:00"/>
    <n v="18946"/>
    <n v="44978"/>
    <d v="2023-02-02T00:00:00"/>
    <s v=""/>
    <s v="United States"/>
    <x v="1"/>
    <x v="2"/>
  </r>
  <r>
    <s v="David Schlossman Household"/>
    <n v="775"/>
    <d v="2026-04-08T00:00:00"/>
    <n v="19610"/>
    <n v="46209"/>
    <d v="2026-04-08T00:00:00"/>
    <s v=""/>
    <s v=""/>
    <x v="0"/>
    <x v="3"/>
  </r>
  <r>
    <s v="Deloitte Consulting LLP"/>
    <n v="775"/>
    <d v="2026-04-09T00:00:00"/>
    <n v="19625"/>
    <n v="46234"/>
    <d v="2023-02-23T00:00:00"/>
    <s v="Consultant"/>
    <s v="United States"/>
    <x v="0"/>
    <x v="3"/>
  </r>
  <r>
    <s v="Dennis Loucks Household"/>
    <n v="775"/>
    <d v="2026-01-31T00:00:00"/>
    <n v="18840"/>
    <n v="44813"/>
    <d v="2021-12-16T00:00:00"/>
    <s v=""/>
    <s v=""/>
    <x v="0"/>
    <x v="0"/>
  </r>
  <r>
    <s v="Diego Franco Household"/>
    <n v="775"/>
    <d v="2026-04-10T00:00:00"/>
    <n v="19638"/>
    <n v="46266"/>
    <d v="2026-04-10T00:00:00"/>
    <s v=""/>
    <s v="United States"/>
    <x v="0"/>
    <x v="3"/>
  </r>
  <r>
    <s v="Donald Kurtz Household"/>
    <n v="775"/>
    <d v="2026-01-30T00:00:00"/>
    <n v="18833"/>
    <n v="44806"/>
    <d v="2026-01-30T00:00:00"/>
    <s v=""/>
    <s v="United States"/>
    <x v="0"/>
    <x v="0"/>
  </r>
  <r>
    <s v="Eli Streitmatter Household"/>
    <n v="775"/>
    <d v="2026-03-18T00:00:00"/>
    <n v="19340"/>
    <n v="45627"/>
    <d v="2026-03-18T00:00:00"/>
    <s v=""/>
    <s v="United States"/>
    <x v="0"/>
    <x v="1"/>
  </r>
  <r>
    <s v="First Databank"/>
    <n v="775"/>
    <d v="2026-01-21T00:00:00"/>
    <n v="18708"/>
    <n v="44608"/>
    <d v="2015-02-03T00:00:00"/>
    <s v="Supplier/Vendor"/>
    <s v="United States"/>
    <x v="0"/>
    <x v="0"/>
  </r>
  <r>
    <s v="Gary Blatt Household"/>
    <n v="775"/>
    <d v="2026-04-09T00:00:00"/>
    <n v="19620"/>
    <n v="46229"/>
    <d v="2023-04-19T00:00:00"/>
    <s v=""/>
    <s v=""/>
    <x v="0"/>
    <x v="3"/>
  </r>
  <r>
    <s v="Glen Rigby Household"/>
    <n v="775"/>
    <d v="2026-02-27T00:00:00"/>
    <n v="19083"/>
    <n v="45165"/>
    <d v="2026-02-27T00:00:00"/>
    <s v=""/>
    <s v="United States"/>
    <x v="0"/>
    <x v="2"/>
  </r>
  <r>
    <s v="Hung Vo Household"/>
    <n v="75"/>
    <d v="2026-03-13T00:00:00"/>
    <n v="19292"/>
    <n v="45526"/>
    <d v="2026-03-13T00:00:00"/>
    <s v=""/>
    <s v="United States"/>
    <x v="2"/>
    <x v="1"/>
  </r>
  <r>
    <s v="James Ferguson Household"/>
    <n v="775"/>
    <d v="2026-04-01T00:00:00"/>
    <n v="19529"/>
    <n v="45955"/>
    <d v="2026-04-01T00:00:00"/>
    <s v=""/>
    <s v="United States"/>
    <x v="0"/>
    <x v="3"/>
  </r>
  <r>
    <s v="John Hatem Household"/>
    <n v="775"/>
    <d v="2026-04-08T00:00:00"/>
    <n v="19596"/>
    <n v="46166"/>
    <d v="2016-05-11T00:00:00"/>
    <s v=""/>
    <s v="United States"/>
    <x v="0"/>
    <x v="3"/>
  </r>
  <r>
    <s v="John Hinch Household"/>
    <n v="775"/>
    <d v="2026-04-30T00:00:00"/>
    <n v="19983"/>
    <n v="47210"/>
    <d v="2025-04-15T00:00:00"/>
    <s v=""/>
    <s v="United States"/>
    <x v="0"/>
    <x v="3"/>
  </r>
  <r>
    <s v="John Moehrke Household"/>
    <n v="775"/>
    <d v="2026-01-06T00:00:00"/>
    <n v="18392"/>
    <n v="44254"/>
    <d v="2026-01-06T00:00:00"/>
    <s v=""/>
    <s v="United States"/>
    <x v="0"/>
    <x v="0"/>
  </r>
  <r>
    <s v="Jonathan Whitby Household"/>
    <n v="775"/>
    <d v="2026-03-04T00:00:00"/>
    <n v="19136"/>
    <n v="45235"/>
    <d v="2019-02-27T00:00:00"/>
    <s v=""/>
    <s v="United States"/>
    <x v="0"/>
    <x v="1"/>
  </r>
  <r>
    <s v="Ken McCaslin Household"/>
    <n v="100"/>
    <d v="2026-02-11T00:00:00"/>
    <n v="18927"/>
    <n v="44951"/>
    <d v="1996-08-15T00:00:00"/>
    <s v=""/>
    <s v="United States"/>
    <x v="1"/>
    <x v="2"/>
  </r>
  <r>
    <s v="Kimberly Langer Household"/>
    <n v="775"/>
    <d v="2026-04-13T00:00:00"/>
    <n v="19658"/>
    <n v="46346"/>
    <d v="2026-04-13T00:00:00"/>
    <s v=""/>
    <s v="United States"/>
    <x v="0"/>
    <x v="3"/>
  </r>
  <r>
    <s v="Lisa Nelson Household"/>
    <n v="775"/>
    <d v="2026-03-06T00:00:00"/>
    <n v="19224"/>
    <n v="45388"/>
    <d v="2025-03-25T00:00:00"/>
    <s v=""/>
    <s v=""/>
    <x v="0"/>
    <x v="1"/>
  </r>
  <r>
    <s v="MASAHARU NAKAYAMA Household"/>
    <n v="775"/>
    <d v="2026-04-12T00:00:00"/>
    <n v="19651"/>
    <n v="46329"/>
    <d v="2021-05-11T00:00:00"/>
    <s v=""/>
    <s v=""/>
    <x v="0"/>
    <x v="3"/>
  </r>
  <r>
    <s v="Manijeh Berenji Household"/>
    <n v="775"/>
    <d v="2026-04-01T00:00:00"/>
    <n v="19525"/>
    <n v="45951"/>
    <d v="2025-03-24T00:00:00"/>
    <s v=""/>
    <s v=""/>
    <x v="0"/>
    <x v="3"/>
  </r>
  <r>
    <s v="Marc Albers Household"/>
    <n v="775"/>
    <d v="2026-03-20T00:00:00"/>
    <n v="19382"/>
    <n v="45724"/>
    <d v="2026-03-20T00:00:00"/>
    <s v=""/>
    <s v="United States"/>
    <x v="0"/>
    <x v="1"/>
  </r>
  <r>
    <s v="Mark Marciante Household"/>
    <n v="775"/>
    <d v="2026-02-02T00:00:00"/>
    <n v="18853"/>
    <n v="44825"/>
    <d v="2024-02-22T00:00:00"/>
    <s v=""/>
    <s v=""/>
    <x v="0"/>
    <x v="2"/>
  </r>
  <r>
    <s v="Melva Peters Household"/>
    <n v="775"/>
    <d v="2026-04-13T00:00:00"/>
    <n v="19659"/>
    <n v="46347"/>
    <d v="2012-07-13T00:00:00"/>
    <s v=""/>
    <s v="Canada"/>
    <x v="0"/>
    <x v="3"/>
  </r>
  <r>
    <s v="Michele Trofatter Household"/>
    <n v="775"/>
    <d v="2026-04-30T00:00:00"/>
    <n v="19980"/>
    <n v="47207"/>
    <d v="2025-05-22T00:00:00"/>
    <s v=""/>
    <s v="United States"/>
    <x v="0"/>
    <x v="3"/>
  </r>
  <r>
    <s v="Ramani Eedara Household"/>
    <n v="775"/>
    <d v="2026-04-07T00:00:00"/>
    <n v="19579"/>
    <n v="46090"/>
    <d v="2026-04-07T00:00:00"/>
    <s v=""/>
    <s v="United States"/>
    <x v="0"/>
    <x v="3"/>
  </r>
  <r>
    <s v="Robert Campbell Household"/>
    <n v="775"/>
    <d v="2026-03-06T00:00:00"/>
    <n v="19198"/>
    <n v="45356"/>
    <d v="2022-03-09T00:00:00"/>
    <s v=""/>
    <s v="United States"/>
    <x v="0"/>
    <x v="1"/>
  </r>
  <r>
    <s v="Ryan Lee Household"/>
    <n v="775"/>
    <d v="2026-01-12T00:00:00"/>
    <n v="18585"/>
    <n v="44482"/>
    <d v="2026-01-12T00:00:00"/>
    <s v=""/>
    <s v="United States"/>
    <x v="0"/>
    <x v="0"/>
  </r>
  <r>
    <s v="Ryan Weihler Household"/>
    <n v="775"/>
    <d v="2026-02-17T00:00:00"/>
    <n v="18965"/>
    <n v="45000"/>
    <d v="2023-03-28T00:00:00"/>
    <s v=""/>
    <s v="United States"/>
    <x v="0"/>
    <x v="2"/>
  </r>
  <r>
    <s v="Sam Schifman Household"/>
    <n v="775"/>
    <d v="2026-01-21T00:00:00"/>
    <n v="18695"/>
    <n v="44595"/>
    <d v="2025-01-24T00:00:00"/>
    <s v=""/>
    <s v=""/>
    <x v="0"/>
    <x v="0"/>
  </r>
  <r>
    <s v="Sandy Vance Household"/>
    <n v="775"/>
    <d v="2026-01-07T00:00:00"/>
    <n v="18418"/>
    <n v="44298"/>
    <d v="2023-05-04T00:00:00"/>
    <s v=""/>
    <s v="United States"/>
    <x v="0"/>
    <x v="0"/>
  </r>
  <r>
    <s v="Srinivasan Parthasarathy Household"/>
    <n v="775"/>
    <d v="2026-02-02T00:00:00"/>
    <n v="18845"/>
    <n v="44817"/>
    <d v="2026-02-02T00:00:00"/>
    <s v=""/>
    <s v="United States"/>
    <x v="0"/>
    <x v="2"/>
  </r>
  <r>
    <s v="Stan Rankins Household"/>
    <n v="775"/>
    <d v="2026-02-03T00:00:00"/>
    <n v="18862"/>
    <n v="44835"/>
    <d v="2026-02-03T00:00:00"/>
    <s v=""/>
    <s v="United States"/>
    <x v="0"/>
    <x v="2"/>
  </r>
  <r>
    <s v="Toshiaki Kato Household"/>
    <n v="775"/>
    <d v="2026-01-28T00:00:00"/>
    <n v="18774"/>
    <n v="44713"/>
    <d v="2026-01-28T00:00:00"/>
    <s v=""/>
    <s v="Japan"/>
    <x v="0"/>
    <x v="0"/>
  </r>
  <r>
    <s v="USC/CHLA"/>
    <n v="775"/>
    <d v="2026-03-24T00:00:00"/>
    <n v="19406"/>
    <n v="45756"/>
    <d v="2022-01-16T00:00:00"/>
    <s v=""/>
    <s v="United States"/>
    <x v="0"/>
    <x v="1"/>
  </r>
  <r>
    <s v="Vrushang Patel Household"/>
    <n v="775"/>
    <d v="2026-03-19T00:00:00"/>
    <n v="19359"/>
    <n v="45652"/>
    <d v="2026-03-19T00:00:00"/>
    <s v=""/>
    <s v="United States"/>
    <x v="0"/>
    <x v="1"/>
  </r>
  <r>
    <s v="Yan Heras Household"/>
    <n v="775"/>
    <d v="2026-03-30T00:00:00"/>
    <n v="19470"/>
    <n v="45856"/>
    <d v="2020-04-01T00:00:00"/>
    <s v=""/>
    <s v="United States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709-78A3-44E1-B2EE-58557666F57D}" name="PivotTable7" cacheId="3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 numFmtId="44"/>
  </dataFields>
  <formats count="2">
    <format dxfId="43">
      <pivotArea outline="0" collapsedLevelsAreSubtotals="1" fieldPosition="0"/>
    </format>
    <format dxfId="42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Accounts_with_Mem_and_Receipts">
        <x15:activeTabTopLevelEntity name="[Accounts_with_Mem_and_Receip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8221-7D53-4C27-90DB-68D12206D4C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K1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6D6C-0AA7-487F-9212-34D7F6B7F9D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J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formats count="2">
    <format dxfId="45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DC05B-93CB-44B0-AA3C-A95E1040BB66}" name="PivotTable3" cacheId="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formats count="1">
    <format dxfId="35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87D9-A316-4771-8CB7-73C0C5518F9A}" name="PivotTable8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B28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1" baseField="0" baseItem="0" numFmtId="44"/>
  </dataFields>
  <formats count="2">
    <format dxfId="37">
      <pivotArea outline="0" collapsedLevelsAreSubtotals="1" fieldPosition="0"/>
    </format>
    <format dxfId="3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B0AD-C62A-475A-9567-14E9C9D09E6F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88EC4-A140-4629-8D5F-169267161F7E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51CB-9ECD-4079-985B-A6EAB3F47C1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2"/>
        <item x="1"/>
        <item x="3"/>
        <item m="1" x="11"/>
        <item m="1" x="8"/>
        <item m="1" x="6"/>
        <item m="1" x="4"/>
        <item m="1" x="5"/>
        <item m="1" x="10"/>
        <item m="1" x="7"/>
        <item m="1" x="9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1" baseField="0" baseItem="0" numFmtId="44"/>
  </dataFields>
  <formats count="1">
    <format dxfId="34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C8321-BCF2-434E-B6D4-6BDA40970C3A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34" firstHeaderRow="1" firstDataRow="4" firstDataCol="1" rowPageCount="1" colPageCount="1"/>
  <pivotFields count="12">
    <pivotField axis="axisRow" showAll="0">
      <items count="174">
        <item x="2"/>
        <item x="7"/>
        <item x="10"/>
        <item x="11"/>
        <item x="12"/>
        <item x="13"/>
        <item x="16"/>
        <item x="18"/>
        <item x="20"/>
        <item x="22"/>
        <item x="23"/>
        <item x="24"/>
        <item x="19"/>
        <item x="25"/>
        <item x="27"/>
        <item x="28"/>
        <item x="31"/>
        <item x="33"/>
        <item x="36"/>
        <item x="38"/>
        <item x="39"/>
        <item x="40"/>
        <item x="42"/>
        <item x="45"/>
        <item x="47"/>
        <item x="57"/>
        <item x="64"/>
        <item x="80"/>
        <item x="81"/>
        <item x="83"/>
        <item x="89"/>
        <item x="90"/>
        <item x="92"/>
        <item x="94"/>
        <item x="100"/>
        <item x="102"/>
        <item x="97"/>
        <item x="103"/>
        <item x="108"/>
        <item x="112"/>
        <item x="116"/>
        <item x="120"/>
        <item x="122"/>
        <item x="126"/>
        <item x="128"/>
        <item x="130"/>
        <item x="134"/>
        <item x="135"/>
        <item x="136"/>
        <item x="139"/>
        <item x="140"/>
        <item x="141"/>
        <item x="137"/>
        <item x="142"/>
        <item x="143"/>
        <item x="144"/>
        <item x="145"/>
        <item x="146"/>
        <item x="147"/>
        <item x="149"/>
        <item x="154"/>
        <item x="157"/>
        <item x="163"/>
        <item x="0"/>
        <item x="1"/>
        <item x="9"/>
        <item x="14"/>
        <item x="17"/>
        <item x="21"/>
        <item x="26"/>
        <item x="34"/>
        <item x="35"/>
        <item x="37"/>
        <item x="46"/>
        <item x="49"/>
        <item x="50"/>
        <item x="51"/>
        <item x="52"/>
        <item x="54"/>
        <item x="55"/>
        <item x="60"/>
        <item x="63"/>
        <item x="68"/>
        <item x="72"/>
        <item x="74"/>
        <item x="76"/>
        <item x="78"/>
        <item x="79"/>
        <item x="84"/>
        <item x="85"/>
        <item x="91"/>
        <item x="95"/>
        <item x="99"/>
        <item x="104"/>
        <item x="109"/>
        <item x="111"/>
        <item x="114"/>
        <item x="118"/>
        <item x="119"/>
        <item x="125"/>
        <item x="129"/>
        <item x="131"/>
        <item x="133"/>
        <item x="150"/>
        <item x="151"/>
        <item x="152"/>
        <item x="153"/>
        <item x="155"/>
        <item x="156"/>
        <item x="158"/>
        <item x="161"/>
        <item x="162"/>
        <item x="164"/>
        <item x="167"/>
        <item x="168"/>
        <item x="169"/>
        <item x="171"/>
        <item x="172"/>
        <item x="3"/>
        <item x="4"/>
        <item x="5"/>
        <item x="6"/>
        <item x="8"/>
        <item x="15"/>
        <item x="29"/>
        <item x="30"/>
        <item x="32"/>
        <item x="41"/>
        <item x="43"/>
        <item x="44"/>
        <item x="48"/>
        <item x="53"/>
        <item x="56"/>
        <item x="58"/>
        <item x="59"/>
        <item x="61"/>
        <item x="62"/>
        <item x="65"/>
        <item x="66"/>
        <item x="67"/>
        <item x="69"/>
        <item x="70"/>
        <item x="71"/>
        <item x="73"/>
        <item x="75"/>
        <item x="77"/>
        <item x="82"/>
        <item x="86"/>
        <item x="87"/>
        <item x="88"/>
        <item x="93"/>
        <item x="96"/>
        <item x="98"/>
        <item x="101"/>
        <item x="105"/>
        <item x="106"/>
        <item x="107"/>
        <item x="110"/>
        <item x="113"/>
        <item x="115"/>
        <item x="117"/>
        <item x="121"/>
        <item x="123"/>
        <item x="124"/>
        <item x="127"/>
        <item x="132"/>
        <item x="138"/>
        <item x="148"/>
        <item x="159"/>
        <item x="160"/>
        <item x="165"/>
        <item x="166"/>
        <item x="170"/>
        <item t="default"/>
      </items>
    </pivotField>
    <pivotField dataField="1" showAll="0"/>
    <pivotField axis="axisCol" showAll="0">
      <items count="77">
        <item x="11"/>
        <item x="59"/>
        <item x="71"/>
        <item x="33"/>
        <item x="68"/>
        <item x="10"/>
        <item x="17"/>
        <item x="9"/>
        <item x="57"/>
        <item x="73"/>
        <item x="20"/>
        <item x="34"/>
        <item x="64"/>
        <item x="67"/>
        <item x="31"/>
        <item x="74"/>
        <item x="60"/>
        <item x="28"/>
        <item x="26"/>
        <item x="36"/>
        <item x="72"/>
        <item x="21"/>
        <item x="16"/>
        <item x="14"/>
        <item x="2"/>
        <item x="23"/>
        <item x="49"/>
        <item x="69"/>
        <item x="7"/>
        <item x="18"/>
        <item x="45"/>
        <item x="38"/>
        <item x="0"/>
        <item x="1"/>
        <item x="8"/>
        <item x="12"/>
        <item x="15"/>
        <item x="19"/>
        <item x="22"/>
        <item x="29"/>
        <item x="30"/>
        <item x="32"/>
        <item x="39"/>
        <item x="41"/>
        <item x="42"/>
        <item x="43"/>
        <item x="44"/>
        <item x="52"/>
        <item x="40"/>
        <item x="55"/>
        <item x="61"/>
        <item x="63"/>
        <item x="70"/>
        <item x="75"/>
        <item x="3"/>
        <item x="4"/>
        <item x="5"/>
        <item x="6"/>
        <item x="13"/>
        <item x="24"/>
        <item x="25"/>
        <item x="27"/>
        <item x="35"/>
        <item x="37"/>
        <item x="46"/>
        <item x="47"/>
        <item x="48"/>
        <item x="50"/>
        <item x="51"/>
        <item x="53"/>
        <item x="54"/>
        <item x="56"/>
        <item x="58"/>
        <item x="62"/>
        <item x="65"/>
        <item x="6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9">
        <item x="6"/>
        <item h="1" x="3"/>
        <item h="1" x="2"/>
        <item h="1" x="4"/>
        <item h="1" x="1"/>
        <item h="1" x="5"/>
        <item h="1" x="0"/>
        <item h="1" x="7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28">
    <i>
      <x v="25"/>
    </i>
    <i>
      <x v="26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3">
    <field x="11"/>
    <field x="10"/>
    <field x="2"/>
  </colFields>
  <colItems count="4">
    <i>
      <x v="2"/>
    </i>
    <i>
      <x v="3"/>
    </i>
    <i>
      <x v="4"/>
    </i>
    <i t="grand">
      <x/>
    </i>
  </colItems>
  <pageFields count="1">
    <pageField fld="8" hier="-1"/>
  </pageField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9F6D-E79B-42E4-AB47-DEFBBB97001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6:N13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Years Member" fld="1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12DD-807D-4FBA-9005-4678480CE2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23" firstHeaderRow="1" firstDataRow="1" firstDataCol="1"/>
  <pivotFields count="2">
    <pivotField axis="axisRow" dataField="1" numFmtId="9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ct" fld="0" subtotal="count" baseField="0" baseItem="0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39E32A-6B3F-4D4E-8379-B33A94FB1752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5621CD-01D0-4752-B01E-20D4986A55A4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74E1B6-3516-4F9C-8C85-F921BD04BA9A}" autoFormatId="16" applyNumberFormats="0" applyBorderFormats="0" applyFontFormats="0" applyPatternFormats="0" applyAlignmentFormats="0" applyWidthHeightFormats="0">
  <queryTableRefresh nextId="13">
    <queryTableFields count="11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  <queryTableField id="12" name="Years Memb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5CF60-7640-46DD-8060-F5DF19CD1E06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605841-21C6-4A3A-9671-42B381F66ACF}" name="Table10" displayName="Table10" ref="F3:G7" totalsRowCount="1">
  <autoFilter ref="F3:G6" xr:uid="{43605841-21C6-4A3A-9671-42B381F66ACF}"/>
  <tableColumns count="2">
    <tableColumn id="1" xr3:uid="{E1B23E9D-966B-4463-8E08-4C5BE7B39A1C}" name="Membership Class" totalsRowLabel="Grand Total" dataDxfId="41" totalsRowDxfId="40"/>
    <tableColumn id="2" xr3:uid="{4B9EBADE-A69E-47F4-A148-E91327D51523}" name="2026 Dues Total" totalsRowFunction="sum" dataDxfId="39" totalsRowDxfId="38" dataCellStyle="Currency" totalsRow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785D2-41D0-425F-A7E7-F1262EAD59C7}" name="tblGauge" displayName="tblGauge" ref="B15:D38" totalsRowShown="0">
  <autoFilter ref="B15:D38" xr:uid="{A20785D2-41D0-425F-A7E7-F1262EAD59C7}"/>
  <tableColumns count="3">
    <tableColumn id="1" xr3:uid="{1E86A602-1569-42FD-A6E6-84FF4C4AE602}" name="Labels"/>
    <tableColumn id="2" xr3:uid="{956F1B96-EB00-4167-A7E3-0D0A94D0414C}" name="Values"/>
    <tableColumn id="3" xr3:uid="{5B7B24AD-D106-486F-8298-37442BFDCB1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4B561D-3DE1-4073-8C70-585970459B4A}" name="tblSpeedo" displayName="tblSpeedo" ref="B39:C42" totalsRowShown="0">
  <autoFilter ref="B39:C42" xr:uid="{124B561D-3DE1-4073-8C70-585970459B4A}"/>
  <tableColumns count="2">
    <tableColumn id="1" xr3:uid="{C2FF714A-314E-49D7-AE45-DABAAD85226D}" name="Labels"/>
    <tableColumn id="2" xr3:uid="{79B46D6F-04AF-412E-82E9-4C093746765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CAA2A-3019-4CC4-8AA3-D44C337802CF}" name="Orgs" displayName="Orgs" ref="A1:J104" tableType="queryTable" totalsRowShown="0">
  <autoFilter ref="A1:J104" xr:uid="{773CAA2A-3019-4CC4-8AA3-D44C337802CF}"/>
  <tableColumns count="10">
    <tableColumn id="1" xr3:uid="{E76B5370-4112-4033-B309-979487D5D651}" uniqueName="1" name="Account Name" queryTableFieldId="1" dataDxfId="13"/>
    <tableColumn id="2" xr3:uid="{1D6F9AE6-5DC1-49F7-8782-34127926E9F0}" uniqueName="2" name="Total" queryTableFieldId="2"/>
    <tableColumn id="3" xr3:uid="{A191BF75-CA82-4ED7-BFE4-409FE5356D9C}" uniqueName="3" name="Posted Date" queryTableFieldId="3" dataDxfId="12"/>
    <tableColumn id="4" xr3:uid="{A3F179DB-DA41-4354-B404-E8A40F06566A}" uniqueName="4" name="Receipt Number" queryTableFieldId="4"/>
    <tableColumn id="5" xr3:uid="{0298857D-5D55-4E40-8DAD-4E0ECC432912}" uniqueName="5" name="Receipt Line ID" queryTableFieldId="5"/>
    <tableColumn id="6" xr3:uid="{84EB94B0-158A-42E8-8229-46F4189724D9}" uniqueName="6" name="Member Since" queryTableFieldId="6" dataDxfId="11"/>
    <tableColumn id="7" xr3:uid="{F5080EF2-13D6-4CF1-827D-B66B46B17BA6}" uniqueName="7" name="Account Category" queryTableFieldId="7" dataDxfId="10"/>
    <tableColumn id="8" xr3:uid="{8916CA15-871D-4A88-815C-AC351C43C54F}" uniqueName="8" name="Billing Country" queryTableFieldId="8" dataDxfId="9"/>
    <tableColumn id="9" xr3:uid="{D1E6271C-71EE-4185-B3CA-750E086D4BC6}" uniqueName="9" name="Item Name" queryTableFieldId="9" dataDxfId="8"/>
    <tableColumn id="10" xr3:uid="{5E9CF964-1DEF-4766-8A2A-AC838D7CCB71}" uniqueName="10" name="Paid_Mont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C88D8-0AB0-4869-83BD-80D3CA0AD69E}" name="Individual" displayName="Individual" ref="A1:J43" tableType="queryTable" totalsRowShown="0">
  <autoFilter ref="A1:J43" xr:uid="{822C88D8-0AB0-4869-83BD-80D3CA0AD69E}"/>
  <tableColumns count="10">
    <tableColumn id="1" xr3:uid="{0A652639-F825-4C53-9F52-54EA8FC3A182}" uniqueName="1" name="Account Name" queryTableFieldId="1" dataDxfId="21"/>
    <tableColumn id="2" xr3:uid="{725D92B3-6CD2-4C2A-A995-97D9C1928297}" uniqueName="2" name="Total" queryTableFieldId="2"/>
    <tableColumn id="3" xr3:uid="{81AB5C1B-B72F-42FD-96C0-58225280C517}" uniqueName="3" name="Posted Date" queryTableFieldId="3" dataDxfId="20"/>
    <tableColumn id="4" xr3:uid="{B5F11B3D-0B3F-4AB5-8653-B1D7921F2692}" uniqueName="4" name="Receipt Number" queryTableFieldId="4"/>
    <tableColumn id="5" xr3:uid="{E4E1E67D-759D-4BDB-89CA-39994CE359EA}" uniqueName="5" name="Receipt Line ID" queryTableFieldId="5"/>
    <tableColumn id="6" xr3:uid="{6A5E8887-37AD-4A6E-ADD4-36633C979DD5}" uniqueName="6" name="Member Since" queryTableFieldId="6" dataDxfId="19"/>
    <tableColumn id="7" xr3:uid="{ACD237DA-FE0E-42F8-BB56-9534A3ADA619}" uniqueName="7" name="Account Category" queryTableFieldId="7" dataDxfId="18"/>
    <tableColumn id="8" xr3:uid="{191EAEF7-5E8A-41EA-95D1-B72B1D3A54E4}" uniqueName="8" name="Billing Country" queryTableFieldId="8" dataDxfId="17"/>
    <tableColumn id="9" xr3:uid="{ED098656-FE58-4097-83FE-EF15347A26E0}" uniqueName="9" name="Item Name" queryTableFieldId="9" dataDxfId="16"/>
    <tableColumn id="10" xr3:uid="{ECB65B2F-1281-4872-B492-860C1060170C}" uniqueName="10" name="Paid_Month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BE7B8-77BE-44BB-9872-DD5A4D2E4E5A}" name="Yrs_of_Membership" displayName="Yrs_of_Membership" ref="A1:K174" tableType="queryTable" totalsRowShown="0">
  <autoFilter ref="A1:K174" xr:uid="{40FBE7B8-77BE-44BB-9872-DD5A4D2E4E5A}"/>
  <tableColumns count="11">
    <tableColumn id="1" xr3:uid="{A549FE1F-7DC6-4CAF-90B5-76688494F756}" uniqueName="1" name="Account Name" queryTableFieldId="1" dataDxfId="27"/>
    <tableColumn id="2" xr3:uid="{C64CD669-1D75-4D76-9379-A84CA4D633B7}" uniqueName="2" name="Total" queryTableFieldId="2"/>
    <tableColumn id="3" xr3:uid="{A32854CB-3828-4DD5-A903-94970370A90D}" uniqueName="3" name="Posted Date" queryTableFieldId="3" dataDxfId="26"/>
    <tableColumn id="4" xr3:uid="{EB795AA9-9E55-427D-A509-F41C23C7DA8B}" uniqueName="4" name="Receipt Number" queryTableFieldId="4"/>
    <tableColumn id="5" xr3:uid="{7CEA1745-3D9F-422D-9208-1848045D860B}" uniqueName="5" name="Receipt Line ID" queryTableFieldId="5"/>
    <tableColumn id="6" xr3:uid="{7C13E1B5-3485-4FB5-862E-809A2ADE3164}" uniqueName="6" name="Member Since" queryTableFieldId="6" dataDxfId="25"/>
    <tableColumn id="7" xr3:uid="{12B6136F-CBD4-47E3-974A-E3B2B5072EF1}" uniqueName="7" name="Account Category" queryTableFieldId="7" dataDxfId="24"/>
    <tableColumn id="8" xr3:uid="{BFC06638-8592-4622-AE3C-D6883A16C797}" uniqueName="8" name="Billing Country" queryTableFieldId="8" dataDxfId="23"/>
    <tableColumn id="9" xr3:uid="{44370CA2-1A63-4695-BF21-F48C5D096090}" uniqueName="9" name="Item Name" queryTableFieldId="9" dataDxfId="22"/>
    <tableColumn id="10" xr3:uid="{7095F994-6FE0-4539-B41F-60D7C19DC7AD}" uniqueName="10" name="Paid_Month" queryTableFieldId="10"/>
    <tableColumn id="12" xr3:uid="{04BBA9F9-0F2C-489F-8D32-A0B440DB5142}" uniqueName="12" name="Years Member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5BBB-6D46-4CB5-BB2B-53CE1293C4E3}" name="Accounts_with_Mem_and_Receipts" displayName="Accounts_with_Mem_and_Receipts" ref="A1:J178" tableType="queryTable" totalsRowShown="0">
  <autoFilter ref="A1:J178" xr:uid="{77F35BBB-6D46-4CB5-BB2B-53CE1293C4E3}"/>
  <tableColumns count="10">
    <tableColumn id="1" xr3:uid="{DA042C2E-F709-4840-873D-B19848EB4F96}" uniqueName="1" name="Account Name" queryTableFieldId="1" dataDxfId="33"/>
    <tableColumn id="2" xr3:uid="{69A741DC-F257-40C2-B91D-56A9AD0708E4}" uniqueName="2" name="Total" queryTableFieldId="2"/>
    <tableColumn id="3" xr3:uid="{B9AD17EF-4D79-46D2-922C-E66C05DDF247}" uniqueName="3" name="Posted Date" queryTableFieldId="3" dataDxfId="32"/>
    <tableColumn id="4" xr3:uid="{8837DB35-4DF1-44A4-8ABC-6723EF0F3665}" uniqueName="4" name="Receipt Number" queryTableFieldId="4"/>
    <tableColumn id="5" xr3:uid="{5E6DCBCD-E72A-4085-AA76-10241DEEFBAB}" uniqueName="5" name="Receipt Line ID" queryTableFieldId="5"/>
    <tableColumn id="6" xr3:uid="{9C06C63C-B1B5-4DD4-99EC-9FC7379FE8A7}" uniqueName="6" name="Member Since" queryTableFieldId="6" dataDxfId="31"/>
    <tableColumn id="7" xr3:uid="{3A413C51-D921-4E0B-B08B-25E40C57731B}" uniqueName="7" name="Account Category" queryTableFieldId="7" dataDxfId="30"/>
    <tableColumn id="8" xr3:uid="{4CD917E1-EF27-4C98-9F0B-23CB8418A848}" uniqueName="8" name="Billing Country" queryTableFieldId="8" dataDxfId="29"/>
    <tableColumn id="9" xr3:uid="{9F824C32-5E81-411D-A170-144E6B4BB618}" uniqueName="9" name="Item Name" queryTableFieldId="9" dataDxfId="28"/>
    <tableColumn id="10" xr3:uid="{E2697497-9215-4CFA-B973-F86EBEE30B9D}" uniqueName="10" name="Paid_Mon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923-A81F-42C2-B0E6-4E162B03C5CE}">
  <dimension ref="A1"/>
  <sheetViews>
    <sheetView tabSelected="1" zoomScale="90" zoomScaleNormal="90" workbookViewId="0">
      <selection activeCell="L30" sqref="L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679B-A534-45B7-9F9E-CF4BB7C468F3}">
  <dimension ref="A1:L44"/>
  <sheetViews>
    <sheetView zoomScale="90" zoomScaleNormal="90" workbookViewId="0">
      <selection activeCell="K22" sqref="K22"/>
    </sheetView>
  </sheetViews>
  <sheetFormatPr defaultRowHeight="14.5" x14ac:dyDescent="0.35"/>
  <cols>
    <col min="1" max="1" width="50.6328125" bestFit="1" customWidth="1"/>
    <col min="2" max="2" width="12.453125" bestFit="1" customWidth="1"/>
    <col min="3" max="3" width="14.453125" bestFit="1" customWidth="1"/>
    <col min="6" max="6" width="24.08984375" bestFit="1" customWidth="1"/>
    <col min="7" max="7" width="16.26953125" bestFit="1" customWidth="1"/>
    <col min="10" max="11" width="24.08984375" bestFit="1" customWidth="1"/>
    <col min="12" max="12" width="20.6328125" bestFit="1" customWidth="1"/>
  </cols>
  <sheetData>
    <row r="1" spans="1:12" x14ac:dyDescent="0.35">
      <c r="F1" t="s">
        <v>45</v>
      </c>
      <c r="J1" t="s">
        <v>46</v>
      </c>
    </row>
    <row r="2" spans="1:12" x14ac:dyDescent="0.35">
      <c r="A2" t="s">
        <v>44</v>
      </c>
    </row>
    <row r="3" spans="1:12" x14ac:dyDescent="0.35">
      <c r="A3" s="2" t="s">
        <v>29</v>
      </c>
      <c r="B3" s="4" t="s">
        <v>31</v>
      </c>
      <c r="F3" s="3" t="s">
        <v>40</v>
      </c>
      <c r="G3" t="s">
        <v>86</v>
      </c>
      <c r="J3" s="2" t="s">
        <v>29</v>
      </c>
    </row>
    <row r="4" spans="1:12" x14ac:dyDescent="0.35">
      <c r="A4" s="3" t="s">
        <v>0</v>
      </c>
      <c r="B4" s="4">
        <v>42900</v>
      </c>
      <c r="F4" s="3" t="s">
        <v>41</v>
      </c>
      <c r="G4" s="7">
        <f>GETPIVOTDATA("Total",Affiliate!$B$4)</f>
        <v>159437.93</v>
      </c>
      <c r="J4" s="3" t="s">
        <v>41</v>
      </c>
    </row>
    <row r="5" spans="1:12" x14ac:dyDescent="0.35">
      <c r="A5" s="3" t="s">
        <v>11</v>
      </c>
      <c r="B5" s="4">
        <v>196280</v>
      </c>
      <c r="F5" s="3" t="s">
        <v>42</v>
      </c>
      <c r="G5" s="8">
        <f>GETPIVOTDATA("Total",'Ind Revenues'!$A$3)</f>
        <v>30500</v>
      </c>
      <c r="J5" s="3" t="s">
        <v>42</v>
      </c>
    </row>
    <row r="6" spans="1:12" x14ac:dyDescent="0.35">
      <c r="A6" s="3" t="s">
        <v>17</v>
      </c>
      <c r="B6" s="4">
        <v>442713.83</v>
      </c>
      <c r="F6" s="3" t="s">
        <v>43</v>
      </c>
      <c r="G6" s="8">
        <f>GETPIVOTDATA("[Measures].[Sum of Total]",'Org Revenues'!$A$3)</f>
        <v>790828.83</v>
      </c>
      <c r="J6" s="3" t="s">
        <v>43</v>
      </c>
    </row>
    <row r="7" spans="1:12" x14ac:dyDescent="0.35">
      <c r="A7" s="3" t="s">
        <v>30</v>
      </c>
      <c r="B7" s="4">
        <v>681893.83</v>
      </c>
      <c r="F7" s="3" t="s">
        <v>30</v>
      </c>
      <c r="G7" s="8">
        <f>SUBTOTAL(109,Table10[2026 Dues Total])</f>
        <v>980766.76</v>
      </c>
      <c r="J7" s="3" t="s">
        <v>30</v>
      </c>
      <c r="L7" t="str">
        <f>"Grand Total "&amp;TEXT(Table10[[#Totals],[2026 Dues Total]],"$#,###")</f>
        <v>Grand Total $980,767</v>
      </c>
    </row>
    <row r="10" spans="1:12" x14ac:dyDescent="0.35">
      <c r="C10" t="str">
        <f>"Grand Total "&amp;TEXT(GETPIVOTDATA("[Measures].[Sum of Total 2]",$A$3),"$#,###")</f>
        <v>Grand Total $681,894</v>
      </c>
      <c r="K10" s="2" t="s">
        <v>29</v>
      </c>
    </row>
    <row r="11" spans="1:12" x14ac:dyDescent="0.35">
      <c r="K11" s="3" t="s">
        <v>41</v>
      </c>
    </row>
    <row r="12" spans="1:12" x14ac:dyDescent="0.35">
      <c r="A12" s="3" t="s">
        <v>53</v>
      </c>
      <c r="B12" s="10">
        <v>2847751</v>
      </c>
      <c r="C12" s="6" t="str">
        <f>CONCATENATE(A12," ",TEXT(B12,"$#,###,###"))</f>
        <v>Goal:  $2,847,751</v>
      </c>
      <c r="E12" s="12">
        <f>C40/B12</f>
        <v>0.17220023098929646</v>
      </c>
      <c r="K12" s="3" t="s">
        <v>42</v>
      </c>
    </row>
    <row r="13" spans="1:12" x14ac:dyDescent="0.35">
      <c r="B13" s="11">
        <f>B12/10</f>
        <v>284775.09999999998</v>
      </c>
      <c r="C13" s="11">
        <f>B13/10</f>
        <v>28477.51</v>
      </c>
      <c r="K13" s="3" t="s">
        <v>43</v>
      </c>
    </row>
    <row r="14" spans="1:12" x14ac:dyDescent="0.35">
      <c r="K14" s="3" t="s">
        <v>30</v>
      </c>
    </row>
    <row r="15" spans="1:12" x14ac:dyDescent="0.35">
      <c r="B15" t="s">
        <v>47</v>
      </c>
      <c r="C15" t="s">
        <v>48</v>
      </c>
      <c r="D15" t="s">
        <v>62</v>
      </c>
    </row>
    <row r="16" spans="1:12" x14ac:dyDescent="0.35">
      <c r="B16" s="9">
        <v>0.1</v>
      </c>
      <c r="C16" s="11">
        <v>284775.09999999998</v>
      </c>
      <c r="D16">
        <v>10</v>
      </c>
    </row>
    <row r="17" spans="2:4" x14ac:dyDescent="0.35">
      <c r="B17" s="9">
        <v>0.2</v>
      </c>
      <c r="C17" s="11">
        <v>284775.09999999998</v>
      </c>
      <c r="D17">
        <v>10</v>
      </c>
    </row>
    <row r="18" spans="2:4" x14ac:dyDescent="0.35">
      <c r="B18" s="9">
        <v>0.3</v>
      </c>
      <c r="C18" s="11">
        <v>284775.09999999998</v>
      </c>
      <c r="D18">
        <v>10</v>
      </c>
    </row>
    <row r="19" spans="2:4" x14ac:dyDescent="0.35">
      <c r="B19" s="9">
        <v>0.4</v>
      </c>
      <c r="C19" s="11">
        <v>284775.09999999998</v>
      </c>
      <c r="D19">
        <v>10</v>
      </c>
    </row>
    <row r="20" spans="2:4" x14ac:dyDescent="0.35">
      <c r="B20" s="9">
        <v>0.5</v>
      </c>
      <c r="C20" s="11">
        <v>284775.09999999998</v>
      </c>
      <c r="D20">
        <v>10</v>
      </c>
    </row>
    <row r="21" spans="2:4" x14ac:dyDescent="0.35">
      <c r="B21" s="9">
        <v>0.6</v>
      </c>
      <c r="C21" s="11">
        <v>284775.09999999998</v>
      </c>
      <c r="D21">
        <v>10</v>
      </c>
    </row>
    <row r="22" spans="2:4" x14ac:dyDescent="0.35">
      <c r="B22" s="9">
        <v>0.7</v>
      </c>
      <c r="C22" s="11">
        <v>284775.09999999998</v>
      </c>
      <c r="D22">
        <v>10</v>
      </c>
    </row>
    <row r="23" spans="2:4" x14ac:dyDescent="0.35">
      <c r="B23" s="9">
        <v>0.8</v>
      </c>
      <c r="C23" s="11">
        <v>284775.09999999998</v>
      </c>
      <c r="D23">
        <v>10</v>
      </c>
    </row>
    <row r="24" spans="2:4" x14ac:dyDescent="0.35">
      <c r="B24" s="9">
        <v>0.9</v>
      </c>
      <c r="C24" s="11">
        <v>284775.09999999998</v>
      </c>
      <c r="D24">
        <v>10</v>
      </c>
    </row>
    <row r="25" spans="2:4" x14ac:dyDescent="0.35">
      <c r="B25" s="9">
        <v>1</v>
      </c>
      <c r="C25" s="11">
        <v>284775.09999999998</v>
      </c>
      <c r="D25">
        <v>10</v>
      </c>
    </row>
    <row r="26" spans="2:4" x14ac:dyDescent="0.35">
      <c r="B26" s="9">
        <v>1.1000000000000001</v>
      </c>
      <c r="C26" s="11">
        <v>284775.09999999998</v>
      </c>
      <c r="D26">
        <v>10</v>
      </c>
    </row>
    <row r="27" spans="2:4" x14ac:dyDescent="0.35">
      <c r="B27" s="9">
        <v>1.2</v>
      </c>
      <c r="C27">
        <v>0</v>
      </c>
      <c r="D27">
        <v>10</v>
      </c>
    </row>
    <row r="28" spans="2:4" x14ac:dyDescent="0.35">
      <c r="B28" s="9">
        <v>1.3</v>
      </c>
      <c r="C28">
        <v>0</v>
      </c>
      <c r="D28">
        <v>10</v>
      </c>
    </row>
    <row r="29" spans="2:4" x14ac:dyDescent="0.35">
      <c r="B29" s="9">
        <v>1.4</v>
      </c>
      <c r="C29">
        <v>0</v>
      </c>
      <c r="D29">
        <v>10</v>
      </c>
    </row>
    <row r="30" spans="2:4" x14ac:dyDescent="0.35">
      <c r="B30" s="9">
        <v>1.5</v>
      </c>
      <c r="C30">
        <v>0</v>
      </c>
      <c r="D30">
        <v>10</v>
      </c>
    </row>
    <row r="31" spans="2:4" x14ac:dyDescent="0.35">
      <c r="B31" s="9">
        <v>1.6</v>
      </c>
      <c r="C31">
        <v>0</v>
      </c>
      <c r="D31">
        <v>10</v>
      </c>
    </row>
    <row r="32" spans="2:4" x14ac:dyDescent="0.35">
      <c r="B32" s="9">
        <v>1.7</v>
      </c>
      <c r="C32">
        <v>0</v>
      </c>
      <c r="D32">
        <v>10</v>
      </c>
    </row>
    <row r="33" spans="2:4" x14ac:dyDescent="0.35">
      <c r="B33" s="9">
        <v>1.8</v>
      </c>
      <c r="C33">
        <v>0</v>
      </c>
      <c r="D33">
        <v>10</v>
      </c>
    </row>
    <row r="34" spans="2:4" x14ac:dyDescent="0.35">
      <c r="B34" s="9">
        <v>1.9</v>
      </c>
      <c r="C34">
        <v>0</v>
      </c>
      <c r="D34">
        <v>10</v>
      </c>
    </row>
    <row r="35" spans="2:4" x14ac:dyDescent="0.35">
      <c r="B35" s="9">
        <v>2</v>
      </c>
      <c r="C35">
        <v>0</v>
      </c>
      <c r="D35">
        <v>10</v>
      </c>
    </row>
    <row r="36" spans="2:4" x14ac:dyDescent="0.35">
      <c r="B36" s="9"/>
    </row>
    <row r="37" spans="2:4" x14ac:dyDescent="0.35">
      <c r="B37" s="9"/>
    </row>
    <row r="38" spans="2:4" x14ac:dyDescent="0.35">
      <c r="B38" s="9"/>
    </row>
    <row r="39" spans="2:4" x14ac:dyDescent="0.35">
      <c r="B39" t="s">
        <v>47</v>
      </c>
      <c r="C39" t="s">
        <v>49</v>
      </c>
    </row>
    <row r="40" spans="2:4" x14ac:dyDescent="0.35">
      <c r="B40" t="s">
        <v>50</v>
      </c>
      <c r="C40" s="5">
        <f>G7/2</f>
        <v>490383.38</v>
      </c>
    </row>
    <row r="41" spans="2:4" x14ac:dyDescent="0.35">
      <c r="B41" t="s">
        <v>51</v>
      </c>
      <c r="C41">
        <v>30000</v>
      </c>
    </row>
    <row r="42" spans="2:4" x14ac:dyDescent="0.35">
      <c r="B42" t="s">
        <v>52</v>
      </c>
      <c r="C42" s="10">
        <f>C26-B12</f>
        <v>-2562975.9</v>
      </c>
    </row>
    <row r="44" spans="2:4" x14ac:dyDescent="0.35">
      <c r="B44" t="str">
        <f>CONCATENATE("Current: ",TEXT(2*C40,"$#,###"),", ",TEXT(2*E12,"0%"))</f>
        <v>Current: $980,767, 34%</v>
      </c>
    </row>
  </sheetData>
  <phoneticPr fontId="2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CAA6-2DD0-4837-A4EE-84ECAC325805}">
  <dimension ref="A3:M28"/>
  <sheetViews>
    <sheetView workbookViewId="0">
      <selection activeCell="B25" sqref="B25"/>
    </sheetView>
  </sheetViews>
  <sheetFormatPr defaultRowHeight="14.5" x14ac:dyDescent="0.35"/>
  <cols>
    <col min="1" max="1" width="23.1796875" bestFit="1" customWidth="1"/>
    <col min="2" max="2" width="12.36328125" bestFit="1" customWidth="1"/>
    <col min="3" max="3" width="17" bestFit="1" customWidth="1"/>
    <col min="11" max="11" width="23.1796875" bestFit="1" customWidth="1"/>
    <col min="12" max="12" width="17.54296875" bestFit="1" customWidth="1"/>
  </cols>
  <sheetData>
    <row r="3" spans="1:13" x14ac:dyDescent="0.35">
      <c r="A3" s="2" t="s">
        <v>29</v>
      </c>
      <c r="B3" t="s">
        <v>31</v>
      </c>
      <c r="K3" s="2" t="s">
        <v>29</v>
      </c>
      <c r="L3" t="s">
        <v>54</v>
      </c>
    </row>
    <row r="4" spans="1:13" x14ac:dyDescent="0.35">
      <c r="A4" s="3" t="s">
        <v>21</v>
      </c>
      <c r="B4" s="5">
        <v>234070</v>
      </c>
      <c r="K4" s="3" t="s">
        <v>21</v>
      </c>
      <c r="L4">
        <v>7</v>
      </c>
      <c r="M4" t="str">
        <f>"Benefactor: "&amp;GETPIVOTDATA("Item Name",$K$3,"Item Name","Benefactor Membership")</f>
        <v>Benefactor: 7</v>
      </c>
    </row>
    <row r="5" spans="1:13" x14ac:dyDescent="0.35">
      <c r="A5" s="3" t="s">
        <v>13</v>
      </c>
      <c r="B5" s="5">
        <v>75403.789999999994</v>
      </c>
      <c r="K5" s="3" t="s">
        <v>13</v>
      </c>
      <c r="L5">
        <v>17</v>
      </c>
      <c r="M5" t="str">
        <f>"Gold: "&amp;GETPIVOTDATA("Item Name",$K$4,"Item Name","Gold Membership")</f>
        <v>Gold: 17</v>
      </c>
    </row>
    <row r="6" spans="1:13" x14ac:dyDescent="0.35">
      <c r="A6" s="3" t="s">
        <v>18</v>
      </c>
      <c r="B6" s="5">
        <v>481355.04</v>
      </c>
      <c r="K6" s="3" t="s">
        <v>18</v>
      </c>
      <c r="L6">
        <v>50</v>
      </c>
      <c r="M6" t="str">
        <f>"Organization: "&amp;GETPIVOTDATA("Item Name",$K$3,"Item Name","Organizational Membership")</f>
        <v>Organization: 50</v>
      </c>
    </row>
    <row r="7" spans="1:13" x14ac:dyDescent="0.35">
      <c r="A7" s="3" t="s">
        <v>30</v>
      </c>
      <c r="B7" s="21">
        <v>790828.83</v>
      </c>
      <c r="K7" s="3" t="s">
        <v>30</v>
      </c>
      <c r="L7">
        <v>74</v>
      </c>
    </row>
    <row r="21" spans="1:2" x14ac:dyDescent="0.35">
      <c r="A21" t="s">
        <v>39</v>
      </c>
    </row>
    <row r="23" spans="1:2" x14ac:dyDescent="0.35">
      <c r="A23" s="2" t="s">
        <v>29</v>
      </c>
      <c r="B23" s="4" t="s">
        <v>31</v>
      </c>
    </row>
    <row r="24" spans="1:2" x14ac:dyDescent="0.35">
      <c r="A24" s="3">
        <v>1</v>
      </c>
      <c r="B24" s="4">
        <v>110573.83</v>
      </c>
    </row>
    <row r="25" spans="1:2" x14ac:dyDescent="0.35">
      <c r="A25" s="3">
        <v>2</v>
      </c>
      <c r="B25" s="4">
        <v>186635</v>
      </c>
    </row>
    <row r="26" spans="1:2" x14ac:dyDescent="0.35">
      <c r="A26" s="3">
        <v>3</v>
      </c>
      <c r="B26" s="4">
        <v>283835</v>
      </c>
    </row>
    <row r="27" spans="1:2" x14ac:dyDescent="0.35">
      <c r="A27" s="3">
        <v>4</v>
      </c>
      <c r="B27" s="4">
        <v>209785</v>
      </c>
    </row>
    <row r="28" spans="1:2" x14ac:dyDescent="0.35">
      <c r="A28" s="3" t="s">
        <v>30</v>
      </c>
      <c r="B28" s="4">
        <v>790828.83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594-FB02-473F-9541-C982C5FAF7E6}">
  <dimension ref="A1:J104"/>
  <sheetViews>
    <sheetView workbookViewId="0">
      <selection activeCell="A13" sqref="A13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 t="s">
        <v>127</v>
      </c>
      <c r="B2">
        <v>1650</v>
      </c>
      <c r="C2" s="1">
        <v>46111</v>
      </c>
      <c r="D2">
        <v>19487</v>
      </c>
      <c r="E2">
        <v>45879</v>
      </c>
      <c r="F2" s="1">
        <v>37460</v>
      </c>
      <c r="G2" s="21" t="s">
        <v>94</v>
      </c>
      <c r="H2" s="21" t="s">
        <v>12</v>
      </c>
      <c r="I2" s="21" t="s">
        <v>18</v>
      </c>
      <c r="J2">
        <v>3</v>
      </c>
    </row>
    <row r="3" spans="1:10" x14ac:dyDescent="0.35">
      <c r="A3" s="21" t="s">
        <v>87</v>
      </c>
      <c r="B3">
        <v>1905</v>
      </c>
      <c r="C3" s="1">
        <v>46066</v>
      </c>
      <c r="D3">
        <v>18941</v>
      </c>
      <c r="E3">
        <v>44973</v>
      </c>
      <c r="F3" s="1">
        <v>44571</v>
      </c>
      <c r="G3" s="21" t="s">
        <v>17</v>
      </c>
      <c r="H3" s="21" t="s">
        <v>12</v>
      </c>
      <c r="I3" s="21" t="s">
        <v>13</v>
      </c>
      <c r="J3">
        <v>2</v>
      </c>
    </row>
    <row r="4" spans="1:10" x14ac:dyDescent="0.35">
      <c r="A4" s="21" t="s">
        <v>195</v>
      </c>
      <c r="B4">
        <v>5460</v>
      </c>
      <c r="C4" s="1">
        <v>46125</v>
      </c>
      <c r="D4">
        <v>19656</v>
      </c>
      <c r="E4">
        <v>46344</v>
      </c>
      <c r="F4" s="1">
        <v>41085</v>
      </c>
      <c r="G4" s="21" t="s">
        <v>11</v>
      </c>
      <c r="H4" s="21" t="s">
        <v>103</v>
      </c>
      <c r="I4" s="21" t="s">
        <v>18</v>
      </c>
      <c r="J4">
        <v>4</v>
      </c>
    </row>
    <row r="5" spans="1:10" x14ac:dyDescent="0.35">
      <c r="A5" s="21" t="s">
        <v>196</v>
      </c>
      <c r="B5">
        <v>1545</v>
      </c>
      <c r="C5" s="1">
        <v>46133</v>
      </c>
      <c r="D5">
        <v>19835</v>
      </c>
      <c r="E5">
        <v>46933</v>
      </c>
      <c r="F5" s="1">
        <v>42159</v>
      </c>
      <c r="G5" s="21" t="s">
        <v>11</v>
      </c>
      <c r="H5" s="21" t="s">
        <v>197</v>
      </c>
      <c r="I5" s="21" t="s">
        <v>18</v>
      </c>
      <c r="J5">
        <v>4</v>
      </c>
    </row>
    <row r="6" spans="1:10" x14ac:dyDescent="0.35">
      <c r="A6" s="21" t="s">
        <v>198</v>
      </c>
      <c r="B6">
        <v>1905</v>
      </c>
      <c r="C6" s="1">
        <v>46135</v>
      </c>
      <c r="D6">
        <v>19874</v>
      </c>
      <c r="E6">
        <v>47015</v>
      </c>
      <c r="F6" s="1">
        <v>41361</v>
      </c>
      <c r="G6" s="21" t="s">
        <v>11</v>
      </c>
      <c r="H6" s="21" t="s">
        <v>12</v>
      </c>
      <c r="I6" s="21" t="s">
        <v>13</v>
      </c>
      <c r="J6">
        <v>4</v>
      </c>
    </row>
    <row r="7" spans="1:10" x14ac:dyDescent="0.35">
      <c r="A7" s="21" t="s">
        <v>199</v>
      </c>
      <c r="B7">
        <v>1545</v>
      </c>
      <c r="C7" s="1">
        <v>46127</v>
      </c>
      <c r="D7">
        <v>19719</v>
      </c>
      <c r="E7">
        <v>46506</v>
      </c>
      <c r="F7" s="1">
        <v>37772</v>
      </c>
      <c r="G7" s="21" t="s">
        <v>11</v>
      </c>
      <c r="H7" s="21" t="s">
        <v>12</v>
      </c>
      <c r="I7" s="21" t="s">
        <v>18</v>
      </c>
      <c r="J7">
        <v>4</v>
      </c>
    </row>
    <row r="8" spans="1:10" x14ac:dyDescent="0.35">
      <c r="A8" s="21" t="s">
        <v>88</v>
      </c>
      <c r="B8">
        <v>1620</v>
      </c>
      <c r="C8" s="1">
        <v>46072</v>
      </c>
      <c r="D8">
        <v>18996</v>
      </c>
      <c r="E8">
        <v>45039</v>
      </c>
      <c r="F8" s="1">
        <v>40976</v>
      </c>
      <c r="G8" s="21" t="s">
        <v>11</v>
      </c>
      <c r="H8" s="21" t="s">
        <v>12</v>
      </c>
      <c r="I8" s="21" t="s">
        <v>18</v>
      </c>
      <c r="J8">
        <v>2</v>
      </c>
    </row>
    <row r="9" spans="1:10" x14ac:dyDescent="0.35">
      <c r="A9" s="21" t="s">
        <v>200</v>
      </c>
      <c r="B9">
        <v>1545</v>
      </c>
      <c r="C9" s="1">
        <v>46125</v>
      </c>
      <c r="D9">
        <v>19665</v>
      </c>
      <c r="E9">
        <v>46358</v>
      </c>
      <c r="F9" s="1">
        <v>38413</v>
      </c>
      <c r="G9" s="21" t="s">
        <v>11</v>
      </c>
      <c r="H9" s="21" t="s">
        <v>12</v>
      </c>
      <c r="I9" s="21" t="s">
        <v>18</v>
      </c>
      <c r="J9">
        <v>4</v>
      </c>
    </row>
    <row r="10" spans="1:10" x14ac:dyDescent="0.35">
      <c r="A10" s="21" t="s">
        <v>128</v>
      </c>
      <c r="B10">
        <v>16500</v>
      </c>
      <c r="C10" s="1">
        <v>46085</v>
      </c>
      <c r="D10">
        <v>19145</v>
      </c>
      <c r="E10">
        <v>45249</v>
      </c>
      <c r="F10" s="1">
        <v>40162</v>
      </c>
      <c r="G10" s="21" t="s">
        <v>11</v>
      </c>
      <c r="H10" s="21" t="s">
        <v>12</v>
      </c>
      <c r="I10" s="21" t="s">
        <v>21</v>
      </c>
      <c r="J10">
        <v>3</v>
      </c>
    </row>
    <row r="11" spans="1:10" x14ac:dyDescent="0.35">
      <c r="A11" s="21" t="s">
        <v>64</v>
      </c>
      <c r="B11">
        <v>2370</v>
      </c>
      <c r="C11" s="1">
        <v>46035</v>
      </c>
      <c r="D11">
        <v>18613</v>
      </c>
      <c r="E11">
        <v>44511</v>
      </c>
      <c r="F11" s="1">
        <v>37839</v>
      </c>
      <c r="G11" s="21" t="s">
        <v>17</v>
      </c>
      <c r="H11" s="21" t="s">
        <v>12</v>
      </c>
      <c r="I11" s="21" t="s">
        <v>18</v>
      </c>
      <c r="J11">
        <v>1</v>
      </c>
    </row>
    <row r="12" spans="1:10" x14ac:dyDescent="0.35">
      <c r="A12" s="21" t="s">
        <v>89</v>
      </c>
      <c r="B12">
        <v>23375</v>
      </c>
      <c r="C12" s="1">
        <v>46072</v>
      </c>
      <c r="D12">
        <v>18995</v>
      </c>
      <c r="E12">
        <v>45038</v>
      </c>
      <c r="F12" s="1">
        <v>42297</v>
      </c>
      <c r="G12" s="21" t="s">
        <v>17</v>
      </c>
      <c r="H12" s="21" t="s">
        <v>12</v>
      </c>
      <c r="I12" s="21" t="s">
        <v>18</v>
      </c>
      <c r="J12">
        <v>2</v>
      </c>
    </row>
    <row r="13" spans="1:10" x14ac:dyDescent="0.35">
      <c r="A13" s="21" t="s">
        <v>129</v>
      </c>
      <c r="B13">
        <v>2680</v>
      </c>
      <c r="C13" s="1">
        <v>46106</v>
      </c>
      <c r="D13">
        <v>19429</v>
      </c>
      <c r="E13">
        <v>45783</v>
      </c>
      <c r="F13" s="1">
        <v>43559</v>
      </c>
      <c r="G13" s="21" t="s">
        <v>94</v>
      </c>
      <c r="H13" s="21" t="s">
        <v>12</v>
      </c>
      <c r="I13" s="21" t="s">
        <v>18</v>
      </c>
      <c r="J13">
        <v>3</v>
      </c>
    </row>
    <row r="14" spans="1:10" x14ac:dyDescent="0.35">
      <c r="A14" s="21" t="s">
        <v>201</v>
      </c>
      <c r="B14">
        <v>1650</v>
      </c>
      <c r="C14" s="1">
        <v>46128</v>
      </c>
      <c r="D14">
        <v>19738</v>
      </c>
      <c r="E14">
        <v>46563</v>
      </c>
      <c r="F14" s="1">
        <v>44697</v>
      </c>
      <c r="G14" s="21" t="s">
        <v>94</v>
      </c>
      <c r="H14" s="21" t="s">
        <v>12</v>
      </c>
      <c r="I14" s="21" t="s">
        <v>18</v>
      </c>
      <c r="J14">
        <v>4</v>
      </c>
    </row>
    <row r="15" spans="1:10" x14ac:dyDescent="0.35">
      <c r="A15" s="21" t="s">
        <v>90</v>
      </c>
      <c r="B15">
        <v>5770</v>
      </c>
      <c r="C15" s="1">
        <v>46064</v>
      </c>
      <c r="D15">
        <v>18923</v>
      </c>
      <c r="E15">
        <v>44942</v>
      </c>
      <c r="F15" s="1">
        <v>36360</v>
      </c>
      <c r="G15" s="21" t="s">
        <v>91</v>
      </c>
      <c r="H15" s="21" t="s">
        <v>12</v>
      </c>
      <c r="I15" s="21" t="s">
        <v>18</v>
      </c>
      <c r="J15">
        <v>2</v>
      </c>
    </row>
    <row r="16" spans="1:10" x14ac:dyDescent="0.35">
      <c r="A16" s="21" t="s">
        <v>92</v>
      </c>
      <c r="B16">
        <v>1905</v>
      </c>
      <c r="C16" s="1">
        <v>46062</v>
      </c>
      <c r="D16">
        <v>18906</v>
      </c>
      <c r="E16">
        <v>44895</v>
      </c>
      <c r="F16" s="1">
        <v>37725</v>
      </c>
      <c r="G16" s="21" t="s">
        <v>17</v>
      </c>
      <c r="H16" s="21" t="s">
        <v>12</v>
      </c>
      <c r="I16" s="21" t="s">
        <v>13</v>
      </c>
      <c r="J16">
        <v>2</v>
      </c>
    </row>
    <row r="17" spans="1:10" x14ac:dyDescent="0.35">
      <c r="A17" s="21" t="s">
        <v>93</v>
      </c>
      <c r="B17">
        <v>9990</v>
      </c>
      <c r="C17" s="1">
        <v>46073</v>
      </c>
      <c r="D17">
        <v>18993</v>
      </c>
      <c r="E17">
        <v>45036</v>
      </c>
      <c r="F17" s="1">
        <v>39983</v>
      </c>
      <c r="G17" s="21" t="s">
        <v>94</v>
      </c>
      <c r="H17" s="21" t="s">
        <v>12</v>
      </c>
      <c r="I17" s="21" t="s">
        <v>18</v>
      </c>
      <c r="J17">
        <v>2</v>
      </c>
    </row>
    <row r="18" spans="1:10" x14ac:dyDescent="0.35">
      <c r="A18" s="21" t="s">
        <v>131</v>
      </c>
      <c r="B18">
        <v>16175</v>
      </c>
      <c r="C18" s="1">
        <v>46108</v>
      </c>
      <c r="D18">
        <v>19452</v>
      </c>
      <c r="E18">
        <v>45818</v>
      </c>
      <c r="F18" s="1">
        <v>40179</v>
      </c>
      <c r="G18" s="21" t="s">
        <v>17</v>
      </c>
      <c r="H18" s="21" t="s">
        <v>12</v>
      </c>
      <c r="I18" s="21" t="s">
        <v>18</v>
      </c>
      <c r="J18">
        <v>3</v>
      </c>
    </row>
    <row r="19" spans="1:10" x14ac:dyDescent="0.35">
      <c r="A19" s="21" t="s">
        <v>70</v>
      </c>
      <c r="B19">
        <v>1545</v>
      </c>
      <c r="C19" s="1">
        <v>46042</v>
      </c>
      <c r="D19">
        <v>18678</v>
      </c>
      <c r="E19">
        <v>44578</v>
      </c>
      <c r="F19" s="1">
        <v>40179</v>
      </c>
      <c r="G19" s="21" t="s">
        <v>11</v>
      </c>
      <c r="H19" s="21" t="s">
        <v>12</v>
      </c>
      <c r="I19" s="21" t="s">
        <v>18</v>
      </c>
      <c r="J19">
        <v>1</v>
      </c>
    </row>
    <row r="20" spans="1:10" x14ac:dyDescent="0.35">
      <c r="A20" s="21" t="s">
        <v>97</v>
      </c>
      <c r="B20">
        <v>7210</v>
      </c>
      <c r="C20" s="1">
        <v>46059</v>
      </c>
      <c r="D20">
        <v>18957</v>
      </c>
      <c r="E20">
        <v>44992</v>
      </c>
      <c r="F20" s="1">
        <v>45168</v>
      </c>
      <c r="G20" s="21" t="s">
        <v>94</v>
      </c>
      <c r="H20" s="21" t="s">
        <v>12</v>
      </c>
      <c r="I20" s="21" t="s">
        <v>18</v>
      </c>
      <c r="J20">
        <v>2</v>
      </c>
    </row>
    <row r="21" spans="1:10" x14ac:dyDescent="0.35">
      <c r="A21" s="21" t="s">
        <v>100</v>
      </c>
      <c r="B21">
        <v>1545</v>
      </c>
      <c r="C21" s="1">
        <v>46062</v>
      </c>
      <c r="D21">
        <v>18914</v>
      </c>
      <c r="E21">
        <v>44907</v>
      </c>
      <c r="F21" s="1">
        <v>41137</v>
      </c>
      <c r="G21" s="21" t="s">
        <v>17</v>
      </c>
      <c r="H21" s="21" t="s">
        <v>101</v>
      </c>
      <c r="I21" s="21" t="s">
        <v>18</v>
      </c>
      <c r="J21">
        <v>2</v>
      </c>
    </row>
    <row r="22" spans="1:10" x14ac:dyDescent="0.35">
      <c r="A22" s="21" t="s">
        <v>133</v>
      </c>
      <c r="B22">
        <v>1905</v>
      </c>
      <c r="C22" s="1">
        <v>46083</v>
      </c>
      <c r="D22">
        <v>19109</v>
      </c>
      <c r="E22">
        <v>45195</v>
      </c>
      <c r="F22" s="1">
        <v>44180</v>
      </c>
      <c r="G22" s="21" t="s">
        <v>0</v>
      </c>
      <c r="H22" s="21" t="s">
        <v>134</v>
      </c>
      <c r="I22" s="21" t="s">
        <v>13</v>
      </c>
      <c r="J22">
        <v>3</v>
      </c>
    </row>
    <row r="23" spans="1:10" x14ac:dyDescent="0.35">
      <c r="A23" s="21" t="s">
        <v>73</v>
      </c>
      <c r="B23">
        <v>38100</v>
      </c>
      <c r="C23" s="1">
        <v>46048</v>
      </c>
      <c r="D23">
        <v>18755</v>
      </c>
      <c r="E23">
        <v>44679</v>
      </c>
      <c r="F23" s="1">
        <v>35925</v>
      </c>
      <c r="G23" s="21" t="s">
        <v>17</v>
      </c>
      <c r="H23" s="21" t="s">
        <v>12</v>
      </c>
      <c r="I23" s="21" t="s">
        <v>21</v>
      </c>
      <c r="J23">
        <v>1</v>
      </c>
    </row>
    <row r="24" spans="1:10" x14ac:dyDescent="0.35">
      <c r="A24" s="21" t="s">
        <v>136</v>
      </c>
      <c r="B24">
        <v>35000</v>
      </c>
      <c r="C24" s="1">
        <v>46090</v>
      </c>
      <c r="D24">
        <v>19242</v>
      </c>
      <c r="E24">
        <v>45430</v>
      </c>
      <c r="F24" s="1">
        <v>42558</v>
      </c>
      <c r="G24" s="21" t="s">
        <v>11</v>
      </c>
      <c r="H24" s="21" t="s">
        <v>12</v>
      </c>
      <c r="I24" s="21" t="s">
        <v>21</v>
      </c>
      <c r="J24">
        <v>3</v>
      </c>
    </row>
    <row r="25" spans="1:10" x14ac:dyDescent="0.35">
      <c r="A25" s="21" t="s">
        <v>24</v>
      </c>
      <c r="B25">
        <v>1905</v>
      </c>
      <c r="C25" s="1">
        <v>46030</v>
      </c>
      <c r="D25">
        <v>18444</v>
      </c>
      <c r="E25">
        <v>44327</v>
      </c>
      <c r="F25" s="1">
        <v>45341</v>
      </c>
      <c r="G25" s="21" t="s">
        <v>17</v>
      </c>
      <c r="H25" s="21" t="s">
        <v>12</v>
      </c>
      <c r="I25" s="21" t="s">
        <v>13</v>
      </c>
      <c r="J25">
        <v>1</v>
      </c>
    </row>
    <row r="26" spans="1:10" x14ac:dyDescent="0.35">
      <c r="A26" s="21" t="s">
        <v>26</v>
      </c>
      <c r="B26">
        <v>9685</v>
      </c>
      <c r="C26" s="1">
        <v>46052</v>
      </c>
      <c r="D26">
        <v>18825</v>
      </c>
      <c r="E26">
        <v>44798</v>
      </c>
      <c r="F26" s="1">
        <v>42144</v>
      </c>
      <c r="G26" s="21" t="s">
        <v>17</v>
      </c>
      <c r="H26" s="21" t="s">
        <v>12</v>
      </c>
      <c r="I26" s="21" t="s">
        <v>18</v>
      </c>
      <c r="J26">
        <v>1</v>
      </c>
    </row>
    <row r="27" spans="1:10" x14ac:dyDescent="0.35">
      <c r="A27" s="21" t="s">
        <v>205</v>
      </c>
      <c r="B27">
        <v>2370</v>
      </c>
      <c r="C27" s="1">
        <v>46119</v>
      </c>
      <c r="D27">
        <v>19578</v>
      </c>
      <c r="E27">
        <v>46089</v>
      </c>
      <c r="F27" s="1">
        <v>44700</v>
      </c>
      <c r="G27" s="21" t="s">
        <v>17</v>
      </c>
      <c r="H27" s="21" t="s">
        <v>12</v>
      </c>
      <c r="I27" s="21" t="s">
        <v>18</v>
      </c>
      <c r="J27">
        <v>4</v>
      </c>
    </row>
    <row r="28" spans="1:10" x14ac:dyDescent="0.35">
      <c r="A28" s="21" t="s">
        <v>102</v>
      </c>
      <c r="B28">
        <v>23375</v>
      </c>
      <c r="C28" s="1">
        <v>46055</v>
      </c>
      <c r="D28">
        <v>18851</v>
      </c>
      <c r="E28">
        <v>44823</v>
      </c>
      <c r="F28" s="1">
        <v>41558</v>
      </c>
      <c r="G28" s="21" t="s">
        <v>17</v>
      </c>
      <c r="H28" s="21" t="s">
        <v>103</v>
      </c>
      <c r="I28" s="21" t="s">
        <v>18</v>
      </c>
      <c r="J28">
        <v>2</v>
      </c>
    </row>
    <row r="29" spans="1:10" x14ac:dyDescent="0.35">
      <c r="A29" s="21" t="s">
        <v>207</v>
      </c>
      <c r="B29">
        <v>1545</v>
      </c>
      <c r="C29" s="1">
        <v>46118</v>
      </c>
      <c r="D29">
        <v>19562</v>
      </c>
      <c r="E29">
        <v>46062</v>
      </c>
      <c r="F29" s="1">
        <v>44207</v>
      </c>
      <c r="G29" s="21" t="s">
        <v>0</v>
      </c>
      <c r="H29" s="21" t="s">
        <v>12</v>
      </c>
      <c r="I29" s="21" t="s">
        <v>18</v>
      </c>
      <c r="J29">
        <v>4</v>
      </c>
    </row>
    <row r="30" spans="1:10" x14ac:dyDescent="0.35">
      <c r="A30" s="21" t="s">
        <v>137</v>
      </c>
      <c r="B30">
        <v>9685</v>
      </c>
      <c r="C30" s="1">
        <v>46092</v>
      </c>
      <c r="D30">
        <v>19269</v>
      </c>
      <c r="E30">
        <v>45476</v>
      </c>
      <c r="F30" s="1">
        <v>45400</v>
      </c>
      <c r="G30" s="21" t="s">
        <v>17</v>
      </c>
      <c r="H30" s="21" t="s">
        <v>12</v>
      </c>
      <c r="I30" s="21" t="s">
        <v>18</v>
      </c>
      <c r="J30">
        <v>3</v>
      </c>
    </row>
    <row r="31" spans="1:10" x14ac:dyDescent="0.35">
      <c r="A31" s="21" t="s">
        <v>105</v>
      </c>
      <c r="B31">
        <v>1905</v>
      </c>
      <c r="C31" s="1">
        <v>46055</v>
      </c>
      <c r="D31">
        <v>18850</v>
      </c>
      <c r="E31">
        <v>44822</v>
      </c>
      <c r="F31" s="1">
        <v>40067</v>
      </c>
      <c r="G31" s="21" t="s">
        <v>11</v>
      </c>
      <c r="H31" s="21" t="s">
        <v>12</v>
      </c>
      <c r="I31" s="21" t="s">
        <v>13</v>
      </c>
      <c r="J31">
        <v>2</v>
      </c>
    </row>
    <row r="32" spans="1:10" x14ac:dyDescent="0.35">
      <c r="A32" s="21" t="s">
        <v>234</v>
      </c>
      <c r="B32">
        <v>5770</v>
      </c>
      <c r="C32" s="1">
        <v>46136</v>
      </c>
      <c r="D32">
        <v>19917</v>
      </c>
      <c r="E32">
        <v>47095</v>
      </c>
      <c r="F32" s="1">
        <v>46136</v>
      </c>
      <c r="G32" s="21" t="s">
        <v>17</v>
      </c>
      <c r="H32" s="21" t="s">
        <v>12</v>
      </c>
      <c r="I32" s="21" t="s">
        <v>18</v>
      </c>
      <c r="J32">
        <v>4</v>
      </c>
    </row>
    <row r="33" spans="1:10" x14ac:dyDescent="0.35">
      <c r="A33" s="21" t="s">
        <v>158</v>
      </c>
      <c r="B33">
        <v>5460</v>
      </c>
      <c r="C33" s="1">
        <v>46097</v>
      </c>
      <c r="D33">
        <v>19301</v>
      </c>
      <c r="E33">
        <v>45540</v>
      </c>
      <c r="F33" s="1">
        <v>42830</v>
      </c>
      <c r="G33" s="21" t="s">
        <v>11</v>
      </c>
      <c r="H33" s="21" t="s">
        <v>159</v>
      </c>
      <c r="I33" s="21" t="s">
        <v>18</v>
      </c>
      <c r="J33">
        <v>3</v>
      </c>
    </row>
    <row r="34" spans="1:10" x14ac:dyDescent="0.35">
      <c r="A34" s="21" t="s">
        <v>235</v>
      </c>
      <c r="B34">
        <v>2370</v>
      </c>
      <c r="C34" s="1">
        <v>46121</v>
      </c>
      <c r="D34">
        <v>19619</v>
      </c>
      <c r="E34">
        <v>46228</v>
      </c>
      <c r="F34" s="1">
        <v>45786</v>
      </c>
      <c r="G34" s="21" t="s">
        <v>17</v>
      </c>
      <c r="H34" s="21" t="s">
        <v>236</v>
      </c>
      <c r="I34" s="21" t="s">
        <v>18</v>
      </c>
      <c r="J34">
        <v>4</v>
      </c>
    </row>
    <row r="35" spans="1:10" x14ac:dyDescent="0.35">
      <c r="A35" s="21" t="s">
        <v>160</v>
      </c>
      <c r="B35">
        <v>1545</v>
      </c>
      <c r="C35" s="1">
        <v>46106</v>
      </c>
      <c r="D35">
        <v>19422</v>
      </c>
      <c r="E35">
        <v>45776</v>
      </c>
      <c r="F35" s="1">
        <v>46106</v>
      </c>
      <c r="G35" s="21" t="s">
        <v>17</v>
      </c>
      <c r="H35" s="21" t="s">
        <v>12</v>
      </c>
      <c r="I35" s="21" t="s">
        <v>18</v>
      </c>
      <c r="J35">
        <v>3</v>
      </c>
    </row>
    <row r="36" spans="1:10" x14ac:dyDescent="0.35">
      <c r="A36" s="21" t="s">
        <v>111</v>
      </c>
      <c r="B36">
        <v>1545</v>
      </c>
      <c r="C36" s="1">
        <v>46059</v>
      </c>
      <c r="D36">
        <v>18891</v>
      </c>
      <c r="E36">
        <v>44881</v>
      </c>
      <c r="F36" s="1">
        <v>36570</v>
      </c>
      <c r="G36" s="21" t="s">
        <v>11</v>
      </c>
      <c r="H36" s="21" t="s">
        <v>12</v>
      </c>
      <c r="I36" s="21" t="s">
        <v>18</v>
      </c>
      <c r="J36">
        <v>2</v>
      </c>
    </row>
    <row r="37" spans="1:10" x14ac:dyDescent="0.35">
      <c r="A37" s="21" t="s">
        <v>75</v>
      </c>
      <c r="B37">
        <v>23375</v>
      </c>
      <c r="C37" s="1">
        <v>46048</v>
      </c>
      <c r="D37">
        <v>18752</v>
      </c>
      <c r="E37">
        <v>44676</v>
      </c>
      <c r="F37" s="1">
        <v>41256</v>
      </c>
      <c r="G37" s="21" t="s">
        <v>0</v>
      </c>
      <c r="H37" s="21" t="s">
        <v>12</v>
      </c>
      <c r="I37" s="21" t="s">
        <v>18</v>
      </c>
      <c r="J37">
        <v>1</v>
      </c>
    </row>
    <row r="38" spans="1:10" x14ac:dyDescent="0.35">
      <c r="A38" s="21" t="s">
        <v>237</v>
      </c>
      <c r="B38">
        <v>1545</v>
      </c>
      <c r="C38" s="1">
        <v>46141</v>
      </c>
      <c r="D38">
        <v>19966</v>
      </c>
      <c r="E38">
        <v>47181</v>
      </c>
      <c r="F38" s="1">
        <v>44337</v>
      </c>
      <c r="G38" s="21" t="s">
        <v>11</v>
      </c>
      <c r="H38" s="21" t="s">
        <v>12</v>
      </c>
      <c r="I38" s="21" t="s">
        <v>18</v>
      </c>
      <c r="J38">
        <v>4</v>
      </c>
    </row>
    <row r="39" spans="1:10" x14ac:dyDescent="0.35">
      <c r="A39" s="21" t="s">
        <v>27</v>
      </c>
      <c r="B39">
        <v>5460</v>
      </c>
      <c r="C39" s="1">
        <v>46037</v>
      </c>
      <c r="D39">
        <v>18650</v>
      </c>
      <c r="E39">
        <v>44548</v>
      </c>
      <c r="F39" s="1">
        <v>39989</v>
      </c>
      <c r="G39" s="21" t="s">
        <v>11</v>
      </c>
      <c r="H39" s="21" t="s">
        <v>12</v>
      </c>
      <c r="I39" s="21" t="s">
        <v>18</v>
      </c>
      <c r="J39">
        <v>1</v>
      </c>
    </row>
    <row r="40" spans="1:10" x14ac:dyDescent="0.35">
      <c r="A40" s="21" t="s">
        <v>163</v>
      </c>
      <c r="B40">
        <v>40000</v>
      </c>
      <c r="C40" s="1">
        <v>46098</v>
      </c>
      <c r="D40">
        <v>19316</v>
      </c>
      <c r="E40">
        <v>45566</v>
      </c>
      <c r="F40" s="1">
        <v>40001</v>
      </c>
      <c r="G40" s="21" t="s">
        <v>17</v>
      </c>
      <c r="H40" s="21" t="s">
        <v>12</v>
      </c>
      <c r="I40" s="21" t="s">
        <v>21</v>
      </c>
      <c r="J40">
        <v>3</v>
      </c>
    </row>
    <row r="41" spans="1:10" x14ac:dyDescent="0.35">
      <c r="A41" s="21" t="s">
        <v>164</v>
      </c>
      <c r="B41">
        <v>5770</v>
      </c>
      <c r="C41" s="1">
        <v>46094</v>
      </c>
      <c r="D41">
        <v>19294</v>
      </c>
      <c r="E41">
        <v>45528</v>
      </c>
      <c r="F41" s="1">
        <v>45765</v>
      </c>
      <c r="G41" s="21" t="s">
        <v>0</v>
      </c>
      <c r="H41" s="21" t="s">
        <v>12</v>
      </c>
      <c r="I41" s="21" t="s">
        <v>18</v>
      </c>
      <c r="J41">
        <v>3</v>
      </c>
    </row>
    <row r="42" spans="1:10" x14ac:dyDescent="0.35">
      <c r="A42" s="21" t="s">
        <v>112</v>
      </c>
      <c r="B42">
        <v>14420</v>
      </c>
      <c r="C42" s="1">
        <v>46055</v>
      </c>
      <c r="D42">
        <v>18849</v>
      </c>
      <c r="E42">
        <v>44821</v>
      </c>
      <c r="F42" s="1">
        <v>37963</v>
      </c>
      <c r="G42" s="21" t="s">
        <v>94</v>
      </c>
      <c r="H42" s="21" t="s">
        <v>12</v>
      </c>
      <c r="I42" s="21" t="s">
        <v>18</v>
      </c>
      <c r="J42">
        <v>2</v>
      </c>
    </row>
    <row r="43" spans="1:10" x14ac:dyDescent="0.35">
      <c r="A43" s="21" t="s">
        <v>22</v>
      </c>
      <c r="B43">
        <v>1545</v>
      </c>
      <c r="C43" s="1">
        <v>46051</v>
      </c>
      <c r="D43">
        <v>18802</v>
      </c>
      <c r="E43">
        <v>44761</v>
      </c>
      <c r="F43" s="1">
        <v>45303</v>
      </c>
      <c r="G43" s="21" t="s">
        <v>17</v>
      </c>
      <c r="H43" s="21" t="s">
        <v>12</v>
      </c>
      <c r="I43" s="21" t="s">
        <v>18</v>
      </c>
      <c r="J43">
        <v>1</v>
      </c>
    </row>
    <row r="44" spans="1:10" x14ac:dyDescent="0.35">
      <c r="A44" s="21" t="s">
        <v>114</v>
      </c>
      <c r="B44">
        <v>16175</v>
      </c>
      <c r="C44" s="1">
        <v>46073</v>
      </c>
      <c r="D44">
        <v>18994</v>
      </c>
      <c r="E44">
        <v>45037</v>
      </c>
      <c r="F44" s="1">
        <v>40205</v>
      </c>
      <c r="G44" s="21" t="s">
        <v>17</v>
      </c>
      <c r="H44" s="21" t="s">
        <v>12</v>
      </c>
      <c r="I44" s="21" t="s">
        <v>18</v>
      </c>
      <c r="J44">
        <v>2</v>
      </c>
    </row>
    <row r="45" spans="1:10" x14ac:dyDescent="0.35">
      <c r="A45" s="21" t="s">
        <v>244</v>
      </c>
      <c r="B45">
        <v>30290</v>
      </c>
      <c r="C45" s="1">
        <v>46132</v>
      </c>
      <c r="D45">
        <v>19819</v>
      </c>
      <c r="E45">
        <v>46904</v>
      </c>
      <c r="F45" s="1">
        <v>37810</v>
      </c>
      <c r="G45" s="21" t="s">
        <v>94</v>
      </c>
      <c r="H45" s="21" t="s">
        <v>12</v>
      </c>
      <c r="I45" s="21" t="s">
        <v>21</v>
      </c>
      <c r="J45">
        <v>4</v>
      </c>
    </row>
    <row r="46" spans="1:10" x14ac:dyDescent="0.35">
      <c r="A46" s="21" t="s">
        <v>116</v>
      </c>
      <c r="B46">
        <v>1905</v>
      </c>
      <c r="C46" s="1">
        <v>46070</v>
      </c>
      <c r="D46">
        <v>18958</v>
      </c>
      <c r="E46">
        <v>44993</v>
      </c>
      <c r="F46" s="1">
        <v>43966</v>
      </c>
      <c r="G46" s="21" t="s">
        <v>11</v>
      </c>
      <c r="H46" s="21" t="s">
        <v>12</v>
      </c>
      <c r="I46" s="21" t="s">
        <v>13</v>
      </c>
      <c r="J46">
        <v>2</v>
      </c>
    </row>
    <row r="47" spans="1:10" x14ac:dyDescent="0.35">
      <c r="A47" s="21" t="s">
        <v>63</v>
      </c>
      <c r="B47">
        <v>2370</v>
      </c>
      <c r="C47" s="1">
        <v>46042</v>
      </c>
      <c r="D47">
        <v>18672</v>
      </c>
      <c r="E47">
        <v>44570</v>
      </c>
      <c r="F47" s="1">
        <v>41988</v>
      </c>
      <c r="G47" s="21" t="s">
        <v>17</v>
      </c>
      <c r="H47" s="21" t="s">
        <v>12</v>
      </c>
      <c r="I47" s="21" t="s">
        <v>18</v>
      </c>
      <c r="J47">
        <v>1</v>
      </c>
    </row>
    <row r="48" spans="1:10" x14ac:dyDescent="0.35">
      <c r="A48" s="21" t="s">
        <v>168</v>
      </c>
      <c r="B48">
        <v>1650</v>
      </c>
      <c r="C48" s="1">
        <v>46108</v>
      </c>
      <c r="D48">
        <v>19449</v>
      </c>
      <c r="E48">
        <v>45813</v>
      </c>
      <c r="F48" s="1">
        <v>42459</v>
      </c>
      <c r="G48" s="21" t="s">
        <v>94</v>
      </c>
      <c r="H48" s="21" t="s">
        <v>169</v>
      </c>
      <c r="I48" s="21" t="s">
        <v>18</v>
      </c>
      <c r="J48">
        <v>3</v>
      </c>
    </row>
    <row r="49" spans="1:10" x14ac:dyDescent="0.35">
      <c r="A49" s="21" t="s">
        <v>245</v>
      </c>
      <c r="B49">
        <v>23375</v>
      </c>
      <c r="C49" s="1">
        <v>46114</v>
      </c>
      <c r="D49">
        <v>19544</v>
      </c>
      <c r="E49">
        <v>45999</v>
      </c>
      <c r="F49" s="1">
        <v>38363</v>
      </c>
      <c r="G49" s="21" t="s">
        <v>17</v>
      </c>
      <c r="H49" s="21" t="s">
        <v>12</v>
      </c>
      <c r="I49" s="21" t="s">
        <v>18</v>
      </c>
      <c r="J49">
        <v>4</v>
      </c>
    </row>
    <row r="50" spans="1:10" x14ac:dyDescent="0.35">
      <c r="A50" s="21" t="s">
        <v>77</v>
      </c>
      <c r="B50">
        <v>1905</v>
      </c>
      <c r="C50" s="1">
        <v>46044</v>
      </c>
      <c r="D50">
        <v>18717</v>
      </c>
      <c r="E50">
        <v>44617</v>
      </c>
      <c r="F50" s="1">
        <v>43465</v>
      </c>
      <c r="G50" s="21" t="s">
        <v>17</v>
      </c>
      <c r="H50" s="21" t="s">
        <v>12</v>
      </c>
      <c r="I50" s="21" t="s">
        <v>13</v>
      </c>
      <c r="J50">
        <v>1</v>
      </c>
    </row>
    <row r="51" spans="1:10" x14ac:dyDescent="0.35">
      <c r="A51" s="21" t="s">
        <v>170</v>
      </c>
      <c r="B51">
        <v>16500</v>
      </c>
      <c r="C51" s="1">
        <v>46090</v>
      </c>
      <c r="D51">
        <v>19240</v>
      </c>
      <c r="E51">
        <v>45428</v>
      </c>
      <c r="F51" s="1">
        <v>41004</v>
      </c>
      <c r="G51" s="21" t="s">
        <v>11</v>
      </c>
      <c r="H51" s="21" t="s">
        <v>12</v>
      </c>
      <c r="I51" s="21" t="s">
        <v>21</v>
      </c>
      <c r="J51">
        <v>3</v>
      </c>
    </row>
    <row r="52" spans="1:10" x14ac:dyDescent="0.35">
      <c r="A52" s="21" t="s">
        <v>248</v>
      </c>
      <c r="B52">
        <v>16480</v>
      </c>
      <c r="C52" s="1">
        <v>46129</v>
      </c>
      <c r="D52">
        <v>19779</v>
      </c>
      <c r="E52">
        <v>46745</v>
      </c>
      <c r="F52" s="1">
        <v>36845</v>
      </c>
      <c r="G52" s="21" t="s">
        <v>11</v>
      </c>
      <c r="H52" s="21" t="s">
        <v>151</v>
      </c>
      <c r="I52" s="21" t="s">
        <v>13</v>
      </c>
      <c r="J52">
        <v>4</v>
      </c>
    </row>
    <row r="53" spans="1:10" x14ac:dyDescent="0.35">
      <c r="A53" s="21" t="s">
        <v>171</v>
      </c>
      <c r="B53">
        <v>1905</v>
      </c>
      <c r="C53" s="1">
        <v>46085</v>
      </c>
      <c r="D53">
        <v>19156</v>
      </c>
      <c r="E53">
        <v>45291</v>
      </c>
      <c r="F53" s="1">
        <v>40721</v>
      </c>
      <c r="G53" s="21" t="s">
        <v>11</v>
      </c>
      <c r="H53" s="21" t="s">
        <v>12</v>
      </c>
      <c r="I53" s="21" t="s">
        <v>13</v>
      </c>
      <c r="J53">
        <v>3</v>
      </c>
    </row>
    <row r="54" spans="1:10" x14ac:dyDescent="0.35">
      <c r="A54" s="21" t="s">
        <v>14</v>
      </c>
      <c r="B54">
        <v>1545</v>
      </c>
      <c r="C54" s="1">
        <v>46037</v>
      </c>
      <c r="D54">
        <v>18652</v>
      </c>
      <c r="E54">
        <v>44550</v>
      </c>
      <c r="F54" s="1">
        <v>38720</v>
      </c>
      <c r="G54" s="21" t="s">
        <v>11</v>
      </c>
      <c r="H54" s="21" t="s">
        <v>12</v>
      </c>
      <c r="I54" s="21" t="s">
        <v>18</v>
      </c>
      <c r="J54">
        <v>1</v>
      </c>
    </row>
    <row r="55" spans="1:10" x14ac:dyDescent="0.35">
      <c r="A55" s="21" t="s">
        <v>249</v>
      </c>
      <c r="B55">
        <v>8560</v>
      </c>
      <c r="C55" s="1">
        <v>46119</v>
      </c>
      <c r="D55">
        <v>19574</v>
      </c>
      <c r="E55">
        <v>46085</v>
      </c>
      <c r="F55" s="1">
        <v>33604</v>
      </c>
      <c r="G55" s="21" t="s">
        <v>11</v>
      </c>
      <c r="H55" s="21" t="s">
        <v>12</v>
      </c>
      <c r="I55" s="21" t="s">
        <v>18</v>
      </c>
      <c r="J55">
        <v>4</v>
      </c>
    </row>
    <row r="56" spans="1:10" x14ac:dyDescent="0.35">
      <c r="A56" s="21" t="s">
        <v>172</v>
      </c>
      <c r="B56">
        <v>5460</v>
      </c>
      <c r="C56" s="1">
        <v>46090</v>
      </c>
      <c r="D56">
        <v>19245</v>
      </c>
      <c r="E56">
        <v>45433</v>
      </c>
      <c r="F56" s="1">
        <v>45069</v>
      </c>
      <c r="G56" s="21" t="s">
        <v>11</v>
      </c>
      <c r="H56" s="21" t="s">
        <v>12</v>
      </c>
      <c r="I56" s="21" t="s">
        <v>18</v>
      </c>
      <c r="J56">
        <v>3</v>
      </c>
    </row>
    <row r="57" spans="1:10" x14ac:dyDescent="0.35">
      <c r="A57" s="21" t="s">
        <v>250</v>
      </c>
      <c r="B57">
        <v>2370</v>
      </c>
      <c r="C57" s="1">
        <v>46126</v>
      </c>
      <c r="D57">
        <v>19692</v>
      </c>
      <c r="E57">
        <v>46414</v>
      </c>
      <c r="F57" s="1">
        <v>44874</v>
      </c>
      <c r="G57" s="21" t="s">
        <v>17</v>
      </c>
      <c r="H57" s="21" t="s">
        <v>12</v>
      </c>
      <c r="I57" s="21" t="s">
        <v>18</v>
      </c>
      <c r="J57">
        <v>4</v>
      </c>
    </row>
    <row r="58" spans="1:10" x14ac:dyDescent="0.35">
      <c r="A58" s="21" t="s">
        <v>56</v>
      </c>
      <c r="B58">
        <v>2990</v>
      </c>
      <c r="C58" s="1">
        <v>46045</v>
      </c>
      <c r="D58">
        <v>18722</v>
      </c>
      <c r="E58">
        <v>44622</v>
      </c>
      <c r="F58" s="1">
        <v>45682</v>
      </c>
      <c r="G58" s="21" t="s">
        <v>17</v>
      </c>
      <c r="H58" s="21" t="s">
        <v>12</v>
      </c>
      <c r="I58" s="21" t="s">
        <v>13</v>
      </c>
      <c r="J58">
        <v>1</v>
      </c>
    </row>
    <row r="59" spans="1:10" x14ac:dyDescent="0.35">
      <c r="A59" s="21" t="s">
        <v>251</v>
      </c>
      <c r="B59">
        <v>2990</v>
      </c>
      <c r="C59" s="1">
        <v>46133</v>
      </c>
      <c r="D59">
        <v>19837</v>
      </c>
      <c r="E59">
        <v>46935</v>
      </c>
      <c r="F59" s="1">
        <v>45055</v>
      </c>
      <c r="G59" s="21" t="s">
        <v>0</v>
      </c>
      <c r="H59" s="21" t="s">
        <v>12</v>
      </c>
      <c r="I59" s="21" t="s">
        <v>13</v>
      </c>
      <c r="J59">
        <v>4</v>
      </c>
    </row>
    <row r="60" spans="1:10" x14ac:dyDescent="0.35">
      <c r="A60" s="21" t="s">
        <v>173</v>
      </c>
      <c r="B60">
        <v>18025</v>
      </c>
      <c r="C60" s="1">
        <v>46106</v>
      </c>
      <c r="D60">
        <v>19426</v>
      </c>
      <c r="E60">
        <v>45780</v>
      </c>
      <c r="F60" s="1">
        <v>43936</v>
      </c>
      <c r="G60" s="21" t="s">
        <v>94</v>
      </c>
      <c r="H60" s="21" t="s">
        <v>12</v>
      </c>
      <c r="I60" s="21" t="s">
        <v>13</v>
      </c>
      <c r="J60">
        <v>3</v>
      </c>
    </row>
    <row r="61" spans="1:10" x14ac:dyDescent="0.35">
      <c r="A61" s="21" t="s">
        <v>174</v>
      </c>
      <c r="B61">
        <v>36050</v>
      </c>
      <c r="C61" s="1">
        <v>46106</v>
      </c>
      <c r="D61">
        <v>19421</v>
      </c>
      <c r="E61">
        <v>45775</v>
      </c>
      <c r="F61" s="1">
        <v>40441</v>
      </c>
      <c r="G61" s="21" t="s">
        <v>11</v>
      </c>
      <c r="H61" s="21" t="s">
        <v>12</v>
      </c>
      <c r="I61" s="21" t="s">
        <v>21</v>
      </c>
      <c r="J61">
        <v>3</v>
      </c>
    </row>
    <row r="62" spans="1:10" x14ac:dyDescent="0.35">
      <c r="A62" s="21" t="s">
        <v>78</v>
      </c>
      <c r="B62">
        <v>2990</v>
      </c>
      <c r="C62" s="1">
        <v>46031</v>
      </c>
      <c r="D62">
        <v>18479</v>
      </c>
      <c r="E62">
        <v>44361</v>
      </c>
      <c r="F62" s="1">
        <v>44209</v>
      </c>
      <c r="G62" s="21" t="s">
        <v>17</v>
      </c>
      <c r="H62" s="21" t="s">
        <v>12</v>
      </c>
      <c r="I62" s="21" t="s">
        <v>13</v>
      </c>
      <c r="J62">
        <v>1</v>
      </c>
    </row>
    <row r="63" spans="1:10" x14ac:dyDescent="0.35">
      <c r="A63" s="21" t="s">
        <v>252</v>
      </c>
      <c r="B63">
        <v>1545</v>
      </c>
      <c r="C63" s="1">
        <v>46125</v>
      </c>
      <c r="D63">
        <v>19670</v>
      </c>
      <c r="E63">
        <v>46373</v>
      </c>
      <c r="F63" s="1">
        <v>44177</v>
      </c>
      <c r="G63" s="21" t="s">
        <v>0</v>
      </c>
      <c r="H63" s="21" t="s">
        <v>253</v>
      </c>
      <c r="I63" s="21" t="s">
        <v>18</v>
      </c>
      <c r="J63">
        <v>4</v>
      </c>
    </row>
    <row r="64" spans="1:10" x14ac:dyDescent="0.35">
      <c r="A64" s="21" t="s">
        <v>67</v>
      </c>
      <c r="B64">
        <v>108.79</v>
      </c>
      <c r="C64" s="1">
        <v>46031</v>
      </c>
      <c r="D64">
        <v>18507</v>
      </c>
      <c r="E64">
        <v>44390</v>
      </c>
      <c r="F64" s="1">
        <v>45777</v>
      </c>
      <c r="G64" s="21" t="s">
        <v>17</v>
      </c>
      <c r="H64" s="21" t="s">
        <v>12</v>
      </c>
      <c r="I64" s="21" t="s">
        <v>13</v>
      </c>
      <c r="J64">
        <v>1</v>
      </c>
    </row>
    <row r="65" spans="1:10" x14ac:dyDescent="0.35">
      <c r="A65" s="21" t="s">
        <v>67</v>
      </c>
      <c r="B65">
        <v>1905</v>
      </c>
      <c r="C65" s="1">
        <v>46129</v>
      </c>
      <c r="D65">
        <v>19781</v>
      </c>
      <c r="E65">
        <v>46747</v>
      </c>
      <c r="F65" s="1">
        <v>45777</v>
      </c>
      <c r="G65" s="21" t="s">
        <v>17</v>
      </c>
      <c r="H65" s="21" t="s">
        <v>12</v>
      </c>
      <c r="I65" s="21" t="s">
        <v>13</v>
      </c>
      <c r="J65">
        <v>4</v>
      </c>
    </row>
    <row r="66" spans="1:10" x14ac:dyDescent="0.35">
      <c r="A66" s="21" t="s">
        <v>67</v>
      </c>
      <c r="B66">
        <v>460.04</v>
      </c>
      <c r="C66" s="1">
        <v>46031</v>
      </c>
      <c r="D66">
        <v>18491</v>
      </c>
      <c r="E66">
        <v>44373</v>
      </c>
      <c r="F66" s="1">
        <v>45777</v>
      </c>
      <c r="G66" s="21" t="s">
        <v>17</v>
      </c>
      <c r="H66" s="21" t="s">
        <v>12</v>
      </c>
      <c r="I66" s="21" t="s">
        <v>18</v>
      </c>
      <c r="J66">
        <v>1</v>
      </c>
    </row>
    <row r="67" spans="1:10" x14ac:dyDescent="0.35">
      <c r="A67" s="21" t="s">
        <v>254</v>
      </c>
      <c r="B67">
        <v>1620</v>
      </c>
      <c r="C67" s="1">
        <v>46141</v>
      </c>
      <c r="D67">
        <v>19954</v>
      </c>
      <c r="E67">
        <v>47165</v>
      </c>
      <c r="F67" s="1">
        <v>41086</v>
      </c>
      <c r="G67" s="21" t="s">
        <v>17</v>
      </c>
      <c r="H67" s="21" t="s">
        <v>12</v>
      </c>
      <c r="I67" s="21" t="s">
        <v>18</v>
      </c>
      <c r="J67">
        <v>4</v>
      </c>
    </row>
    <row r="68" spans="1:10" x14ac:dyDescent="0.35">
      <c r="A68" s="21" t="s">
        <v>255</v>
      </c>
      <c r="B68">
        <v>1545</v>
      </c>
      <c r="C68" s="1">
        <v>46128</v>
      </c>
      <c r="D68">
        <v>19755</v>
      </c>
      <c r="E68">
        <v>46639</v>
      </c>
      <c r="F68" s="1">
        <v>46128</v>
      </c>
      <c r="G68" s="21" t="s">
        <v>17</v>
      </c>
      <c r="H68" s="21" t="s">
        <v>12</v>
      </c>
      <c r="I68" s="21" t="s">
        <v>18</v>
      </c>
      <c r="J68">
        <v>4</v>
      </c>
    </row>
    <row r="69" spans="1:10" x14ac:dyDescent="0.35">
      <c r="A69" s="21" t="s">
        <v>175</v>
      </c>
      <c r="B69">
        <v>23375</v>
      </c>
      <c r="C69" s="1">
        <v>46101</v>
      </c>
      <c r="D69">
        <v>19374</v>
      </c>
      <c r="E69">
        <v>45692</v>
      </c>
      <c r="F69" s="1">
        <v>40718</v>
      </c>
      <c r="G69" s="21" t="s">
        <v>17</v>
      </c>
      <c r="H69" s="21" t="s">
        <v>12</v>
      </c>
      <c r="I69" s="21" t="s">
        <v>18</v>
      </c>
      <c r="J69">
        <v>3</v>
      </c>
    </row>
    <row r="70" spans="1:10" x14ac:dyDescent="0.35">
      <c r="A70" s="21" t="s">
        <v>19</v>
      </c>
      <c r="B70">
        <v>1545</v>
      </c>
      <c r="C70" s="1">
        <v>46027</v>
      </c>
      <c r="D70">
        <v>18359</v>
      </c>
      <c r="E70">
        <v>44215</v>
      </c>
      <c r="F70" s="1">
        <v>40225</v>
      </c>
      <c r="G70" s="21" t="s">
        <v>0</v>
      </c>
      <c r="H70" s="21" t="s">
        <v>12</v>
      </c>
      <c r="I70" s="21" t="s">
        <v>18</v>
      </c>
      <c r="J70">
        <v>1</v>
      </c>
    </row>
    <row r="71" spans="1:10" x14ac:dyDescent="0.35">
      <c r="A71" s="21" t="s">
        <v>117</v>
      </c>
      <c r="B71">
        <v>21630</v>
      </c>
      <c r="C71" s="1">
        <v>46062</v>
      </c>
      <c r="D71">
        <v>18908</v>
      </c>
      <c r="E71">
        <v>44897</v>
      </c>
      <c r="F71" s="1">
        <v>42304</v>
      </c>
      <c r="G71" s="21" t="s">
        <v>17</v>
      </c>
      <c r="H71" s="21" t="s">
        <v>12</v>
      </c>
      <c r="I71" s="21" t="s">
        <v>21</v>
      </c>
      <c r="J71">
        <v>2</v>
      </c>
    </row>
    <row r="72" spans="1:10" x14ac:dyDescent="0.35">
      <c r="A72" s="21" t="s">
        <v>176</v>
      </c>
      <c r="B72">
        <v>2370</v>
      </c>
      <c r="C72" s="1">
        <v>46108</v>
      </c>
      <c r="D72">
        <v>19461</v>
      </c>
      <c r="E72">
        <v>45835</v>
      </c>
      <c r="F72" s="1">
        <v>38708</v>
      </c>
      <c r="G72" s="21" t="s">
        <v>17</v>
      </c>
      <c r="H72" s="21" t="s">
        <v>12</v>
      </c>
      <c r="I72" s="21" t="s">
        <v>18</v>
      </c>
      <c r="J72">
        <v>3</v>
      </c>
    </row>
    <row r="73" spans="1:10" x14ac:dyDescent="0.35">
      <c r="A73" s="21" t="s">
        <v>118</v>
      </c>
      <c r="B73">
        <v>2160</v>
      </c>
      <c r="C73" s="1">
        <v>46071</v>
      </c>
      <c r="D73">
        <v>18975</v>
      </c>
      <c r="E73">
        <v>45010</v>
      </c>
      <c r="F73" s="1">
        <v>36032</v>
      </c>
      <c r="G73" s="21" t="s">
        <v>94</v>
      </c>
      <c r="H73" s="21" t="s">
        <v>12</v>
      </c>
      <c r="I73" s="21" t="s">
        <v>13</v>
      </c>
      <c r="J73">
        <v>2</v>
      </c>
    </row>
    <row r="74" spans="1:10" x14ac:dyDescent="0.35">
      <c r="A74" s="21" t="s">
        <v>177</v>
      </c>
      <c r="B74">
        <v>1620</v>
      </c>
      <c r="C74" s="1">
        <v>46102</v>
      </c>
      <c r="D74">
        <v>19394</v>
      </c>
      <c r="E74">
        <v>45737</v>
      </c>
      <c r="F74" s="1">
        <v>45168</v>
      </c>
      <c r="G74" s="21" t="s">
        <v>17</v>
      </c>
      <c r="H74" s="21" t="s">
        <v>12</v>
      </c>
      <c r="I74" s="21" t="s">
        <v>18</v>
      </c>
      <c r="J74">
        <v>3</v>
      </c>
    </row>
    <row r="75" spans="1:10" x14ac:dyDescent="0.35">
      <c r="A75" s="21" t="s">
        <v>257</v>
      </c>
      <c r="B75">
        <v>16175</v>
      </c>
      <c r="C75" s="1">
        <v>46118</v>
      </c>
      <c r="D75">
        <v>19573</v>
      </c>
      <c r="E75">
        <v>46083</v>
      </c>
      <c r="F75" s="1">
        <v>35881</v>
      </c>
      <c r="G75" s="21" t="s">
        <v>17</v>
      </c>
      <c r="H75" s="21" t="s">
        <v>12</v>
      </c>
      <c r="I75" s="21" t="s">
        <v>18</v>
      </c>
      <c r="J75">
        <v>4</v>
      </c>
    </row>
    <row r="76" spans="1:10" x14ac:dyDescent="0.35">
      <c r="A76" s="21" t="s">
        <v>119</v>
      </c>
      <c r="B76">
        <v>23375</v>
      </c>
      <c r="C76" s="1">
        <v>46066</v>
      </c>
      <c r="D76">
        <v>18940</v>
      </c>
      <c r="E76">
        <v>44972</v>
      </c>
      <c r="F76" s="1">
        <v>41302</v>
      </c>
      <c r="G76" s="21" t="s">
        <v>17</v>
      </c>
      <c r="H76" s="21" t="s">
        <v>120</v>
      </c>
      <c r="I76" s="21" t="s">
        <v>18</v>
      </c>
      <c r="J76">
        <v>2</v>
      </c>
    </row>
    <row r="77" spans="1:10" x14ac:dyDescent="0.35">
      <c r="A77" s="21" t="s">
        <v>23</v>
      </c>
      <c r="B77">
        <v>1545</v>
      </c>
      <c r="C77" s="1">
        <v>46035</v>
      </c>
      <c r="D77">
        <v>18620</v>
      </c>
      <c r="E77">
        <v>44519</v>
      </c>
      <c r="F77" s="1">
        <v>41317</v>
      </c>
      <c r="G77" s="21" t="s">
        <v>11</v>
      </c>
      <c r="H77" s="21" t="s">
        <v>12</v>
      </c>
      <c r="I77" s="21" t="s">
        <v>18</v>
      </c>
      <c r="J77">
        <v>1</v>
      </c>
    </row>
    <row r="78" spans="1:10" x14ac:dyDescent="0.35">
      <c r="A78" s="21" t="s">
        <v>258</v>
      </c>
      <c r="B78">
        <v>1905</v>
      </c>
      <c r="C78" s="1">
        <v>46121</v>
      </c>
      <c r="D78">
        <v>19622</v>
      </c>
      <c r="E78">
        <v>46231</v>
      </c>
      <c r="F78" s="1">
        <v>46121</v>
      </c>
      <c r="G78" s="21" t="s">
        <v>0</v>
      </c>
      <c r="H78" s="21" t="s">
        <v>12</v>
      </c>
      <c r="I78" s="21" t="s">
        <v>13</v>
      </c>
      <c r="J78">
        <v>4</v>
      </c>
    </row>
    <row r="79" spans="1:10" x14ac:dyDescent="0.35">
      <c r="A79" s="21" t="s">
        <v>80</v>
      </c>
      <c r="B79">
        <v>1545</v>
      </c>
      <c r="C79" s="1">
        <v>46029</v>
      </c>
      <c r="D79">
        <v>18421</v>
      </c>
      <c r="E79">
        <v>44301</v>
      </c>
      <c r="F79" s="1">
        <v>46029</v>
      </c>
      <c r="G79" s="21" t="s">
        <v>17</v>
      </c>
      <c r="H79" s="21" t="s">
        <v>12</v>
      </c>
      <c r="I79" s="21" t="s">
        <v>18</v>
      </c>
      <c r="J79">
        <v>1</v>
      </c>
    </row>
    <row r="80" spans="1:10" x14ac:dyDescent="0.35">
      <c r="A80" s="21" t="s">
        <v>123</v>
      </c>
      <c r="B80">
        <v>1545</v>
      </c>
      <c r="C80" s="1">
        <v>46069</v>
      </c>
      <c r="D80">
        <v>18947</v>
      </c>
      <c r="E80">
        <v>44979</v>
      </c>
      <c r="F80" s="1">
        <v>44538</v>
      </c>
      <c r="G80" s="21" t="s">
        <v>17</v>
      </c>
      <c r="H80" s="21" t="s">
        <v>12</v>
      </c>
      <c r="I80" s="21" t="s">
        <v>18</v>
      </c>
      <c r="J80">
        <v>2</v>
      </c>
    </row>
    <row r="81" spans="1:10" x14ac:dyDescent="0.35">
      <c r="A81" s="21" t="s">
        <v>124</v>
      </c>
      <c r="B81">
        <v>23375</v>
      </c>
      <c r="C81" s="1">
        <v>46080</v>
      </c>
      <c r="D81">
        <v>19076</v>
      </c>
      <c r="E81">
        <v>45158</v>
      </c>
      <c r="F81" s="1">
        <v>37602</v>
      </c>
      <c r="G81" s="21" t="s">
        <v>17</v>
      </c>
      <c r="H81" s="21" t="s">
        <v>12</v>
      </c>
      <c r="I81" s="21" t="s">
        <v>18</v>
      </c>
      <c r="J81">
        <v>2</v>
      </c>
    </row>
    <row r="82" spans="1:10" x14ac:dyDescent="0.35">
      <c r="A82" s="21" t="s">
        <v>25</v>
      </c>
      <c r="B82">
        <v>2680</v>
      </c>
      <c r="C82" s="1">
        <v>46038</v>
      </c>
      <c r="D82">
        <v>18656</v>
      </c>
      <c r="E82">
        <v>44554</v>
      </c>
      <c r="F82" s="1">
        <v>36985</v>
      </c>
      <c r="G82" s="21" t="s">
        <v>11</v>
      </c>
      <c r="H82" s="21" t="s">
        <v>12</v>
      </c>
      <c r="I82" s="21" t="s">
        <v>18</v>
      </c>
      <c r="J82">
        <v>1</v>
      </c>
    </row>
    <row r="83" spans="1:10" x14ac:dyDescent="0.35">
      <c r="A83" s="21" t="s">
        <v>58</v>
      </c>
      <c r="B83">
        <v>1545</v>
      </c>
      <c r="C83" s="1">
        <v>46042</v>
      </c>
      <c r="D83">
        <v>18683</v>
      </c>
      <c r="E83">
        <v>44583</v>
      </c>
      <c r="F83" s="1">
        <v>45679</v>
      </c>
      <c r="G83" s="21" t="s">
        <v>17</v>
      </c>
      <c r="H83" s="21" t="s">
        <v>12</v>
      </c>
      <c r="I83" s="21" t="s">
        <v>18</v>
      </c>
      <c r="J83">
        <v>1</v>
      </c>
    </row>
    <row r="84" spans="1:10" x14ac:dyDescent="0.35">
      <c r="A84" s="21" t="s">
        <v>259</v>
      </c>
      <c r="B84">
        <v>2680</v>
      </c>
      <c r="C84" s="1">
        <v>46142</v>
      </c>
      <c r="D84">
        <v>19981</v>
      </c>
      <c r="E84">
        <v>47208</v>
      </c>
      <c r="F84" s="1">
        <v>40162</v>
      </c>
      <c r="G84" s="21" t="s">
        <v>11</v>
      </c>
      <c r="H84" s="21" t="s">
        <v>12</v>
      </c>
      <c r="I84" s="21" t="s">
        <v>18</v>
      </c>
      <c r="J84">
        <v>4</v>
      </c>
    </row>
    <row r="85" spans="1:10" x14ac:dyDescent="0.35">
      <c r="A85" s="21" t="s">
        <v>179</v>
      </c>
      <c r="B85">
        <v>1545</v>
      </c>
      <c r="C85" s="1">
        <v>46087</v>
      </c>
      <c r="D85">
        <v>19227</v>
      </c>
      <c r="E85">
        <v>45392</v>
      </c>
      <c r="F85" s="1">
        <v>40051</v>
      </c>
      <c r="G85" s="21" t="s">
        <v>11</v>
      </c>
      <c r="H85" s="21" t="s">
        <v>12</v>
      </c>
      <c r="I85" s="21" t="s">
        <v>18</v>
      </c>
      <c r="J85">
        <v>3</v>
      </c>
    </row>
    <row r="86" spans="1:10" x14ac:dyDescent="0.35">
      <c r="A86" s="21" t="s">
        <v>180</v>
      </c>
      <c r="B86">
        <v>1905</v>
      </c>
      <c r="C86" s="1">
        <v>46111</v>
      </c>
      <c r="D86">
        <v>19477</v>
      </c>
      <c r="E86">
        <v>45869</v>
      </c>
      <c r="F86" s="1">
        <v>40630</v>
      </c>
      <c r="G86" s="21" t="s">
        <v>11</v>
      </c>
      <c r="H86" s="21" t="s">
        <v>12</v>
      </c>
      <c r="I86" s="21" t="s">
        <v>13</v>
      </c>
      <c r="J86">
        <v>3</v>
      </c>
    </row>
    <row r="87" spans="1:10" x14ac:dyDescent="0.35">
      <c r="A87" s="21" t="s">
        <v>181</v>
      </c>
      <c r="B87">
        <v>1905</v>
      </c>
      <c r="C87" s="1">
        <v>46090</v>
      </c>
      <c r="D87">
        <v>19241</v>
      </c>
      <c r="E87">
        <v>45429</v>
      </c>
      <c r="F87" s="1">
        <v>44718</v>
      </c>
      <c r="G87" s="21" t="s">
        <v>11</v>
      </c>
      <c r="H87" s="21" t="s">
        <v>12</v>
      </c>
      <c r="I87" s="21" t="s">
        <v>13</v>
      </c>
      <c r="J87">
        <v>3</v>
      </c>
    </row>
    <row r="88" spans="1:10" x14ac:dyDescent="0.35">
      <c r="A88" s="21" t="s">
        <v>125</v>
      </c>
      <c r="B88">
        <v>1905</v>
      </c>
      <c r="C88" s="1">
        <v>46069</v>
      </c>
      <c r="D88">
        <v>18949</v>
      </c>
      <c r="E88">
        <v>44981</v>
      </c>
      <c r="F88" s="1">
        <v>44095</v>
      </c>
      <c r="G88" s="21" t="s">
        <v>11</v>
      </c>
      <c r="H88" s="21" t="s">
        <v>12</v>
      </c>
      <c r="I88" s="21" t="s">
        <v>13</v>
      </c>
      <c r="J88">
        <v>2</v>
      </c>
    </row>
    <row r="89" spans="1:10" x14ac:dyDescent="0.35">
      <c r="A89" s="21" t="s">
        <v>183</v>
      </c>
      <c r="B89">
        <v>1650</v>
      </c>
      <c r="C89" s="1">
        <v>46112</v>
      </c>
      <c r="D89">
        <v>19507</v>
      </c>
      <c r="E89">
        <v>45907</v>
      </c>
      <c r="F89" s="1">
        <v>37351</v>
      </c>
      <c r="G89" s="21" t="s">
        <v>94</v>
      </c>
      <c r="H89" s="21" t="s">
        <v>12</v>
      </c>
      <c r="I89" s="21" t="s">
        <v>18</v>
      </c>
      <c r="J89">
        <v>3</v>
      </c>
    </row>
    <row r="90" spans="1:10" x14ac:dyDescent="0.35">
      <c r="A90" s="21" t="s">
        <v>184</v>
      </c>
      <c r="B90">
        <v>7570</v>
      </c>
      <c r="C90" s="1">
        <v>46112</v>
      </c>
      <c r="D90">
        <v>19505</v>
      </c>
      <c r="E90">
        <v>45905</v>
      </c>
      <c r="F90" s="1">
        <v>38867</v>
      </c>
      <c r="G90" s="21" t="s">
        <v>94</v>
      </c>
      <c r="H90" s="21" t="s">
        <v>12</v>
      </c>
      <c r="I90" s="21" t="s">
        <v>18</v>
      </c>
      <c r="J90">
        <v>3</v>
      </c>
    </row>
    <row r="91" spans="1:10" x14ac:dyDescent="0.35">
      <c r="A91" s="21" t="s">
        <v>84</v>
      </c>
      <c r="B91">
        <v>2680</v>
      </c>
      <c r="C91" s="1">
        <v>46038</v>
      </c>
      <c r="D91">
        <v>18660</v>
      </c>
      <c r="E91">
        <v>44559</v>
      </c>
      <c r="F91" s="1">
        <v>40897</v>
      </c>
      <c r="G91" s="21" t="s">
        <v>11</v>
      </c>
      <c r="H91" s="21" t="s">
        <v>12</v>
      </c>
      <c r="I91" s="21" t="s">
        <v>18</v>
      </c>
      <c r="J91">
        <v>1</v>
      </c>
    </row>
    <row r="92" spans="1:10" x14ac:dyDescent="0.35">
      <c r="A92" s="21" t="s">
        <v>260</v>
      </c>
      <c r="B92">
        <v>2680</v>
      </c>
      <c r="C92" s="1">
        <v>46129</v>
      </c>
      <c r="D92">
        <v>19803</v>
      </c>
      <c r="E92">
        <v>46853</v>
      </c>
      <c r="F92" s="1">
        <v>42804</v>
      </c>
      <c r="G92" s="21" t="s">
        <v>11</v>
      </c>
      <c r="H92" s="21" t="s">
        <v>12</v>
      </c>
      <c r="I92" s="21" t="s">
        <v>18</v>
      </c>
      <c r="J92">
        <v>4</v>
      </c>
    </row>
    <row r="93" spans="1:10" x14ac:dyDescent="0.35">
      <c r="A93" s="21" t="s">
        <v>261</v>
      </c>
      <c r="B93">
        <v>1545</v>
      </c>
      <c r="C93" s="1">
        <v>46140</v>
      </c>
      <c r="D93">
        <v>19934</v>
      </c>
      <c r="E93">
        <v>47129</v>
      </c>
      <c r="F93" s="1">
        <v>40630</v>
      </c>
      <c r="G93" s="21" t="s">
        <v>11</v>
      </c>
      <c r="H93" s="21" t="s">
        <v>12</v>
      </c>
      <c r="I93" s="21" t="s">
        <v>18</v>
      </c>
      <c r="J93">
        <v>4</v>
      </c>
    </row>
    <row r="94" spans="1:10" x14ac:dyDescent="0.35">
      <c r="A94" s="21" t="s">
        <v>186</v>
      </c>
      <c r="B94">
        <v>5770</v>
      </c>
      <c r="C94" s="1">
        <v>46108</v>
      </c>
      <c r="D94">
        <v>19453</v>
      </c>
      <c r="E94">
        <v>45819</v>
      </c>
      <c r="F94" s="1">
        <v>37630</v>
      </c>
      <c r="G94" s="21" t="s">
        <v>91</v>
      </c>
      <c r="H94" s="21" t="s">
        <v>12</v>
      </c>
      <c r="I94" s="21" t="s">
        <v>18</v>
      </c>
      <c r="J94">
        <v>3</v>
      </c>
    </row>
    <row r="95" spans="1:10" x14ac:dyDescent="0.35">
      <c r="A95" s="21" t="s">
        <v>187</v>
      </c>
      <c r="B95">
        <v>1545</v>
      </c>
      <c r="C95" s="1">
        <v>46107</v>
      </c>
      <c r="D95">
        <v>19437</v>
      </c>
      <c r="E95">
        <v>45792</v>
      </c>
      <c r="F95" s="1">
        <v>41389</v>
      </c>
      <c r="G95" s="21" t="s">
        <v>0</v>
      </c>
      <c r="H95" s="21" t="s">
        <v>12</v>
      </c>
      <c r="I95" s="21" t="s">
        <v>18</v>
      </c>
      <c r="J95">
        <v>3</v>
      </c>
    </row>
    <row r="96" spans="1:10" x14ac:dyDescent="0.35">
      <c r="A96" s="21" t="s">
        <v>85</v>
      </c>
      <c r="B96">
        <v>2680</v>
      </c>
      <c r="C96" s="1">
        <v>46052</v>
      </c>
      <c r="D96">
        <v>18826</v>
      </c>
      <c r="E96">
        <v>44799</v>
      </c>
      <c r="F96" s="1">
        <v>42942</v>
      </c>
      <c r="G96" s="21" t="s">
        <v>11</v>
      </c>
      <c r="H96" s="21" t="s">
        <v>12</v>
      </c>
      <c r="I96" s="21" t="s">
        <v>18</v>
      </c>
      <c r="J96">
        <v>1</v>
      </c>
    </row>
    <row r="97" spans="1:10" x14ac:dyDescent="0.35">
      <c r="A97" s="21" t="s">
        <v>188</v>
      </c>
      <c r="B97">
        <v>1545</v>
      </c>
      <c r="C97" s="1">
        <v>46105</v>
      </c>
      <c r="D97">
        <v>19413</v>
      </c>
      <c r="E97">
        <v>45764</v>
      </c>
      <c r="F97" s="1">
        <v>40522</v>
      </c>
      <c r="G97" s="21" t="s">
        <v>11</v>
      </c>
      <c r="H97" s="21" t="s">
        <v>12</v>
      </c>
      <c r="I97" s="21" t="s">
        <v>18</v>
      </c>
      <c r="J97">
        <v>3</v>
      </c>
    </row>
    <row r="98" spans="1:10" x14ac:dyDescent="0.35">
      <c r="A98" s="21" t="s">
        <v>262</v>
      </c>
      <c r="B98">
        <v>24545</v>
      </c>
      <c r="C98" s="1">
        <v>46136</v>
      </c>
      <c r="D98">
        <v>19887</v>
      </c>
      <c r="E98">
        <v>47038</v>
      </c>
      <c r="F98" s="1">
        <v>39573</v>
      </c>
      <c r="G98" s="21" t="s">
        <v>17</v>
      </c>
      <c r="H98" s="21" t="s">
        <v>12</v>
      </c>
      <c r="I98" s="21" t="s">
        <v>18</v>
      </c>
      <c r="J98">
        <v>4</v>
      </c>
    </row>
    <row r="99" spans="1:10" x14ac:dyDescent="0.35">
      <c r="A99" s="21" t="s">
        <v>263</v>
      </c>
      <c r="B99">
        <v>18950</v>
      </c>
      <c r="C99" s="1">
        <v>46132</v>
      </c>
      <c r="D99">
        <v>19818</v>
      </c>
      <c r="E99">
        <v>46903</v>
      </c>
      <c r="F99" s="1">
        <v>36367</v>
      </c>
      <c r="G99" s="21" t="s">
        <v>17</v>
      </c>
      <c r="H99" s="21" t="s">
        <v>12</v>
      </c>
      <c r="I99" s="21" t="s">
        <v>18</v>
      </c>
      <c r="J99">
        <v>4</v>
      </c>
    </row>
    <row r="100" spans="1:10" x14ac:dyDescent="0.35">
      <c r="A100" s="21" t="s">
        <v>190</v>
      </c>
      <c r="B100">
        <v>10170</v>
      </c>
      <c r="C100" s="1">
        <v>46101</v>
      </c>
      <c r="D100">
        <v>19377</v>
      </c>
      <c r="E100">
        <v>45703</v>
      </c>
      <c r="F100" s="1">
        <v>43347</v>
      </c>
      <c r="G100" s="21" t="s">
        <v>17</v>
      </c>
      <c r="H100" s="21" t="s">
        <v>12</v>
      </c>
      <c r="I100" s="21" t="s">
        <v>18</v>
      </c>
      <c r="J100">
        <v>3</v>
      </c>
    </row>
    <row r="101" spans="1:10" x14ac:dyDescent="0.35">
      <c r="A101" s="21" t="s">
        <v>191</v>
      </c>
      <c r="B101">
        <v>1545</v>
      </c>
      <c r="C101" s="1">
        <v>46101</v>
      </c>
      <c r="D101">
        <v>19372</v>
      </c>
      <c r="E101">
        <v>45683</v>
      </c>
      <c r="F101" s="1">
        <v>45415</v>
      </c>
      <c r="G101" s="21" t="s">
        <v>17</v>
      </c>
      <c r="H101" s="21" t="s">
        <v>12</v>
      </c>
      <c r="I101" s="21" t="s">
        <v>18</v>
      </c>
      <c r="J101">
        <v>3</v>
      </c>
    </row>
    <row r="102" spans="1:10" x14ac:dyDescent="0.35">
      <c r="A102" s="21" t="s">
        <v>264</v>
      </c>
      <c r="B102">
        <v>23375</v>
      </c>
      <c r="C102" s="1">
        <v>46129</v>
      </c>
      <c r="D102">
        <v>19799</v>
      </c>
      <c r="E102">
        <v>46844</v>
      </c>
      <c r="F102" s="1">
        <v>41346</v>
      </c>
      <c r="G102" s="21" t="s">
        <v>17</v>
      </c>
      <c r="H102" s="21" t="s">
        <v>12</v>
      </c>
      <c r="I102" s="21" t="s">
        <v>18</v>
      </c>
      <c r="J102">
        <v>4</v>
      </c>
    </row>
    <row r="103" spans="1:10" x14ac:dyDescent="0.35">
      <c r="A103" s="21" t="s">
        <v>192</v>
      </c>
      <c r="B103">
        <v>2370</v>
      </c>
      <c r="C103" s="1">
        <v>46100</v>
      </c>
      <c r="D103">
        <v>19365</v>
      </c>
      <c r="E103">
        <v>45676</v>
      </c>
      <c r="F103" s="1">
        <v>46100</v>
      </c>
      <c r="G103" s="21" t="s">
        <v>17</v>
      </c>
      <c r="H103" s="21" t="s">
        <v>12</v>
      </c>
      <c r="I103" s="21" t="s">
        <v>18</v>
      </c>
      <c r="J103">
        <v>3</v>
      </c>
    </row>
    <row r="104" spans="1:10" x14ac:dyDescent="0.35">
      <c r="A104" s="21" t="s">
        <v>193</v>
      </c>
      <c r="B104">
        <v>2990</v>
      </c>
      <c r="C104" s="1">
        <v>46087</v>
      </c>
      <c r="D104">
        <v>19228</v>
      </c>
      <c r="E104">
        <v>45393</v>
      </c>
      <c r="F104" s="1">
        <v>45775</v>
      </c>
      <c r="G104" s="21" t="s">
        <v>17</v>
      </c>
      <c r="H104" s="21" t="s">
        <v>12</v>
      </c>
      <c r="I104" s="21" t="s">
        <v>13</v>
      </c>
      <c r="J104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50FD-1B3E-42C1-A05C-8210968609D2}">
  <dimension ref="A3:C27"/>
  <sheetViews>
    <sheetView workbookViewId="0">
      <selection activeCell="A24" sqref="A24"/>
    </sheetView>
  </sheetViews>
  <sheetFormatPr defaultRowHeight="14.5" x14ac:dyDescent="0.35"/>
  <cols>
    <col min="1" max="1" width="12.453125" bestFit="1" customWidth="1"/>
    <col min="2" max="2" width="11.1796875" bestFit="1" customWidth="1"/>
  </cols>
  <sheetData>
    <row r="3" spans="1:3" x14ac:dyDescent="0.35">
      <c r="A3" s="2" t="s">
        <v>29</v>
      </c>
      <c r="B3" t="s">
        <v>31</v>
      </c>
    </row>
    <row r="4" spans="1:3" x14ac:dyDescent="0.35">
      <c r="A4" s="3">
        <v>1</v>
      </c>
      <c r="B4" s="4">
        <v>8525</v>
      </c>
    </row>
    <row r="5" spans="1:3" x14ac:dyDescent="0.35">
      <c r="A5" s="3">
        <v>2</v>
      </c>
      <c r="B5" s="4">
        <v>4075</v>
      </c>
    </row>
    <row r="6" spans="1:3" x14ac:dyDescent="0.35">
      <c r="A6" s="3">
        <v>3</v>
      </c>
      <c r="B6" s="4">
        <v>7825</v>
      </c>
    </row>
    <row r="7" spans="1:3" x14ac:dyDescent="0.35">
      <c r="A7" s="3">
        <v>4</v>
      </c>
      <c r="B7" s="4">
        <v>10075</v>
      </c>
    </row>
    <row r="8" spans="1:3" x14ac:dyDescent="0.35">
      <c r="A8" s="3" t="s">
        <v>30</v>
      </c>
      <c r="B8" s="4">
        <v>30500</v>
      </c>
    </row>
    <row r="16" spans="1:3" x14ac:dyDescent="0.35">
      <c r="C16">
        <f>GETPIVOTDATA("Total",$A$3)</f>
        <v>30500</v>
      </c>
    </row>
    <row r="17" spans="1:3" x14ac:dyDescent="0.35">
      <c r="C17" t="str">
        <f>"Grand Total: $"&amp;TEXT(GETPIVOTDATA("Total",$A$3),"#,###")</f>
        <v>Grand Total: $30,500</v>
      </c>
    </row>
    <row r="22" spans="1:3" x14ac:dyDescent="0.35">
      <c r="A22" s="2" t="s">
        <v>29</v>
      </c>
      <c r="B22" t="s">
        <v>54</v>
      </c>
    </row>
    <row r="23" spans="1:3" x14ac:dyDescent="0.35">
      <c r="A23" s="3" t="s">
        <v>16</v>
      </c>
      <c r="B23" s="21">
        <v>39</v>
      </c>
    </row>
    <row r="24" spans="1:3" x14ac:dyDescent="0.35">
      <c r="A24" s="3" t="s">
        <v>99</v>
      </c>
      <c r="B24" s="21">
        <v>2</v>
      </c>
    </row>
    <row r="25" spans="1:3" x14ac:dyDescent="0.35">
      <c r="A25" s="3" t="s">
        <v>162</v>
      </c>
      <c r="B25" s="21">
        <v>1</v>
      </c>
    </row>
    <row r="26" spans="1:3" x14ac:dyDescent="0.35">
      <c r="A26" s="3" t="s">
        <v>30</v>
      </c>
      <c r="B26" s="21">
        <v>42</v>
      </c>
    </row>
    <row r="27" spans="1:3" x14ac:dyDescent="0.35">
      <c r="C27" t="str">
        <f>CONCATENATE("Individual: ",GETPIVOTDATA("Item Name",$A$22))</f>
        <v>Individual: 42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264-9DB1-4BB5-BB8C-E3311B49F6F5}">
  <dimension ref="A1:J43"/>
  <sheetViews>
    <sheetView workbookViewId="0">
      <selection activeCell="A9" sqref="A9"/>
    </sheetView>
  </sheetViews>
  <sheetFormatPr defaultRowHeight="14.5" x14ac:dyDescent="0.35"/>
  <cols>
    <col min="1" max="1" width="30.269531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17.81640625" bestFit="1" customWidth="1"/>
    <col min="8" max="8" width="15.453125" bestFit="1" customWidth="1"/>
    <col min="9" max="9" width="19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 t="s">
        <v>28</v>
      </c>
      <c r="B2">
        <v>775</v>
      </c>
      <c r="C2" s="1">
        <v>46033</v>
      </c>
      <c r="D2">
        <v>18551</v>
      </c>
      <c r="E2">
        <v>44438</v>
      </c>
      <c r="F2" s="1">
        <v>45385</v>
      </c>
      <c r="G2" s="21" t="s">
        <v>15</v>
      </c>
      <c r="H2" s="21" t="s">
        <v>15</v>
      </c>
      <c r="I2" s="21" t="s">
        <v>16</v>
      </c>
      <c r="J2">
        <v>1</v>
      </c>
    </row>
    <row r="3" spans="1:10" x14ac:dyDescent="0.35">
      <c r="A3" s="21" t="s">
        <v>55</v>
      </c>
      <c r="B3">
        <v>775</v>
      </c>
      <c r="C3" s="1">
        <v>46027</v>
      </c>
      <c r="D3">
        <v>18371</v>
      </c>
      <c r="E3">
        <v>44227</v>
      </c>
      <c r="F3" s="1">
        <v>44433</v>
      </c>
      <c r="G3" s="21" t="s">
        <v>15</v>
      </c>
      <c r="H3" s="21" t="s">
        <v>12</v>
      </c>
      <c r="I3" s="21" t="s">
        <v>16</v>
      </c>
      <c r="J3">
        <v>1</v>
      </c>
    </row>
    <row r="4" spans="1:10" x14ac:dyDescent="0.35">
      <c r="A4" s="21" t="s">
        <v>130</v>
      </c>
      <c r="B4">
        <v>775</v>
      </c>
      <c r="C4" s="1">
        <v>46107</v>
      </c>
      <c r="D4">
        <v>19433</v>
      </c>
      <c r="E4">
        <v>45787</v>
      </c>
      <c r="F4" s="1">
        <v>46107</v>
      </c>
      <c r="G4" s="21" t="s">
        <v>15</v>
      </c>
      <c r="H4" s="21" t="s">
        <v>12</v>
      </c>
      <c r="I4" s="21" t="s">
        <v>16</v>
      </c>
      <c r="J4">
        <v>3</v>
      </c>
    </row>
    <row r="5" spans="1:10" x14ac:dyDescent="0.35">
      <c r="A5" s="21" t="s">
        <v>69</v>
      </c>
      <c r="B5">
        <v>775</v>
      </c>
      <c r="C5" s="1">
        <v>46034</v>
      </c>
      <c r="D5">
        <v>18605</v>
      </c>
      <c r="E5">
        <v>44503</v>
      </c>
      <c r="F5" s="1">
        <v>46034</v>
      </c>
      <c r="G5" s="21" t="s">
        <v>15</v>
      </c>
      <c r="H5" s="21" t="s">
        <v>20</v>
      </c>
      <c r="I5" s="21" t="s">
        <v>16</v>
      </c>
      <c r="J5">
        <v>1</v>
      </c>
    </row>
    <row r="6" spans="1:10" x14ac:dyDescent="0.35">
      <c r="A6" s="21" t="s">
        <v>132</v>
      </c>
      <c r="B6">
        <v>775</v>
      </c>
      <c r="C6" s="1">
        <v>46104</v>
      </c>
      <c r="D6">
        <v>19400</v>
      </c>
      <c r="E6">
        <v>45749</v>
      </c>
      <c r="F6" s="1">
        <v>46104</v>
      </c>
      <c r="G6" s="21" t="s">
        <v>15</v>
      </c>
      <c r="H6" s="21" t="s">
        <v>12</v>
      </c>
      <c r="I6" s="21" t="s">
        <v>16</v>
      </c>
      <c r="J6">
        <v>3</v>
      </c>
    </row>
    <row r="7" spans="1:10" x14ac:dyDescent="0.35">
      <c r="A7" s="21" t="s">
        <v>98</v>
      </c>
      <c r="B7">
        <v>100</v>
      </c>
      <c r="C7" s="1">
        <v>46069</v>
      </c>
      <c r="D7">
        <v>18946</v>
      </c>
      <c r="E7">
        <v>44978</v>
      </c>
      <c r="F7" s="1">
        <v>44959</v>
      </c>
      <c r="G7" s="21" t="s">
        <v>15</v>
      </c>
      <c r="H7" s="21" t="s">
        <v>12</v>
      </c>
      <c r="I7" s="21" t="s">
        <v>99</v>
      </c>
      <c r="J7">
        <v>2</v>
      </c>
    </row>
    <row r="8" spans="1:10" x14ac:dyDescent="0.35">
      <c r="A8" s="21" t="s">
        <v>202</v>
      </c>
      <c r="B8">
        <v>775</v>
      </c>
      <c r="C8" s="1">
        <v>46120</v>
      </c>
      <c r="D8">
        <v>19610</v>
      </c>
      <c r="E8">
        <v>46209</v>
      </c>
      <c r="F8" s="1">
        <v>46120</v>
      </c>
      <c r="G8" s="21" t="s">
        <v>15</v>
      </c>
      <c r="H8" s="21" t="s">
        <v>15</v>
      </c>
      <c r="I8" s="21" t="s">
        <v>16</v>
      </c>
      <c r="J8">
        <v>4</v>
      </c>
    </row>
    <row r="9" spans="1:10" x14ac:dyDescent="0.35">
      <c r="A9" s="21" t="s">
        <v>203</v>
      </c>
      <c r="B9">
        <v>775</v>
      </c>
      <c r="C9" s="1">
        <v>46121</v>
      </c>
      <c r="D9">
        <v>19625</v>
      </c>
      <c r="E9">
        <v>46234</v>
      </c>
      <c r="F9" s="1">
        <v>44980</v>
      </c>
      <c r="G9" s="21" t="s">
        <v>0</v>
      </c>
      <c r="H9" s="21" t="s">
        <v>12</v>
      </c>
      <c r="I9" s="21" t="s">
        <v>16</v>
      </c>
      <c r="J9">
        <v>4</v>
      </c>
    </row>
    <row r="10" spans="1:10" x14ac:dyDescent="0.35">
      <c r="A10" s="21" t="s">
        <v>71</v>
      </c>
      <c r="B10">
        <v>775</v>
      </c>
      <c r="C10" s="1">
        <v>46053</v>
      </c>
      <c r="D10">
        <v>18840</v>
      </c>
      <c r="E10">
        <v>44813</v>
      </c>
      <c r="F10" s="1">
        <v>44546</v>
      </c>
      <c r="G10" s="21" t="s">
        <v>15</v>
      </c>
      <c r="H10" s="21" t="s">
        <v>15</v>
      </c>
      <c r="I10" s="21" t="s">
        <v>16</v>
      </c>
      <c r="J10">
        <v>1</v>
      </c>
    </row>
    <row r="11" spans="1:10" x14ac:dyDescent="0.35">
      <c r="A11" s="21" t="s">
        <v>204</v>
      </c>
      <c r="B11">
        <v>775</v>
      </c>
      <c r="C11" s="1">
        <v>46122</v>
      </c>
      <c r="D11">
        <v>19638</v>
      </c>
      <c r="E11">
        <v>46266</v>
      </c>
      <c r="F11" s="1">
        <v>46122</v>
      </c>
      <c r="G11" s="21" t="s">
        <v>15</v>
      </c>
      <c r="H11" s="21" t="s">
        <v>12</v>
      </c>
      <c r="I11" s="21" t="s">
        <v>16</v>
      </c>
      <c r="J11">
        <v>4</v>
      </c>
    </row>
    <row r="12" spans="1:10" x14ac:dyDescent="0.35">
      <c r="A12" s="21" t="s">
        <v>72</v>
      </c>
      <c r="B12">
        <v>775</v>
      </c>
      <c r="C12" s="1">
        <v>46052</v>
      </c>
      <c r="D12">
        <v>18833</v>
      </c>
      <c r="E12">
        <v>44806</v>
      </c>
      <c r="F12" s="1">
        <v>46052</v>
      </c>
      <c r="G12" s="21" t="s">
        <v>15</v>
      </c>
      <c r="H12" s="21" t="s">
        <v>12</v>
      </c>
      <c r="I12" s="21" t="s">
        <v>16</v>
      </c>
      <c r="J12">
        <v>1</v>
      </c>
    </row>
    <row r="13" spans="1:10" x14ac:dyDescent="0.35">
      <c r="A13" s="21" t="s">
        <v>135</v>
      </c>
      <c r="B13">
        <v>775</v>
      </c>
      <c r="C13" s="1">
        <v>46099</v>
      </c>
      <c r="D13">
        <v>19340</v>
      </c>
      <c r="E13">
        <v>45627</v>
      </c>
      <c r="F13" s="1">
        <v>46099</v>
      </c>
      <c r="G13" s="21" t="s">
        <v>15</v>
      </c>
      <c r="H13" s="21" t="s">
        <v>12</v>
      </c>
      <c r="I13" s="21" t="s">
        <v>16</v>
      </c>
      <c r="J13">
        <v>3</v>
      </c>
    </row>
    <row r="14" spans="1:10" x14ac:dyDescent="0.35">
      <c r="A14" s="21" t="s">
        <v>74</v>
      </c>
      <c r="B14">
        <v>775</v>
      </c>
      <c r="C14" s="1">
        <v>46043</v>
      </c>
      <c r="D14">
        <v>18708</v>
      </c>
      <c r="E14">
        <v>44608</v>
      </c>
      <c r="F14" s="1">
        <v>42038</v>
      </c>
      <c r="G14" s="21" t="s">
        <v>17</v>
      </c>
      <c r="H14" s="21" t="s">
        <v>12</v>
      </c>
      <c r="I14" s="21" t="s">
        <v>16</v>
      </c>
      <c r="J14">
        <v>1</v>
      </c>
    </row>
    <row r="15" spans="1:10" x14ac:dyDescent="0.35">
      <c r="A15" s="21" t="s">
        <v>206</v>
      </c>
      <c r="B15">
        <v>775</v>
      </c>
      <c r="C15" s="1">
        <v>46121</v>
      </c>
      <c r="D15">
        <v>19620</v>
      </c>
      <c r="E15">
        <v>46229</v>
      </c>
      <c r="F15" s="1">
        <v>45035</v>
      </c>
      <c r="G15" s="21" t="s">
        <v>15</v>
      </c>
      <c r="H15" s="21" t="s">
        <v>15</v>
      </c>
      <c r="I15" s="21" t="s">
        <v>16</v>
      </c>
      <c r="J15">
        <v>4</v>
      </c>
    </row>
    <row r="16" spans="1:10" x14ac:dyDescent="0.35">
      <c r="A16" s="21" t="s">
        <v>104</v>
      </c>
      <c r="B16">
        <v>775</v>
      </c>
      <c r="C16" s="1">
        <v>46080</v>
      </c>
      <c r="D16">
        <v>19083</v>
      </c>
      <c r="E16">
        <v>45165</v>
      </c>
      <c r="F16" s="1">
        <v>46080</v>
      </c>
      <c r="G16" s="21" t="s">
        <v>15</v>
      </c>
      <c r="H16" s="21" t="s">
        <v>12</v>
      </c>
      <c r="I16" s="21" t="s">
        <v>16</v>
      </c>
      <c r="J16">
        <v>2</v>
      </c>
    </row>
    <row r="17" spans="1:10" x14ac:dyDescent="0.35">
      <c r="A17" s="21" t="s">
        <v>161</v>
      </c>
      <c r="B17">
        <v>75</v>
      </c>
      <c r="C17" s="1">
        <v>46094</v>
      </c>
      <c r="D17">
        <v>19292</v>
      </c>
      <c r="E17">
        <v>45526</v>
      </c>
      <c r="F17" s="1">
        <v>46094</v>
      </c>
      <c r="G17" s="21" t="s">
        <v>15</v>
      </c>
      <c r="H17" s="21" t="s">
        <v>12</v>
      </c>
      <c r="I17" s="21" t="s">
        <v>162</v>
      </c>
      <c r="J17">
        <v>3</v>
      </c>
    </row>
    <row r="18" spans="1:10" x14ac:dyDescent="0.35">
      <c r="A18" s="21" t="s">
        <v>238</v>
      </c>
      <c r="B18">
        <v>775</v>
      </c>
      <c r="C18" s="1">
        <v>46113</v>
      </c>
      <c r="D18">
        <v>19529</v>
      </c>
      <c r="E18">
        <v>45955</v>
      </c>
      <c r="F18" s="1">
        <v>46113</v>
      </c>
      <c r="G18" s="21" t="s">
        <v>15</v>
      </c>
      <c r="H18" s="21" t="s">
        <v>12</v>
      </c>
      <c r="I18" s="21" t="s">
        <v>16</v>
      </c>
      <c r="J18">
        <v>4</v>
      </c>
    </row>
    <row r="19" spans="1:10" x14ac:dyDescent="0.35">
      <c r="A19" s="21" t="s">
        <v>239</v>
      </c>
      <c r="B19">
        <v>775</v>
      </c>
      <c r="C19" s="1">
        <v>46120</v>
      </c>
      <c r="D19">
        <v>19596</v>
      </c>
      <c r="E19">
        <v>46166</v>
      </c>
      <c r="F19" s="1">
        <v>42501</v>
      </c>
      <c r="G19" s="21" t="s">
        <v>15</v>
      </c>
      <c r="H19" s="21" t="s">
        <v>12</v>
      </c>
      <c r="I19" s="21" t="s">
        <v>16</v>
      </c>
      <c r="J19">
        <v>4</v>
      </c>
    </row>
    <row r="20" spans="1:10" x14ac:dyDescent="0.35">
      <c r="A20" s="21" t="s">
        <v>240</v>
      </c>
      <c r="B20">
        <v>775</v>
      </c>
      <c r="C20" s="1">
        <v>46142</v>
      </c>
      <c r="D20">
        <v>19983</v>
      </c>
      <c r="E20">
        <v>47210</v>
      </c>
      <c r="F20" s="1">
        <v>45762</v>
      </c>
      <c r="G20" s="21" t="s">
        <v>15</v>
      </c>
      <c r="H20" s="21" t="s">
        <v>12</v>
      </c>
      <c r="I20" s="21" t="s">
        <v>16</v>
      </c>
      <c r="J20">
        <v>4</v>
      </c>
    </row>
    <row r="21" spans="1:10" x14ac:dyDescent="0.35">
      <c r="A21" s="21" t="s">
        <v>76</v>
      </c>
      <c r="B21">
        <v>775</v>
      </c>
      <c r="C21" s="1">
        <v>46028</v>
      </c>
      <c r="D21">
        <v>18392</v>
      </c>
      <c r="E21">
        <v>44254</v>
      </c>
      <c r="F21" s="1">
        <v>46028</v>
      </c>
      <c r="G21" s="21" t="s">
        <v>15</v>
      </c>
      <c r="H21" s="21" t="s">
        <v>12</v>
      </c>
      <c r="I21" s="21" t="s">
        <v>16</v>
      </c>
      <c r="J21">
        <v>1</v>
      </c>
    </row>
    <row r="22" spans="1:10" x14ac:dyDescent="0.35">
      <c r="A22" s="21" t="s">
        <v>165</v>
      </c>
      <c r="B22">
        <v>775</v>
      </c>
      <c r="C22" s="1">
        <v>46085</v>
      </c>
      <c r="D22">
        <v>19136</v>
      </c>
      <c r="E22">
        <v>45235</v>
      </c>
      <c r="F22" s="1">
        <v>43523</v>
      </c>
      <c r="G22" s="21" t="s">
        <v>15</v>
      </c>
      <c r="H22" s="21" t="s">
        <v>12</v>
      </c>
      <c r="I22" s="21" t="s">
        <v>16</v>
      </c>
      <c r="J22">
        <v>3</v>
      </c>
    </row>
    <row r="23" spans="1:10" x14ac:dyDescent="0.35">
      <c r="A23" s="21" t="s">
        <v>113</v>
      </c>
      <c r="B23">
        <v>100</v>
      </c>
      <c r="C23" s="1">
        <v>46064</v>
      </c>
      <c r="D23">
        <v>18927</v>
      </c>
      <c r="E23">
        <v>44951</v>
      </c>
      <c r="F23" s="1">
        <v>35292</v>
      </c>
      <c r="G23" s="21" t="s">
        <v>15</v>
      </c>
      <c r="H23" s="21" t="s">
        <v>12</v>
      </c>
      <c r="I23" s="21" t="s">
        <v>99</v>
      </c>
      <c r="J23">
        <v>2</v>
      </c>
    </row>
    <row r="24" spans="1:10" x14ac:dyDescent="0.35">
      <c r="A24" s="21" t="s">
        <v>241</v>
      </c>
      <c r="B24">
        <v>775</v>
      </c>
      <c r="C24" s="1">
        <v>46125</v>
      </c>
      <c r="D24">
        <v>19658</v>
      </c>
      <c r="E24">
        <v>46346</v>
      </c>
      <c r="F24" s="1">
        <v>46125</v>
      </c>
      <c r="G24" s="21" t="s">
        <v>15</v>
      </c>
      <c r="H24" s="21" t="s">
        <v>12</v>
      </c>
      <c r="I24" s="21" t="s">
        <v>16</v>
      </c>
      <c r="J24">
        <v>4</v>
      </c>
    </row>
    <row r="25" spans="1:10" x14ac:dyDescent="0.35">
      <c r="A25" s="21" t="s">
        <v>166</v>
      </c>
      <c r="B25">
        <v>775</v>
      </c>
      <c r="C25" s="1">
        <v>46087</v>
      </c>
      <c r="D25">
        <v>19224</v>
      </c>
      <c r="E25">
        <v>45388</v>
      </c>
      <c r="F25" s="1">
        <v>45741</v>
      </c>
      <c r="G25" s="21" t="s">
        <v>15</v>
      </c>
      <c r="H25" s="21" t="s">
        <v>15</v>
      </c>
      <c r="I25" s="21" t="s">
        <v>16</v>
      </c>
      <c r="J25">
        <v>3</v>
      </c>
    </row>
    <row r="26" spans="1:10" x14ac:dyDescent="0.35">
      <c r="A26" s="21" t="s">
        <v>242</v>
      </c>
      <c r="B26">
        <v>775</v>
      </c>
      <c r="C26" s="1">
        <v>46124</v>
      </c>
      <c r="D26">
        <v>19651</v>
      </c>
      <c r="E26">
        <v>46329</v>
      </c>
      <c r="F26" s="1">
        <v>44327</v>
      </c>
      <c r="G26" s="21" t="s">
        <v>15</v>
      </c>
      <c r="H26" s="21" t="s">
        <v>15</v>
      </c>
      <c r="I26" s="21" t="s">
        <v>16</v>
      </c>
      <c r="J26">
        <v>4</v>
      </c>
    </row>
    <row r="27" spans="1:10" x14ac:dyDescent="0.35">
      <c r="A27" s="21" t="s">
        <v>243</v>
      </c>
      <c r="B27">
        <v>775</v>
      </c>
      <c r="C27" s="1">
        <v>46113</v>
      </c>
      <c r="D27">
        <v>19525</v>
      </c>
      <c r="E27">
        <v>45951</v>
      </c>
      <c r="F27" s="1">
        <v>45740</v>
      </c>
      <c r="G27" s="21" t="s">
        <v>15</v>
      </c>
      <c r="H27" s="21" t="s">
        <v>15</v>
      </c>
      <c r="I27" s="21" t="s">
        <v>16</v>
      </c>
      <c r="J27">
        <v>4</v>
      </c>
    </row>
    <row r="28" spans="1:10" x14ac:dyDescent="0.35">
      <c r="A28" s="21" t="s">
        <v>167</v>
      </c>
      <c r="B28">
        <v>775</v>
      </c>
      <c r="C28" s="1">
        <v>46101</v>
      </c>
      <c r="D28">
        <v>19382</v>
      </c>
      <c r="E28">
        <v>45724</v>
      </c>
      <c r="F28" s="1">
        <v>46101</v>
      </c>
      <c r="G28" s="21" t="s">
        <v>15</v>
      </c>
      <c r="H28" s="21" t="s">
        <v>12</v>
      </c>
      <c r="I28" s="21" t="s">
        <v>16</v>
      </c>
      <c r="J28">
        <v>3</v>
      </c>
    </row>
    <row r="29" spans="1:10" x14ac:dyDescent="0.35">
      <c r="A29" s="21" t="s">
        <v>115</v>
      </c>
      <c r="B29">
        <v>775</v>
      </c>
      <c r="C29" s="1">
        <v>46055</v>
      </c>
      <c r="D29">
        <v>18853</v>
      </c>
      <c r="E29">
        <v>44825</v>
      </c>
      <c r="F29" s="1">
        <v>45344</v>
      </c>
      <c r="G29" s="21" t="s">
        <v>15</v>
      </c>
      <c r="H29" s="21" t="s">
        <v>15</v>
      </c>
      <c r="I29" s="21" t="s">
        <v>16</v>
      </c>
      <c r="J29">
        <v>2</v>
      </c>
    </row>
    <row r="30" spans="1:10" x14ac:dyDescent="0.35">
      <c r="A30" s="21" t="s">
        <v>246</v>
      </c>
      <c r="B30">
        <v>775</v>
      </c>
      <c r="C30" s="1">
        <v>46125</v>
      </c>
      <c r="D30">
        <v>19659</v>
      </c>
      <c r="E30">
        <v>46347</v>
      </c>
      <c r="F30" s="1">
        <v>41103</v>
      </c>
      <c r="G30" s="21" t="s">
        <v>15</v>
      </c>
      <c r="H30" s="21" t="s">
        <v>134</v>
      </c>
      <c r="I30" s="21" t="s">
        <v>16</v>
      </c>
      <c r="J30">
        <v>4</v>
      </c>
    </row>
    <row r="31" spans="1:10" x14ac:dyDescent="0.35">
      <c r="A31" s="21" t="s">
        <v>247</v>
      </c>
      <c r="B31">
        <v>775</v>
      </c>
      <c r="C31" s="1">
        <v>46142</v>
      </c>
      <c r="D31">
        <v>19980</v>
      </c>
      <c r="E31">
        <v>47207</v>
      </c>
      <c r="F31" s="1">
        <v>45799</v>
      </c>
      <c r="G31" s="21" t="s">
        <v>15</v>
      </c>
      <c r="H31" s="21" t="s">
        <v>12</v>
      </c>
      <c r="I31" s="21" t="s">
        <v>16</v>
      </c>
      <c r="J31">
        <v>4</v>
      </c>
    </row>
    <row r="32" spans="1:10" x14ac:dyDescent="0.35">
      <c r="A32" s="21" t="s">
        <v>256</v>
      </c>
      <c r="B32">
        <v>775</v>
      </c>
      <c r="C32" s="1">
        <v>46119</v>
      </c>
      <c r="D32">
        <v>19579</v>
      </c>
      <c r="E32">
        <v>46090</v>
      </c>
      <c r="F32" s="1">
        <v>46119</v>
      </c>
      <c r="G32" s="21" t="s">
        <v>15</v>
      </c>
      <c r="H32" s="21" t="s">
        <v>12</v>
      </c>
      <c r="I32" s="21" t="s">
        <v>16</v>
      </c>
      <c r="J32">
        <v>4</v>
      </c>
    </row>
    <row r="33" spans="1:10" x14ac:dyDescent="0.35">
      <c r="A33" s="21" t="s">
        <v>178</v>
      </c>
      <c r="B33">
        <v>775</v>
      </c>
      <c r="C33" s="1">
        <v>46087</v>
      </c>
      <c r="D33">
        <v>19198</v>
      </c>
      <c r="E33">
        <v>45356</v>
      </c>
      <c r="F33" s="1">
        <v>44629</v>
      </c>
      <c r="G33" s="21" t="s">
        <v>15</v>
      </c>
      <c r="H33" s="21" t="s">
        <v>12</v>
      </c>
      <c r="I33" s="21" t="s">
        <v>16</v>
      </c>
      <c r="J33">
        <v>3</v>
      </c>
    </row>
    <row r="34" spans="1:10" x14ac:dyDescent="0.35">
      <c r="A34" s="21" t="s">
        <v>79</v>
      </c>
      <c r="B34">
        <v>775</v>
      </c>
      <c r="C34" s="1">
        <v>46034</v>
      </c>
      <c r="D34">
        <v>18585</v>
      </c>
      <c r="E34">
        <v>44482</v>
      </c>
      <c r="F34" s="1">
        <v>46034</v>
      </c>
      <c r="G34" s="21" t="s">
        <v>15</v>
      </c>
      <c r="H34" s="21" t="s">
        <v>12</v>
      </c>
      <c r="I34" s="21" t="s">
        <v>16</v>
      </c>
      <c r="J34">
        <v>1</v>
      </c>
    </row>
    <row r="35" spans="1:10" x14ac:dyDescent="0.35">
      <c r="A35" s="21" t="s">
        <v>121</v>
      </c>
      <c r="B35">
        <v>775</v>
      </c>
      <c r="C35" s="1">
        <v>46070</v>
      </c>
      <c r="D35">
        <v>18965</v>
      </c>
      <c r="E35">
        <v>45000</v>
      </c>
      <c r="F35" s="1">
        <v>45013</v>
      </c>
      <c r="G35" s="21" t="s">
        <v>15</v>
      </c>
      <c r="H35" s="21" t="s">
        <v>12</v>
      </c>
      <c r="I35" s="21" t="s">
        <v>16</v>
      </c>
      <c r="J35">
        <v>2</v>
      </c>
    </row>
    <row r="36" spans="1:10" x14ac:dyDescent="0.35">
      <c r="A36" s="21" t="s">
        <v>57</v>
      </c>
      <c r="B36">
        <v>775</v>
      </c>
      <c r="C36" s="1">
        <v>46043</v>
      </c>
      <c r="D36">
        <v>18695</v>
      </c>
      <c r="E36">
        <v>44595</v>
      </c>
      <c r="F36" s="1">
        <v>45681</v>
      </c>
      <c r="G36" s="21" t="s">
        <v>15</v>
      </c>
      <c r="H36" s="21" t="s">
        <v>15</v>
      </c>
      <c r="I36" s="21" t="s">
        <v>16</v>
      </c>
      <c r="J36">
        <v>1</v>
      </c>
    </row>
    <row r="37" spans="1:10" x14ac:dyDescent="0.35">
      <c r="A37" s="21" t="s">
        <v>81</v>
      </c>
      <c r="B37">
        <v>775</v>
      </c>
      <c r="C37" s="1">
        <v>46029</v>
      </c>
      <c r="D37">
        <v>18418</v>
      </c>
      <c r="E37">
        <v>44298</v>
      </c>
      <c r="F37" s="1">
        <v>45050</v>
      </c>
      <c r="G37" s="21" t="s">
        <v>15</v>
      </c>
      <c r="H37" s="21" t="s">
        <v>12</v>
      </c>
      <c r="I37" s="21" t="s">
        <v>16</v>
      </c>
      <c r="J37">
        <v>1</v>
      </c>
    </row>
    <row r="38" spans="1:10" x14ac:dyDescent="0.35">
      <c r="A38" s="21" t="s">
        <v>82</v>
      </c>
      <c r="B38">
        <v>775</v>
      </c>
      <c r="C38" s="1">
        <v>46055</v>
      </c>
      <c r="D38">
        <v>18845</v>
      </c>
      <c r="E38">
        <v>44817</v>
      </c>
      <c r="F38" s="1">
        <v>46055</v>
      </c>
      <c r="G38" s="21" t="s">
        <v>15</v>
      </c>
      <c r="H38" s="21" t="s">
        <v>12</v>
      </c>
      <c r="I38" s="21" t="s">
        <v>16</v>
      </c>
      <c r="J38">
        <v>2</v>
      </c>
    </row>
    <row r="39" spans="1:10" x14ac:dyDescent="0.35">
      <c r="A39" s="21" t="s">
        <v>122</v>
      </c>
      <c r="B39">
        <v>775</v>
      </c>
      <c r="C39" s="1">
        <v>46056</v>
      </c>
      <c r="D39">
        <v>18862</v>
      </c>
      <c r="E39">
        <v>44835</v>
      </c>
      <c r="F39" s="1">
        <v>46056</v>
      </c>
      <c r="G39" s="21" t="s">
        <v>15</v>
      </c>
      <c r="H39" s="21" t="s">
        <v>12</v>
      </c>
      <c r="I39" s="21" t="s">
        <v>16</v>
      </c>
      <c r="J39">
        <v>2</v>
      </c>
    </row>
    <row r="40" spans="1:10" x14ac:dyDescent="0.35">
      <c r="A40" s="21" t="s">
        <v>83</v>
      </c>
      <c r="B40">
        <v>775</v>
      </c>
      <c r="C40" s="1">
        <v>46050</v>
      </c>
      <c r="D40">
        <v>18774</v>
      </c>
      <c r="E40">
        <v>44713</v>
      </c>
      <c r="F40" s="1">
        <v>46050</v>
      </c>
      <c r="G40" s="21" t="s">
        <v>15</v>
      </c>
      <c r="H40" s="21" t="s">
        <v>68</v>
      </c>
      <c r="I40" s="21" t="s">
        <v>16</v>
      </c>
      <c r="J40">
        <v>1</v>
      </c>
    </row>
    <row r="41" spans="1:10" x14ac:dyDescent="0.35">
      <c r="A41" s="21" t="s">
        <v>182</v>
      </c>
      <c r="B41">
        <v>775</v>
      </c>
      <c r="C41" s="1">
        <v>46105</v>
      </c>
      <c r="D41">
        <v>19406</v>
      </c>
      <c r="E41">
        <v>45756</v>
      </c>
      <c r="F41" s="1">
        <v>44577</v>
      </c>
      <c r="G41" s="21" t="s">
        <v>15</v>
      </c>
      <c r="H41" s="21" t="s">
        <v>12</v>
      </c>
      <c r="I41" s="21" t="s">
        <v>16</v>
      </c>
      <c r="J41">
        <v>3</v>
      </c>
    </row>
    <row r="42" spans="1:10" x14ac:dyDescent="0.35">
      <c r="A42" s="21" t="s">
        <v>185</v>
      </c>
      <c r="B42">
        <v>775</v>
      </c>
      <c r="C42" s="1">
        <v>46100</v>
      </c>
      <c r="D42">
        <v>19359</v>
      </c>
      <c r="E42">
        <v>45652</v>
      </c>
      <c r="F42" s="1">
        <v>46100</v>
      </c>
      <c r="G42" s="21" t="s">
        <v>15</v>
      </c>
      <c r="H42" s="21" t="s">
        <v>12</v>
      </c>
      <c r="I42" s="21" t="s">
        <v>16</v>
      </c>
      <c r="J42">
        <v>3</v>
      </c>
    </row>
    <row r="43" spans="1:10" x14ac:dyDescent="0.35">
      <c r="A43" s="21" t="s">
        <v>189</v>
      </c>
      <c r="B43">
        <v>775</v>
      </c>
      <c r="C43" s="1">
        <v>46111</v>
      </c>
      <c r="D43">
        <v>19470</v>
      </c>
      <c r="E43">
        <v>45856</v>
      </c>
      <c r="F43" s="1">
        <v>43922</v>
      </c>
      <c r="G43" s="21" t="s">
        <v>15</v>
      </c>
      <c r="H43" s="21" t="s">
        <v>12</v>
      </c>
      <c r="I43" s="21" t="s">
        <v>16</v>
      </c>
      <c r="J43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3974-A8E8-4844-A4CA-EBDCF32C2A01}">
  <dimension ref="B1:I34"/>
  <sheetViews>
    <sheetView topLeftCell="A7" workbookViewId="0">
      <selection activeCell="C19" sqref="C19"/>
    </sheetView>
  </sheetViews>
  <sheetFormatPr defaultRowHeight="14.5" x14ac:dyDescent="0.35"/>
  <cols>
    <col min="1" max="1" width="15.453125" bestFit="1" customWidth="1"/>
    <col min="2" max="2" width="17" bestFit="1" customWidth="1"/>
    <col min="3" max="3" width="19.81640625" bestFit="1" customWidth="1"/>
    <col min="4" max="5" width="8.81640625" bestFit="1" customWidth="1"/>
    <col min="6" max="6" width="10.36328125" bestFit="1" customWidth="1"/>
    <col min="7" max="7" width="24.6328125" bestFit="1" customWidth="1"/>
    <col min="8" max="8" width="12.1796875" bestFit="1" customWidth="1"/>
    <col min="9" max="9" width="9.90625" bestFit="1" customWidth="1"/>
    <col min="10" max="10" width="8.81640625" bestFit="1" customWidth="1"/>
    <col min="11" max="11" width="10.36328125" bestFit="1" customWidth="1"/>
    <col min="12" max="12" width="9.26953125" bestFit="1" customWidth="1"/>
    <col min="13" max="13" width="11.08984375" bestFit="1" customWidth="1"/>
    <col min="14" max="22" width="9.26953125" bestFit="1" customWidth="1"/>
    <col min="23" max="23" width="31" bestFit="1" customWidth="1"/>
    <col min="24" max="24" width="15.6328125" bestFit="1" customWidth="1"/>
    <col min="25" max="26" width="4.81640625" bestFit="1" customWidth="1"/>
    <col min="27" max="27" width="7.81640625" bestFit="1" customWidth="1"/>
    <col min="28" max="30" width="4.81640625" bestFit="1" customWidth="1"/>
    <col min="31" max="31" width="7.81640625" bestFit="1" customWidth="1"/>
    <col min="32" max="43" width="5.81640625" bestFit="1" customWidth="1"/>
    <col min="44" max="44" width="10.36328125" bestFit="1" customWidth="1"/>
    <col min="45" max="45" width="11" bestFit="1" customWidth="1"/>
    <col min="46" max="46" width="13.81640625" bestFit="1" customWidth="1"/>
    <col min="47" max="47" width="10" bestFit="1" customWidth="1"/>
    <col min="48" max="48" width="12.7265625" bestFit="1" customWidth="1"/>
    <col min="49" max="49" width="10" bestFit="1" customWidth="1"/>
    <col min="50" max="50" width="12.7265625" bestFit="1" customWidth="1"/>
    <col min="51" max="51" width="10" bestFit="1" customWidth="1"/>
    <col min="52" max="52" width="12.7265625" bestFit="1" customWidth="1"/>
    <col min="53" max="53" width="11" bestFit="1" customWidth="1"/>
    <col min="54" max="54" width="13.81640625" bestFit="1" customWidth="1"/>
    <col min="55" max="55" width="11" bestFit="1" customWidth="1"/>
    <col min="56" max="56" width="13.81640625" bestFit="1" customWidth="1"/>
    <col min="57" max="57" width="11" bestFit="1" customWidth="1"/>
    <col min="58" max="58" width="13.81640625" bestFit="1" customWidth="1"/>
    <col min="59" max="59" width="11" bestFit="1" customWidth="1"/>
    <col min="60" max="60" width="13.81640625" bestFit="1" customWidth="1"/>
    <col min="61" max="61" width="11" bestFit="1" customWidth="1"/>
    <col min="62" max="62" width="13.81640625" bestFit="1" customWidth="1"/>
    <col min="63" max="63" width="11" bestFit="1" customWidth="1"/>
    <col min="64" max="64" width="13.81640625" bestFit="1" customWidth="1"/>
    <col min="65" max="65" width="11" bestFit="1" customWidth="1"/>
    <col min="66" max="66" width="13.81640625" bestFit="1" customWidth="1"/>
    <col min="67" max="67" width="11" bestFit="1" customWidth="1"/>
    <col min="68" max="68" width="13.81640625" bestFit="1" customWidth="1"/>
    <col min="69" max="69" width="11" bestFit="1" customWidth="1"/>
    <col min="70" max="70" width="13.81640625" bestFit="1" customWidth="1"/>
    <col min="71" max="71" width="11" bestFit="1" customWidth="1"/>
    <col min="72" max="72" width="13.81640625" bestFit="1" customWidth="1"/>
    <col min="73" max="73" width="11" bestFit="1" customWidth="1"/>
    <col min="74" max="74" width="13.81640625" bestFit="1" customWidth="1"/>
    <col min="75" max="75" width="11" bestFit="1" customWidth="1"/>
    <col min="76" max="76" width="13.81640625" bestFit="1" customWidth="1"/>
    <col min="77" max="77" width="11" bestFit="1" customWidth="1"/>
    <col min="78" max="78" width="13.81640625" bestFit="1" customWidth="1"/>
    <col min="79" max="79" width="11" bestFit="1" customWidth="1"/>
    <col min="80" max="80" width="13.81640625" bestFit="1" customWidth="1"/>
    <col min="81" max="81" width="10" bestFit="1" customWidth="1"/>
    <col min="82" max="82" width="12.7265625" bestFit="1" customWidth="1"/>
    <col min="83" max="83" width="10" bestFit="1" customWidth="1"/>
    <col min="84" max="84" width="12.7265625" bestFit="1" customWidth="1"/>
    <col min="85" max="85" width="10" bestFit="1" customWidth="1"/>
    <col min="86" max="86" width="12.7265625" bestFit="1" customWidth="1"/>
    <col min="87" max="87" width="10" bestFit="1" customWidth="1"/>
    <col min="88" max="88" width="12.7265625" bestFit="1" customWidth="1"/>
    <col min="89" max="89" width="10" bestFit="1" customWidth="1"/>
    <col min="90" max="90" width="12.7265625" bestFit="1" customWidth="1"/>
    <col min="91" max="91" width="11" bestFit="1" customWidth="1"/>
    <col min="92" max="92" width="13.81640625" bestFit="1" customWidth="1"/>
    <col min="93" max="93" width="11" bestFit="1" customWidth="1"/>
    <col min="94" max="94" width="13.81640625" bestFit="1" customWidth="1"/>
    <col min="95" max="95" width="11" bestFit="1" customWidth="1"/>
    <col min="96" max="96" width="13.81640625" bestFit="1" customWidth="1"/>
    <col min="97" max="97" width="11" bestFit="1" customWidth="1"/>
    <col min="98" max="98" width="13.81640625" bestFit="1" customWidth="1"/>
    <col min="99" max="99" width="11" bestFit="1" customWidth="1"/>
    <col min="100" max="100" width="13.81640625" bestFit="1" customWidth="1"/>
    <col min="101" max="101" width="11" bestFit="1" customWidth="1"/>
    <col min="102" max="102" width="13.81640625" bestFit="1" customWidth="1"/>
    <col min="103" max="103" width="11" bestFit="1" customWidth="1"/>
    <col min="104" max="104" width="13.81640625" bestFit="1" customWidth="1"/>
    <col min="105" max="105" width="11" bestFit="1" customWidth="1"/>
    <col min="106" max="106" width="13.81640625" bestFit="1" customWidth="1"/>
    <col min="107" max="107" width="11" bestFit="1" customWidth="1"/>
    <col min="108" max="108" width="13.81640625" bestFit="1" customWidth="1"/>
    <col min="109" max="109" width="11" bestFit="1" customWidth="1"/>
    <col min="110" max="110" width="13.81640625" bestFit="1" customWidth="1"/>
    <col min="111" max="111" width="11" bestFit="1" customWidth="1"/>
    <col min="112" max="112" width="13.81640625" bestFit="1" customWidth="1"/>
    <col min="113" max="113" width="11" bestFit="1" customWidth="1"/>
    <col min="114" max="114" width="13.81640625" bestFit="1" customWidth="1"/>
    <col min="115" max="115" width="11" bestFit="1" customWidth="1"/>
    <col min="116" max="116" width="13.81640625" bestFit="1" customWidth="1"/>
    <col min="117" max="117" width="11" bestFit="1" customWidth="1"/>
    <col min="118" max="118" width="13.81640625" bestFit="1" customWidth="1"/>
    <col min="119" max="119" width="11" bestFit="1" customWidth="1"/>
    <col min="120" max="120" width="13.81640625" bestFit="1" customWidth="1"/>
    <col min="121" max="121" width="11" bestFit="1" customWidth="1"/>
    <col min="122" max="122" width="13.81640625" bestFit="1" customWidth="1"/>
    <col min="123" max="123" width="11" bestFit="1" customWidth="1"/>
    <col min="124" max="124" width="13.81640625" bestFit="1" customWidth="1"/>
    <col min="125" max="125" width="10.36328125" bestFit="1" customWidth="1"/>
  </cols>
  <sheetData>
    <row r="1" spans="2:9" x14ac:dyDescent="0.35">
      <c r="B1" s="2" t="s">
        <v>9</v>
      </c>
      <c r="C1" t="s">
        <v>108</v>
      </c>
    </row>
    <row r="3" spans="2:9" x14ac:dyDescent="0.35">
      <c r="B3" s="2" t="s">
        <v>31</v>
      </c>
      <c r="C3" s="2" t="s">
        <v>66</v>
      </c>
      <c r="G3" t="str">
        <f>"Affiliate Dues Total: "&amp;TEXT(GETPIVOTDATA("Total",$B$4),"$#,###")</f>
        <v>Affiliate Dues Total: $159,438</v>
      </c>
      <c r="H3" s="6">
        <f>GETPIVOTDATA("Total",$B$4)</f>
        <v>159437.93</v>
      </c>
      <c r="I3" t="str">
        <f>CONCATENATE("Affiliate: ",COUNTIF(B:B,"HL7*"))</f>
        <v>Affiliate: 27</v>
      </c>
    </row>
    <row r="4" spans="2:9" x14ac:dyDescent="0.35">
      <c r="C4" t="s">
        <v>65</v>
      </c>
      <c r="D4" t="s">
        <v>194</v>
      </c>
      <c r="E4" t="s">
        <v>265</v>
      </c>
      <c r="F4" t="s">
        <v>30</v>
      </c>
    </row>
    <row r="6" spans="2:9" x14ac:dyDescent="0.35">
      <c r="B6" s="2" t="s">
        <v>29</v>
      </c>
    </row>
    <row r="7" spans="2:9" x14ac:dyDescent="0.35">
      <c r="B7" s="3" t="s">
        <v>106</v>
      </c>
      <c r="C7" s="21">
        <v>1000</v>
      </c>
      <c r="D7" s="21"/>
      <c r="E7" s="21"/>
      <c r="F7" s="21">
        <v>1000</v>
      </c>
    </row>
    <row r="8" spans="2:9" x14ac:dyDescent="0.35">
      <c r="B8" s="3" t="s">
        <v>109</v>
      </c>
      <c r="C8" s="21">
        <v>8456.1</v>
      </c>
      <c r="D8" s="21"/>
      <c r="E8" s="21"/>
      <c r="F8" s="21">
        <v>8456.1</v>
      </c>
    </row>
    <row r="9" spans="2:9" x14ac:dyDescent="0.35">
      <c r="B9" s="3" t="s">
        <v>138</v>
      </c>
      <c r="C9" s="21"/>
      <c r="D9" s="21">
        <v>11621</v>
      </c>
      <c r="E9" s="21"/>
      <c r="F9" s="21">
        <v>11621</v>
      </c>
    </row>
    <row r="10" spans="2:9" x14ac:dyDescent="0.35">
      <c r="B10" s="3" t="s">
        <v>140</v>
      </c>
      <c r="C10" s="21"/>
      <c r="D10" s="21">
        <v>1463.4</v>
      </c>
      <c r="E10" s="21"/>
      <c r="F10" s="21">
        <v>1463.4</v>
      </c>
    </row>
    <row r="11" spans="2:9" x14ac:dyDescent="0.35">
      <c r="B11" s="3" t="s">
        <v>142</v>
      </c>
      <c r="C11" s="21"/>
      <c r="D11" s="21">
        <v>2562</v>
      </c>
      <c r="E11" s="21"/>
      <c r="F11" s="21">
        <v>2562</v>
      </c>
    </row>
    <row r="12" spans="2:9" x14ac:dyDescent="0.35">
      <c r="B12" s="3" t="s">
        <v>143</v>
      </c>
      <c r="C12" s="21"/>
      <c r="D12" s="21">
        <v>1000</v>
      </c>
      <c r="E12" s="21"/>
      <c r="F12" s="21">
        <v>1000</v>
      </c>
    </row>
    <row r="13" spans="2:9" x14ac:dyDescent="0.35">
      <c r="B13" s="3" t="s">
        <v>145</v>
      </c>
      <c r="C13" s="21"/>
      <c r="D13" s="21">
        <v>1000</v>
      </c>
      <c r="E13" s="21"/>
      <c r="F13" s="21">
        <v>1000</v>
      </c>
    </row>
    <row r="14" spans="2:9" x14ac:dyDescent="0.35">
      <c r="B14" s="3" t="s">
        <v>147</v>
      </c>
      <c r="C14" s="21"/>
      <c r="D14" s="21">
        <v>2016.29</v>
      </c>
      <c r="E14" s="21"/>
      <c r="F14" s="21">
        <v>2016.29</v>
      </c>
    </row>
    <row r="15" spans="2:9" x14ac:dyDescent="0.35">
      <c r="B15" s="3" t="s">
        <v>149</v>
      </c>
      <c r="C15" s="21"/>
      <c r="D15" s="21">
        <v>8050</v>
      </c>
      <c r="E15" s="21"/>
      <c r="F15" s="21">
        <v>8050</v>
      </c>
    </row>
    <row r="16" spans="2:9" x14ac:dyDescent="0.35">
      <c r="B16" s="3" t="s">
        <v>150</v>
      </c>
      <c r="C16" s="21"/>
      <c r="D16" s="21">
        <v>23939.83</v>
      </c>
      <c r="E16" s="21"/>
      <c r="F16" s="21">
        <v>23939.83</v>
      </c>
    </row>
    <row r="17" spans="2:6" x14ac:dyDescent="0.35">
      <c r="B17" s="3" t="s">
        <v>152</v>
      </c>
      <c r="C17" s="21"/>
      <c r="D17" s="21">
        <v>1000</v>
      </c>
      <c r="E17" s="21"/>
      <c r="F17" s="21">
        <v>1000</v>
      </c>
    </row>
    <row r="18" spans="2:6" x14ac:dyDescent="0.35">
      <c r="B18" s="3" t="s">
        <v>154</v>
      </c>
      <c r="C18" s="21"/>
      <c r="D18" s="21">
        <v>1215</v>
      </c>
      <c r="E18" s="21"/>
      <c r="F18" s="21">
        <v>1215</v>
      </c>
    </row>
    <row r="19" spans="2:6" x14ac:dyDescent="0.35">
      <c r="B19" s="3" t="s">
        <v>156</v>
      </c>
      <c r="C19" s="21"/>
      <c r="D19" s="21">
        <v>9344.16</v>
      </c>
      <c r="E19" s="21"/>
      <c r="F19" s="21">
        <v>9344.16</v>
      </c>
    </row>
    <row r="20" spans="2:6" x14ac:dyDescent="0.35">
      <c r="B20" s="3" t="s">
        <v>208</v>
      </c>
      <c r="C20" s="21"/>
      <c r="D20" s="21">
        <v>1000</v>
      </c>
      <c r="E20" s="21"/>
      <c r="F20" s="21">
        <v>1000</v>
      </c>
    </row>
    <row r="21" spans="2:6" x14ac:dyDescent="0.35">
      <c r="B21" s="3" t="s">
        <v>210</v>
      </c>
      <c r="C21" s="21"/>
      <c r="D21" s="21"/>
      <c r="E21" s="21">
        <v>1400</v>
      </c>
      <c r="F21" s="21">
        <v>1400</v>
      </c>
    </row>
    <row r="22" spans="2:6" x14ac:dyDescent="0.35">
      <c r="B22" s="3" t="s">
        <v>212</v>
      </c>
      <c r="C22" s="21"/>
      <c r="D22" s="21"/>
      <c r="E22" s="21">
        <v>6194</v>
      </c>
      <c r="F22" s="21">
        <v>6194</v>
      </c>
    </row>
    <row r="23" spans="2:6" x14ac:dyDescent="0.35">
      <c r="B23" s="3" t="s">
        <v>214</v>
      </c>
      <c r="C23" s="21"/>
      <c r="D23" s="21"/>
      <c r="E23" s="21">
        <v>12735.05</v>
      </c>
      <c r="F23" s="21">
        <v>12735.05</v>
      </c>
    </row>
    <row r="24" spans="2:6" x14ac:dyDescent="0.35">
      <c r="B24" s="3" t="s">
        <v>215</v>
      </c>
      <c r="C24" s="21"/>
      <c r="D24" s="21"/>
      <c r="E24" s="21">
        <v>27204.35</v>
      </c>
      <c r="F24" s="21">
        <v>27204.35</v>
      </c>
    </row>
    <row r="25" spans="2:6" x14ac:dyDescent="0.35">
      <c r="B25" s="3" t="s">
        <v>217</v>
      </c>
      <c r="C25" s="21"/>
      <c r="D25" s="21">
        <v>13441.75</v>
      </c>
      <c r="E25" s="21"/>
      <c r="F25" s="21">
        <v>13441.75</v>
      </c>
    </row>
    <row r="26" spans="2:6" x14ac:dyDescent="0.35">
      <c r="B26" s="3" t="s">
        <v>219</v>
      </c>
      <c r="C26" s="21"/>
      <c r="D26" s="21"/>
      <c r="E26" s="21">
        <v>1545</v>
      </c>
      <c r="F26" s="21">
        <v>1545</v>
      </c>
    </row>
    <row r="27" spans="2:6" x14ac:dyDescent="0.35">
      <c r="B27" s="3" t="s">
        <v>221</v>
      </c>
      <c r="C27" s="21"/>
      <c r="D27" s="21"/>
      <c r="E27" s="21">
        <v>1674</v>
      </c>
      <c r="F27" s="21">
        <v>1674</v>
      </c>
    </row>
    <row r="28" spans="2:6" x14ac:dyDescent="0.35">
      <c r="B28" s="3" t="s">
        <v>223</v>
      </c>
      <c r="C28" s="21"/>
      <c r="D28" s="21"/>
      <c r="E28" s="21">
        <v>1000</v>
      </c>
      <c r="F28" s="21">
        <v>1000</v>
      </c>
    </row>
    <row r="29" spans="2:6" x14ac:dyDescent="0.35">
      <c r="B29" s="3" t="s">
        <v>225</v>
      </c>
      <c r="C29" s="21"/>
      <c r="D29" s="21"/>
      <c r="E29" s="21">
        <v>1000</v>
      </c>
      <c r="F29" s="21">
        <v>1000</v>
      </c>
    </row>
    <row r="30" spans="2:6" x14ac:dyDescent="0.35">
      <c r="B30" s="3" t="s">
        <v>227</v>
      </c>
      <c r="C30" s="21"/>
      <c r="D30" s="21"/>
      <c r="E30" s="21">
        <v>1000</v>
      </c>
      <c r="F30" s="21">
        <v>1000</v>
      </c>
    </row>
    <row r="31" spans="2:6" x14ac:dyDescent="0.35">
      <c r="B31" s="3" t="s">
        <v>229</v>
      </c>
      <c r="C31" s="21"/>
      <c r="D31" s="21"/>
      <c r="E31" s="21">
        <v>2351</v>
      </c>
      <c r="F31" s="21">
        <v>2351</v>
      </c>
    </row>
    <row r="32" spans="2:6" x14ac:dyDescent="0.35">
      <c r="B32" s="3" t="s">
        <v>231</v>
      </c>
      <c r="C32" s="21"/>
      <c r="D32" s="21"/>
      <c r="E32" s="21">
        <v>15225</v>
      </c>
      <c r="F32" s="21">
        <v>15225</v>
      </c>
    </row>
    <row r="33" spans="2:6" x14ac:dyDescent="0.35">
      <c r="B33" s="3" t="s">
        <v>232</v>
      </c>
      <c r="C33" s="21"/>
      <c r="D33" s="21"/>
      <c r="E33" s="21">
        <v>1000</v>
      </c>
      <c r="F33" s="21">
        <v>1000</v>
      </c>
    </row>
    <row r="34" spans="2:6" x14ac:dyDescent="0.35">
      <c r="B34" s="3" t="s">
        <v>30</v>
      </c>
      <c r="C34" s="21">
        <v>9456.1</v>
      </c>
      <c r="D34" s="21">
        <v>77653.430000000008</v>
      </c>
      <c r="E34" s="21">
        <v>72328.399999999994</v>
      </c>
      <c r="F34" s="21">
        <v>159437.93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DAF-B02C-40CF-B141-F7BABE9F7DA3}">
  <dimension ref="A1:N174"/>
  <sheetViews>
    <sheetView topLeftCell="G22" workbookViewId="0">
      <selection activeCell="G6" sqref="G6"/>
    </sheetView>
  </sheetViews>
  <sheetFormatPr defaultRowHeight="14.5" x14ac:dyDescent="0.35"/>
  <cols>
    <col min="1" max="1" width="61.816406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8" bestFit="1" customWidth="1"/>
    <col min="9" max="9" width="23.1796875" bestFit="1" customWidth="1"/>
    <col min="10" max="10" width="12.90625" bestFit="1" customWidth="1"/>
    <col min="11" max="11" width="14.90625" bestFit="1" customWidth="1"/>
    <col min="12" max="12" width="20.81640625" bestFit="1" customWidth="1"/>
    <col min="13" max="13" width="12.453125" bestFit="1" customWidth="1"/>
    <col min="14" max="14" width="20.269531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32</v>
      </c>
    </row>
    <row r="2" spans="1:14" x14ac:dyDescent="0.35">
      <c r="A2" s="21"/>
      <c r="C2" s="1"/>
      <c r="F2" s="1"/>
      <c r="G2" s="21"/>
      <c r="H2" s="21"/>
      <c r="I2" s="21"/>
    </row>
    <row r="3" spans="1:14" x14ac:dyDescent="0.35">
      <c r="A3" s="21" t="s">
        <v>95</v>
      </c>
      <c r="C3" s="1"/>
      <c r="F3" s="1"/>
      <c r="G3" s="21"/>
      <c r="H3" s="21"/>
      <c r="I3" s="21"/>
    </row>
    <row r="4" spans="1:14" x14ac:dyDescent="0.35">
      <c r="A4" s="21" t="s">
        <v>96</v>
      </c>
      <c r="C4" s="1"/>
      <c r="F4" s="1"/>
      <c r="G4" s="21"/>
      <c r="H4" s="21"/>
      <c r="I4" s="21"/>
    </row>
    <row r="5" spans="1:14" x14ac:dyDescent="0.35">
      <c r="A5" s="21" t="s">
        <v>161</v>
      </c>
      <c r="B5">
        <v>75</v>
      </c>
      <c r="C5" s="1">
        <v>46094</v>
      </c>
      <c r="D5">
        <v>19292</v>
      </c>
      <c r="E5">
        <v>45526</v>
      </c>
      <c r="F5" s="1">
        <v>46023</v>
      </c>
      <c r="G5" s="21" t="s">
        <v>15</v>
      </c>
      <c r="H5" s="21" t="s">
        <v>12</v>
      </c>
      <c r="I5" s="21" t="s">
        <v>162</v>
      </c>
      <c r="J5">
        <v>3</v>
      </c>
      <c r="K5" t="s">
        <v>33</v>
      </c>
    </row>
    <row r="6" spans="1:14" x14ac:dyDescent="0.35">
      <c r="A6" s="21" t="s">
        <v>98</v>
      </c>
      <c r="B6">
        <v>100</v>
      </c>
      <c r="C6" s="1">
        <v>46069</v>
      </c>
      <c r="D6">
        <v>18946</v>
      </c>
      <c r="E6">
        <v>44978</v>
      </c>
      <c r="F6" s="1">
        <v>44927</v>
      </c>
      <c r="G6" s="21" t="s">
        <v>15</v>
      </c>
      <c r="H6" s="21" t="s">
        <v>12</v>
      </c>
      <c r="I6" s="21" t="s">
        <v>99</v>
      </c>
      <c r="J6">
        <v>2</v>
      </c>
      <c r="K6" t="s">
        <v>33</v>
      </c>
      <c r="M6" s="2" t="s">
        <v>29</v>
      </c>
      <c r="N6" t="s">
        <v>38</v>
      </c>
    </row>
    <row r="7" spans="1:14" x14ac:dyDescent="0.35">
      <c r="A7" s="21" t="s">
        <v>113</v>
      </c>
      <c r="B7">
        <v>100</v>
      </c>
      <c r="C7" s="1">
        <v>46064</v>
      </c>
      <c r="D7">
        <v>18927</v>
      </c>
      <c r="E7">
        <v>44951</v>
      </c>
      <c r="F7" s="1">
        <v>35065</v>
      </c>
      <c r="G7" s="21" t="s">
        <v>15</v>
      </c>
      <c r="H7" s="21" t="s">
        <v>12</v>
      </c>
      <c r="I7" s="21" t="s">
        <v>99</v>
      </c>
      <c r="J7">
        <v>2</v>
      </c>
      <c r="K7" t="s">
        <v>34</v>
      </c>
      <c r="M7" s="3" t="s">
        <v>33</v>
      </c>
      <c r="N7">
        <v>23</v>
      </c>
    </row>
    <row r="8" spans="1:14" x14ac:dyDescent="0.35">
      <c r="A8" s="21" t="s">
        <v>67</v>
      </c>
      <c r="B8">
        <v>460.04</v>
      </c>
      <c r="C8" s="1">
        <v>46031</v>
      </c>
      <c r="D8">
        <v>18491</v>
      </c>
      <c r="E8">
        <v>44373</v>
      </c>
      <c r="F8" s="1">
        <v>45658</v>
      </c>
      <c r="G8" s="21" t="s">
        <v>17</v>
      </c>
      <c r="H8" s="21" t="s">
        <v>12</v>
      </c>
      <c r="I8" s="21" t="s">
        <v>18</v>
      </c>
      <c r="J8">
        <v>1</v>
      </c>
      <c r="K8" t="s">
        <v>33</v>
      </c>
      <c r="M8" s="3" t="s">
        <v>36</v>
      </c>
      <c r="N8">
        <v>11</v>
      </c>
    </row>
    <row r="9" spans="1:14" x14ac:dyDescent="0.35">
      <c r="A9" s="21" t="s">
        <v>28</v>
      </c>
      <c r="B9">
        <v>775</v>
      </c>
      <c r="C9" s="1">
        <v>46033</v>
      </c>
      <c r="D9">
        <v>18551</v>
      </c>
      <c r="E9">
        <v>44438</v>
      </c>
      <c r="F9" s="1">
        <v>45292</v>
      </c>
      <c r="G9" s="21" t="s">
        <v>15</v>
      </c>
      <c r="H9" s="21" t="s">
        <v>15</v>
      </c>
      <c r="I9" s="21" t="s">
        <v>16</v>
      </c>
      <c r="J9">
        <v>1</v>
      </c>
      <c r="K9" t="s">
        <v>33</v>
      </c>
      <c r="M9" s="3" t="s">
        <v>37</v>
      </c>
      <c r="N9">
        <v>7</v>
      </c>
    </row>
    <row r="10" spans="1:14" x14ac:dyDescent="0.35">
      <c r="A10" s="21" t="s">
        <v>55</v>
      </c>
      <c r="B10">
        <v>775</v>
      </c>
      <c r="C10" s="1">
        <v>46027</v>
      </c>
      <c r="D10">
        <v>18371</v>
      </c>
      <c r="E10">
        <v>44227</v>
      </c>
      <c r="F10" s="1">
        <v>44197</v>
      </c>
      <c r="G10" s="21" t="s">
        <v>15</v>
      </c>
      <c r="H10" s="21" t="s">
        <v>12</v>
      </c>
      <c r="I10" s="21" t="s">
        <v>16</v>
      </c>
      <c r="J10">
        <v>1</v>
      </c>
      <c r="K10" t="s">
        <v>37</v>
      </c>
      <c r="M10" s="3" t="s">
        <v>35</v>
      </c>
      <c r="N10">
        <v>9</v>
      </c>
    </row>
    <row r="11" spans="1:14" x14ac:dyDescent="0.35">
      <c r="A11" s="21" t="s">
        <v>130</v>
      </c>
      <c r="B11">
        <v>775</v>
      </c>
      <c r="C11" s="1">
        <v>46107</v>
      </c>
      <c r="D11">
        <v>19433</v>
      </c>
      <c r="E11">
        <v>45787</v>
      </c>
      <c r="F11" s="1">
        <v>46023</v>
      </c>
      <c r="G11" s="21" t="s">
        <v>15</v>
      </c>
      <c r="H11" s="21" t="s">
        <v>12</v>
      </c>
      <c r="I11" s="21" t="s">
        <v>16</v>
      </c>
      <c r="J11">
        <v>3</v>
      </c>
      <c r="K11" t="s">
        <v>33</v>
      </c>
      <c r="M11" s="3" t="s">
        <v>34</v>
      </c>
      <c r="N11">
        <v>11</v>
      </c>
    </row>
    <row r="12" spans="1:14" x14ac:dyDescent="0.35">
      <c r="A12" s="21" t="s">
        <v>69</v>
      </c>
      <c r="B12">
        <v>775</v>
      </c>
      <c r="C12" s="1">
        <v>46034</v>
      </c>
      <c r="D12">
        <v>18605</v>
      </c>
      <c r="E12">
        <v>44503</v>
      </c>
      <c r="F12" s="1">
        <v>46023</v>
      </c>
      <c r="G12" s="21" t="s">
        <v>15</v>
      </c>
      <c r="H12" s="21" t="s">
        <v>20</v>
      </c>
      <c r="I12" s="21" t="s">
        <v>16</v>
      </c>
      <c r="J12">
        <v>1</v>
      </c>
      <c r="K12" t="s">
        <v>33</v>
      </c>
      <c r="M12" s="3" t="s">
        <v>126</v>
      </c>
    </row>
    <row r="13" spans="1:14" x14ac:dyDescent="0.35">
      <c r="A13" s="21" t="s">
        <v>132</v>
      </c>
      <c r="B13">
        <v>775</v>
      </c>
      <c r="C13" s="1">
        <v>46104</v>
      </c>
      <c r="D13">
        <v>19400</v>
      </c>
      <c r="E13">
        <v>45749</v>
      </c>
      <c r="F13" s="1">
        <v>46023</v>
      </c>
      <c r="G13" s="21" t="s">
        <v>15</v>
      </c>
      <c r="H13" s="21" t="s">
        <v>12</v>
      </c>
      <c r="I13" s="21" t="s">
        <v>16</v>
      </c>
      <c r="J13">
        <v>3</v>
      </c>
      <c r="K13" t="s">
        <v>33</v>
      </c>
      <c r="M13" s="3" t="s">
        <v>30</v>
      </c>
      <c r="N13">
        <v>61</v>
      </c>
    </row>
    <row r="14" spans="1:14" x14ac:dyDescent="0.35">
      <c r="A14" s="21" t="s">
        <v>202</v>
      </c>
      <c r="B14">
        <v>775</v>
      </c>
      <c r="C14" s="1">
        <v>46120</v>
      </c>
      <c r="D14">
        <v>19610</v>
      </c>
      <c r="E14">
        <v>46209</v>
      </c>
      <c r="F14" s="1">
        <v>46023</v>
      </c>
      <c r="G14" s="21" t="s">
        <v>15</v>
      </c>
      <c r="H14" s="21" t="s">
        <v>15</v>
      </c>
      <c r="I14" s="21" t="s">
        <v>16</v>
      </c>
      <c r="J14">
        <v>4</v>
      </c>
      <c r="K14" t="s">
        <v>33</v>
      </c>
    </row>
    <row r="15" spans="1:14" x14ac:dyDescent="0.35">
      <c r="A15" s="21" t="s">
        <v>203</v>
      </c>
      <c r="B15">
        <v>775</v>
      </c>
      <c r="C15" s="1">
        <v>46121</v>
      </c>
      <c r="D15">
        <v>19625</v>
      </c>
      <c r="E15">
        <v>46234</v>
      </c>
      <c r="F15" s="1">
        <v>44927</v>
      </c>
      <c r="G15" s="21" t="s">
        <v>0</v>
      </c>
      <c r="H15" s="21" t="s">
        <v>12</v>
      </c>
      <c r="I15" s="21" t="s">
        <v>16</v>
      </c>
      <c r="J15">
        <v>4</v>
      </c>
      <c r="K15" t="s">
        <v>33</v>
      </c>
    </row>
    <row r="16" spans="1:14" x14ac:dyDescent="0.35">
      <c r="A16" s="21" t="s">
        <v>71</v>
      </c>
      <c r="B16">
        <v>775</v>
      </c>
      <c r="C16" s="1">
        <v>46053</v>
      </c>
      <c r="D16">
        <v>18840</v>
      </c>
      <c r="E16">
        <v>44813</v>
      </c>
      <c r="F16" s="1">
        <v>44197</v>
      </c>
      <c r="G16" s="21" t="s">
        <v>15</v>
      </c>
      <c r="H16" s="21" t="s">
        <v>15</v>
      </c>
      <c r="I16" s="21" t="s">
        <v>16</v>
      </c>
      <c r="J16">
        <v>1</v>
      </c>
      <c r="K16" t="s">
        <v>37</v>
      </c>
    </row>
    <row r="17" spans="1:11" x14ac:dyDescent="0.35">
      <c r="A17" s="21" t="s">
        <v>204</v>
      </c>
      <c r="B17">
        <v>775</v>
      </c>
      <c r="C17" s="1">
        <v>46122</v>
      </c>
      <c r="D17">
        <v>19638</v>
      </c>
      <c r="E17">
        <v>46266</v>
      </c>
      <c r="F17" s="1">
        <v>46023</v>
      </c>
      <c r="G17" s="21" t="s">
        <v>15</v>
      </c>
      <c r="H17" s="21" t="s">
        <v>12</v>
      </c>
      <c r="I17" s="21" t="s">
        <v>16</v>
      </c>
      <c r="J17">
        <v>4</v>
      </c>
      <c r="K17" t="s">
        <v>33</v>
      </c>
    </row>
    <row r="18" spans="1:11" x14ac:dyDescent="0.35">
      <c r="A18" s="21" t="s">
        <v>72</v>
      </c>
      <c r="B18">
        <v>775</v>
      </c>
      <c r="C18" s="1">
        <v>46052</v>
      </c>
      <c r="D18">
        <v>18833</v>
      </c>
      <c r="E18">
        <v>44806</v>
      </c>
      <c r="F18" s="1">
        <v>46023</v>
      </c>
      <c r="G18" s="21" t="s">
        <v>15</v>
      </c>
      <c r="H18" s="21" t="s">
        <v>12</v>
      </c>
      <c r="I18" s="21" t="s">
        <v>16</v>
      </c>
      <c r="J18">
        <v>1</v>
      </c>
      <c r="K18" t="s">
        <v>33</v>
      </c>
    </row>
    <row r="19" spans="1:11" x14ac:dyDescent="0.35">
      <c r="A19" s="21" t="s">
        <v>135</v>
      </c>
      <c r="B19">
        <v>775</v>
      </c>
      <c r="C19" s="1">
        <v>46099</v>
      </c>
      <c r="D19">
        <v>19340</v>
      </c>
      <c r="E19">
        <v>45627</v>
      </c>
      <c r="F19" s="1">
        <v>46023</v>
      </c>
      <c r="G19" s="21" t="s">
        <v>15</v>
      </c>
      <c r="H19" s="21" t="s">
        <v>12</v>
      </c>
      <c r="I19" s="21" t="s">
        <v>16</v>
      </c>
      <c r="J19">
        <v>3</v>
      </c>
      <c r="K19" t="s">
        <v>33</v>
      </c>
    </row>
    <row r="20" spans="1:11" x14ac:dyDescent="0.35">
      <c r="A20" s="21" t="s">
        <v>74</v>
      </c>
      <c r="B20">
        <v>775</v>
      </c>
      <c r="C20" s="1">
        <v>46043</v>
      </c>
      <c r="D20">
        <v>18708</v>
      </c>
      <c r="E20">
        <v>44608</v>
      </c>
      <c r="F20" s="1">
        <v>42005</v>
      </c>
      <c r="G20" s="21" t="s">
        <v>17</v>
      </c>
      <c r="H20" s="21" t="s">
        <v>12</v>
      </c>
      <c r="I20" s="21" t="s">
        <v>16</v>
      </c>
      <c r="J20">
        <v>1</v>
      </c>
      <c r="K20" t="s">
        <v>35</v>
      </c>
    </row>
    <row r="21" spans="1:11" x14ac:dyDescent="0.35">
      <c r="A21" s="21" t="s">
        <v>206</v>
      </c>
      <c r="B21">
        <v>775</v>
      </c>
      <c r="C21" s="1">
        <v>46121</v>
      </c>
      <c r="D21">
        <v>19620</v>
      </c>
      <c r="E21">
        <v>46229</v>
      </c>
      <c r="F21" s="1">
        <v>44927</v>
      </c>
      <c r="G21" s="21" t="s">
        <v>15</v>
      </c>
      <c r="H21" s="21" t="s">
        <v>15</v>
      </c>
      <c r="I21" s="21" t="s">
        <v>16</v>
      </c>
      <c r="J21">
        <v>4</v>
      </c>
      <c r="K21" t="s">
        <v>33</v>
      </c>
    </row>
    <row r="22" spans="1:11" x14ac:dyDescent="0.35">
      <c r="A22" s="21" t="s">
        <v>104</v>
      </c>
      <c r="B22">
        <v>775</v>
      </c>
      <c r="C22" s="1">
        <v>46080</v>
      </c>
      <c r="D22">
        <v>19083</v>
      </c>
      <c r="E22">
        <v>45165</v>
      </c>
      <c r="F22" s="1">
        <v>46023</v>
      </c>
      <c r="G22" s="21" t="s">
        <v>15</v>
      </c>
      <c r="H22" s="21" t="s">
        <v>12</v>
      </c>
      <c r="I22" s="21" t="s">
        <v>16</v>
      </c>
      <c r="J22">
        <v>2</v>
      </c>
      <c r="K22" t="s">
        <v>33</v>
      </c>
    </row>
    <row r="23" spans="1:11" x14ac:dyDescent="0.35">
      <c r="A23" s="21" t="s">
        <v>238</v>
      </c>
      <c r="B23">
        <v>775</v>
      </c>
      <c r="C23" s="1">
        <v>46113</v>
      </c>
      <c r="D23">
        <v>19529</v>
      </c>
      <c r="E23">
        <v>45955</v>
      </c>
      <c r="F23" s="1">
        <v>46023</v>
      </c>
      <c r="G23" s="21" t="s">
        <v>15</v>
      </c>
      <c r="H23" s="21" t="s">
        <v>12</v>
      </c>
      <c r="I23" s="21" t="s">
        <v>16</v>
      </c>
      <c r="J23">
        <v>4</v>
      </c>
      <c r="K23" t="s">
        <v>33</v>
      </c>
    </row>
    <row r="24" spans="1:11" x14ac:dyDescent="0.35">
      <c r="A24" s="21" t="s">
        <v>239</v>
      </c>
      <c r="B24">
        <v>775</v>
      </c>
      <c r="C24" s="1">
        <v>46120</v>
      </c>
      <c r="D24">
        <v>19596</v>
      </c>
      <c r="E24">
        <v>46166</v>
      </c>
      <c r="F24" s="1">
        <v>42370</v>
      </c>
      <c r="G24" s="21" t="s">
        <v>15</v>
      </c>
      <c r="H24" s="21" t="s">
        <v>12</v>
      </c>
      <c r="I24" s="21" t="s">
        <v>16</v>
      </c>
      <c r="J24">
        <v>4</v>
      </c>
      <c r="K24" t="s">
        <v>35</v>
      </c>
    </row>
    <row r="25" spans="1:11" x14ac:dyDescent="0.35">
      <c r="A25" s="21" t="s">
        <v>240</v>
      </c>
      <c r="B25">
        <v>775</v>
      </c>
      <c r="C25" s="1">
        <v>46142</v>
      </c>
      <c r="D25">
        <v>19983</v>
      </c>
      <c r="E25">
        <v>47210</v>
      </c>
      <c r="F25" s="1">
        <v>45658</v>
      </c>
      <c r="G25" s="21" t="s">
        <v>15</v>
      </c>
      <c r="H25" s="21" t="s">
        <v>12</v>
      </c>
      <c r="I25" s="21" t="s">
        <v>16</v>
      </c>
      <c r="J25">
        <v>4</v>
      </c>
      <c r="K25" t="s">
        <v>33</v>
      </c>
    </row>
    <row r="26" spans="1:11" x14ac:dyDescent="0.35">
      <c r="A26" s="21" t="s">
        <v>76</v>
      </c>
      <c r="B26">
        <v>775</v>
      </c>
      <c r="C26" s="1">
        <v>46028</v>
      </c>
      <c r="D26">
        <v>18392</v>
      </c>
      <c r="E26">
        <v>44254</v>
      </c>
      <c r="F26" s="1">
        <v>46023</v>
      </c>
      <c r="G26" s="21" t="s">
        <v>15</v>
      </c>
      <c r="H26" s="21" t="s">
        <v>12</v>
      </c>
      <c r="I26" s="21" t="s">
        <v>16</v>
      </c>
      <c r="J26">
        <v>1</v>
      </c>
      <c r="K26" t="s">
        <v>33</v>
      </c>
    </row>
    <row r="27" spans="1:11" x14ac:dyDescent="0.35">
      <c r="A27" s="21" t="s">
        <v>165</v>
      </c>
      <c r="B27">
        <v>775</v>
      </c>
      <c r="C27" s="1">
        <v>46085</v>
      </c>
      <c r="D27">
        <v>19136</v>
      </c>
      <c r="E27">
        <v>45235</v>
      </c>
      <c r="F27" s="1">
        <v>43466</v>
      </c>
      <c r="G27" s="21" t="s">
        <v>15</v>
      </c>
      <c r="H27" s="21" t="s">
        <v>12</v>
      </c>
      <c r="I27" s="21" t="s">
        <v>16</v>
      </c>
      <c r="J27">
        <v>3</v>
      </c>
      <c r="K27" t="s">
        <v>37</v>
      </c>
    </row>
    <row r="28" spans="1:11" x14ac:dyDescent="0.35">
      <c r="A28" s="21" t="s">
        <v>241</v>
      </c>
      <c r="B28">
        <v>775</v>
      </c>
      <c r="C28" s="1">
        <v>46125</v>
      </c>
      <c r="D28">
        <v>19658</v>
      </c>
      <c r="E28">
        <v>46346</v>
      </c>
      <c r="F28" s="1">
        <v>46023</v>
      </c>
      <c r="G28" s="21" t="s">
        <v>15</v>
      </c>
      <c r="H28" s="21" t="s">
        <v>12</v>
      </c>
      <c r="I28" s="21" t="s">
        <v>16</v>
      </c>
      <c r="J28">
        <v>4</v>
      </c>
      <c r="K28" t="s">
        <v>33</v>
      </c>
    </row>
    <row r="29" spans="1:11" x14ac:dyDescent="0.35">
      <c r="A29" s="21" t="s">
        <v>166</v>
      </c>
      <c r="B29">
        <v>775</v>
      </c>
      <c r="C29" s="1">
        <v>46087</v>
      </c>
      <c r="D29">
        <v>19224</v>
      </c>
      <c r="E29">
        <v>45388</v>
      </c>
      <c r="F29" s="1">
        <v>45658</v>
      </c>
      <c r="G29" s="21" t="s">
        <v>15</v>
      </c>
      <c r="H29" s="21" t="s">
        <v>15</v>
      </c>
      <c r="I29" s="21" t="s">
        <v>16</v>
      </c>
      <c r="J29">
        <v>3</v>
      </c>
      <c r="K29" t="s">
        <v>33</v>
      </c>
    </row>
    <row r="30" spans="1:11" x14ac:dyDescent="0.35">
      <c r="A30" s="21" t="s">
        <v>242</v>
      </c>
      <c r="B30">
        <v>775</v>
      </c>
      <c r="C30" s="1">
        <v>46124</v>
      </c>
      <c r="D30">
        <v>19651</v>
      </c>
      <c r="E30">
        <v>46329</v>
      </c>
      <c r="F30" s="1">
        <v>44197</v>
      </c>
      <c r="G30" s="21" t="s">
        <v>15</v>
      </c>
      <c r="H30" s="21" t="s">
        <v>15</v>
      </c>
      <c r="I30" s="21" t="s">
        <v>16</v>
      </c>
      <c r="J30">
        <v>4</v>
      </c>
      <c r="K30" t="s">
        <v>37</v>
      </c>
    </row>
    <row r="31" spans="1:11" x14ac:dyDescent="0.35">
      <c r="A31" s="21" t="s">
        <v>243</v>
      </c>
      <c r="B31">
        <v>775</v>
      </c>
      <c r="C31" s="1">
        <v>46113</v>
      </c>
      <c r="D31">
        <v>19525</v>
      </c>
      <c r="E31">
        <v>45951</v>
      </c>
      <c r="F31" s="1">
        <v>45658</v>
      </c>
      <c r="G31" s="21" t="s">
        <v>15</v>
      </c>
      <c r="H31" s="21" t="s">
        <v>15</v>
      </c>
      <c r="I31" s="21" t="s">
        <v>16</v>
      </c>
      <c r="J31">
        <v>4</v>
      </c>
      <c r="K31" t="s">
        <v>33</v>
      </c>
    </row>
    <row r="32" spans="1:11" x14ac:dyDescent="0.35">
      <c r="A32" s="21" t="s">
        <v>167</v>
      </c>
      <c r="B32">
        <v>775</v>
      </c>
      <c r="C32" s="1">
        <v>46101</v>
      </c>
      <c r="D32">
        <v>19382</v>
      </c>
      <c r="E32">
        <v>45724</v>
      </c>
      <c r="F32" s="1">
        <v>46023</v>
      </c>
      <c r="G32" s="21" t="s">
        <v>15</v>
      </c>
      <c r="H32" s="21" t="s">
        <v>12</v>
      </c>
      <c r="I32" s="21" t="s">
        <v>16</v>
      </c>
      <c r="J32">
        <v>3</v>
      </c>
      <c r="K32" t="s">
        <v>33</v>
      </c>
    </row>
    <row r="33" spans="1:11" x14ac:dyDescent="0.35">
      <c r="A33" s="21" t="s">
        <v>115</v>
      </c>
      <c r="B33">
        <v>775</v>
      </c>
      <c r="C33" s="1">
        <v>46055</v>
      </c>
      <c r="D33">
        <v>18853</v>
      </c>
      <c r="E33">
        <v>44825</v>
      </c>
      <c r="F33" s="1">
        <v>45292</v>
      </c>
      <c r="G33" s="21" t="s">
        <v>15</v>
      </c>
      <c r="H33" s="21" t="s">
        <v>15</v>
      </c>
      <c r="I33" s="21" t="s">
        <v>16</v>
      </c>
      <c r="J33">
        <v>2</v>
      </c>
      <c r="K33" t="s">
        <v>33</v>
      </c>
    </row>
    <row r="34" spans="1:11" x14ac:dyDescent="0.35">
      <c r="A34" s="21" t="s">
        <v>246</v>
      </c>
      <c r="B34">
        <v>775</v>
      </c>
      <c r="C34" s="1">
        <v>46125</v>
      </c>
      <c r="D34">
        <v>19659</v>
      </c>
      <c r="E34">
        <v>46347</v>
      </c>
      <c r="F34" s="1">
        <v>40909</v>
      </c>
      <c r="G34" s="21" t="s">
        <v>15</v>
      </c>
      <c r="H34" s="21" t="s">
        <v>134</v>
      </c>
      <c r="I34" s="21" t="s">
        <v>16</v>
      </c>
      <c r="J34">
        <v>4</v>
      </c>
      <c r="K34" t="s">
        <v>36</v>
      </c>
    </row>
    <row r="35" spans="1:11" x14ac:dyDescent="0.35">
      <c r="A35" s="21" t="s">
        <v>247</v>
      </c>
      <c r="B35">
        <v>775</v>
      </c>
      <c r="C35" s="1">
        <v>46142</v>
      </c>
      <c r="D35">
        <v>19980</v>
      </c>
      <c r="E35">
        <v>47207</v>
      </c>
      <c r="F35" s="1">
        <v>45658</v>
      </c>
      <c r="G35" s="21" t="s">
        <v>15</v>
      </c>
      <c r="H35" s="21" t="s">
        <v>12</v>
      </c>
      <c r="I35" s="21" t="s">
        <v>16</v>
      </c>
      <c r="J35">
        <v>4</v>
      </c>
      <c r="K35" t="s">
        <v>33</v>
      </c>
    </row>
    <row r="36" spans="1:11" x14ac:dyDescent="0.35">
      <c r="A36" s="21" t="s">
        <v>256</v>
      </c>
      <c r="B36">
        <v>775</v>
      </c>
      <c r="C36" s="1">
        <v>46119</v>
      </c>
      <c r="D36">
        <v>19579</v>
      </c>
      <c r="E36">
        <v>46090</v>
      </c>
      <c r="F36" s="1">
        <v>46023</v>
      </c>
      <c r="G36" s="21" t="s">
        <v>15</v>
      </c>
      <c r="H36" s="21" t="s">
        <v>12</v>
      </c>
      <c r="I36" s="21" t="s">
        <v>16</v>
      </c>
      <c r="J36">
        <v>4</v>
      </c>
      <c r="K36" t="s">
        <v>33</v>
      </c>
    </row>
    <row r="37" spans="1:11" x14ac:dyDescent="0.35">
      <c r="A37" s="21" t="s">
        <v>178</v>
      </c>
      <c r="B37">
        <v>775</v>
      </c>
      <c r="C37" s="1">
        <v>46087</v>
      </c>
      <c r="D37">
        <v>19198</v>
      </c>
      <c r="E37">
        <v>45356</v>
      </c>
      <c r="F37" s="1">
        <v>44562</v>
      </c>
      <c r="G37" s="21" t="s">
        <v>15</v>
      </c>
      <c r="H37" s="21" t="s">
        <v>12</v>
      </c>
      <c r="I37" s="21" t="s">
        <v>16</v>
      </c>
      <c r="J37">
        <v>3</v>
      </c>
      <c r="K37" t="s">
        <v>33</v>
      </c>
    </row>
    <row r="38" spans="1:11" x14ac:dyDescent="0.35">
      <c r="A38" s="21" t="s">
        <v>79</v>
      </c>
      <c r="B38">
        <v>775</v>
      </c>
      <c r="C38" s="1">
        <v>46034</v>
      </c>
      <c r="D38">
        <v>18585</v>
      </c>
      <c r="E38">
        <v>44482</v>
      </c>
      <c r="F38" s="1">
        <v>46023</v>
      </c>
      <c r="G38" s="21" t="s">
        <v>15</v>
      </c>
      <c r="H38" s="21" t="s">
        <v>12</v>
      </c>
      <c r="I38" s="21" t="s">
        <v>16</v>
      </c>
      <c r="J38">
        <v>1</v>
      </c>
      <c r="K38" t="s">
        <v>33</v>
      </c>
    </row>
    <row r="39" spans="1:11" x14ac:dyDescent="0.35">
      <c r="A39" s="21" t="s">
        <v>121</v>
      </c>
      <c r="B39">
        <v>775</v>
      </c>
      <c r="C39" s="1">
        <v>46070</v>
      </c>
      <c r="D39">
        <v>18965</v>
      </c>
      <c r="E39">
        <v>45000</v>
      </c>
      <c r="F39" s="1">
        <v>44927</v>
      </c>
      <c r="G39" s="21" t="s">
        <v>15</v>
      </c>
      <c r="H39" s="21" t="s">
        <v>12</v>
      </c>
      <c r="I39" s="21" t="s">
        <v>16</v>
      </c>
      <c r="J39">
        <v>2</v>
      </c>
      <c r="K39" t="s">
        <v>33</v>
      </c>
    </row>
    <row r="40" spans="1:11" x14ac:dyDescent="0.35">
      <c r="A40" s="21" t="s">
        <v>57</v>
      </c>
      <c r="B40">
        <v>775</v>
      </c>
      <c r="C40" s="1">
        <v>46043</v>
      </c>
      <c r="D40">
        <v>18695</v>
      </c>
      <c r="E40">
        <v>44595</v>
      </c>
      <c r="F40" s="1">
        <v>45658</v>
      </c>
      <c r="G40" s="21" t="s">
        <v>15</v>
      </c>
      <c r="H40" s="21" t="s">
        <v>15</v>
      </c>
      <c r="I40" s="21" t="s">
        <v>16</v>
      </c>
      <c r="J40">
        <v>1</v>
      </c>
      <c r="K40" t="s">
        <v>33</v>
      </c>
    </row>
    <row r="41" spans="1:11" x14ac:dyDescent="0.35">
      <c r="A41" s="21" t="s">
        <v>81</v>
      </c>
      <c r="B41">
        <v>775</v>
      </c>
      <c r="C41" s="1">
        <v>46029</v>
      </c>
      <c r="D41">
        <v>18418</v>
      </c>
      <c r="E41">
        <v>44298</v>
      </c>
      <c r="F41" s="1">
        <v>44927</v>
      </c>
      <c r="G41" s="21" t="s">
        <v>15</v>
      </c>
      <c r="H41" s="21" t="s">
        <v>12</v>
      </c>
      <c r="I41" s="21" t="s">
        <v>16</v>
      </c>
      <c r="J41">
        <v>1</v>
      </c>
      <c r="K41" t="s">
        <v>33</v>
      </c>
    </row>
    <row r="42" spans="1:11" x14ac:dyDescent="0.35">
      <c r="A42" s="21" t="s">
        <v>82</v>
      </c>
      <c r="B42">
        <v>775</v>
      </c>
      <c r="C42" s="1">
        <v>46055</v>
      </c>
      <c r="D42">
        <v>18845</v>
      </c>
      <c r="E42">
        <v>44817</v>
      </c>
      <c r="F42" s="1">
        <v>46023</v>
      </c>
      <c r="G42" s="21" t="s">
        <v>15</v>
      </c>
      <c r="H42" s="21" t="s">
        <v>12</v>
      </c>
      <c r="I42" s="21" t="s">
        <v>16</v>
      </c>
      <c r="J42">
        <v>2</v>
      </c>
      <c r="K42" t="s">
        <v>33</v>
      </c>
    </row>
    <row r="43" spans="1:11" x14ac:dyDescent="0.35">
      <c r="A43" s="21" t="s">
        <v>122</v>
      </c>
      <c r="B43">
        <v>775</v>
      </c>
      <c r="C43" s="1">
        <v>46056</v>
      </c>
      <c r="D43">
        <v>18862</v>
      </c>
      <c r="E43">
        <v>44835</v>
      </c>
      <c r="F43" s="1">
        <v>46023</v>
      </c>
      <c r="G43" s="21" t="s">
        <v>15</v>
      </c>
      <c r="H43" s="21" t="s">
        <v>12</v>
      </c>
      <c r="I43" s="21" t="s">
        <v>16</v>
      </c>
      <c r="J43">
        <v>2</v>
      </c>
      <c r="K43" t="s">
        <v>33</v>
      </c>
    </row>
    <row r="44" spans="1:11" x14ac:dyDescent="0.35">
      <c r="A44" s="21" t="s">
        <v>83</v>
      </c>
      <c r="B44">
        <v>775</v>
      </c>
      <c r="C44" s="1">
        <v>46050</v>
      </c>
      <c r="D44">
        <v>18774</v>
      </c>
      <c r="E44">
        <v>44713</v>
      </c>
      <c r="F44" s="1">
        <v>46023</v>
      </c>
      <c r="G44" s="21" t="s">
        <v>15</v>
      </c>
      <c r="H44" s="21" t="s">
        <v>68</v>
      </c>
      <c r="I44" s="21" t="s">
        <v>16</v>
      </c>
      <c r="J44">
        <v>1</v>
      </c>
      <c r="K44" t="s">
        <v>33</v>
      </c>
    </row>
    <row r="45" spans="1:11" x14ac:dyDescent="0.35">
      <c r="A45" s="21" t="s">
        <v>182</v>
      </c>
      <c r="B45">
        <v>775</v>
      </c>
      <c r="C45" s="1">
        <v>46105</v>
      </c>
      <c r="D45">
        <v>19406</v>
      </c>
      <c r="E45">
        <v>45756</v>
      </c>
      <c r="F45" s="1">
        <v>44562</v>
      </c>
      <c r="G45" s="21" t="s">
        <v>15</v>
      </c>
      <c r="H45" s="21" t="s">
        <v>12</v>
      </c>
      <c r="I45" s="21" t="s">
        <v>16</v>
      </c>
      <c r="J45">
        <v>3</v>
      </c>
      <c r="K45" t="s">
        <v>33</v>
      </c>
    </row>
    <row r="46" spans="1:11" x14ac:dyDescent="0.35">
      <c r="A46" s="21" t="s">
        <v>185</v>
      </c>
      <c r="B46">
        <v>775</v>
      </c>
      <c r="C46" s="1">
        <v>46100</v>
      </c>
      <c r="D46">
        <v>19359</v>
      </c>
      <c r="E46">
        <v>45652</v>
      </c>
      <c r="F46" s="1">
        <v>46023</v>
      </c>
      <c r="G46" s="21" t="s">
        <v>15</v>
      </c>
      <c r="H46" s="21" t="s">
        <v>12</v>
      </c>
      <c r="I46" s="21" t="s">
        <v>16</v>
      </c>
      <c r="J46">
        <v>3</v>
      </c>
      <c r="K46" t="s">
        <v>33</v>
      </c>
    </row>
    <row r="47" spans="1:11" x14ac:dyDescent="0.35">
      <c r="A47" s="21" t="s">
        <v>189</v>
      </c>
      <c r="B47">
        <v>775</v>
      </c>
      <c r="C47" s="1">
        <v>46111</v>
      </c>
      <c r="D47">
        <v>19470</v>
      </c>
      <c r="E47">
        <v>45856</v>
      </c>
      <c r="F47" s="1">
        <v>43831</v>
      </c>
      <c r="G47" s="21" t="s">
        <v>15</v>
      </c>
      <c r="H47" s="21" t="s">
        <v>12</v>
      </c>
      <c r="I47" s="21" t="s">
        <v>16</v>
      </c>
      <c r="J47">
        <v>3</v>
      </c>
      <c r="K47" t="s">
        <v>37</v>
      </c>
    </row>
    <row r="48" spans="1:11" x14ac:dyDescent="0.35">
      <c r="A48" s="21" t="s">
        <v>208</v>
      </c>
      <c r="B48">
        <v>1000</v>
      </c>
      <c r="C48" s="1">
        <v>46097</v>
      </c>
      <c r="D48">
        <v>19639</v>
      </c>
      <c r="E48">
        <v>46267</v>
      </c>
      <c r="F48" s="1">
        <v>36892</v>
      </c>
      <c r="G48" s="21" t="s">
        <v>15</v>
      </c>
      <c r="H48" s="21" t="s">
        <v>209</v>
      </c>
      <c r="I48" s="21" t="s">
        <v>108</v>
      </c>
      <c r="J48">
        <v>3</v>
      </c>
      <c r="K48" t="s">
        <v>34</v>
      </c>
    </row>
    <row r="49" spans="1:11" x14ac:dyDescent="0.35">
      <c r="A49" s="21" t="s">
        <v>143</v>
      </c>
      <c r="B49">
        <v>1000</v>
      </c>
      <c r="C49" s="1">
        <v>46091</v>
      </c>
      <c r="D49">
        <v>19255</v>
      </c>
      <c r="E49">
        <v>45453</v>
      </c>
      <c r="F49" s="1">
        <v>36526</v>
      </c>
      <c r="G49" s="21" t="s">
        <v>15</v>
      </c>
      <c r="H49" s="21" t="s">
        <v>144</v>
      </c>
      <c r="I49" s="21" t="s">
        <v>108</v>
      </c>
      <c r="J49">
        <v>3</v>
      </c>
      <c r="K49" t="s">
        <v>34</v>
      </c>
    </row>
    <row r="50" spans="1:11" x14ac:dyDescent="0.35">
      <c r="A50" s="21" t="s">
        <v>145</v>
      </c>
      <c r="B50">
        <v>1000</v>
      </c>
      <c r="C50" s="1">
        <v>46107</v>
      </c>
      <c r="D50">
        <v>19440</v>
      </c>
      <c r="E50">
        <v>45795</v>
      </c>
      <c r="F50" s="1">
        <v>37257</v>
      </c>
      <c r="G50" s="21" t="s">
        <v>15</v>
      </c>
      <c r="H50" s="21" t="s">
        <v>146</v>
      </c>
      <c r="I50" s="21" t="s">
        <v>108</v>
      </c>
      <c r="J50">
        <v>3</v>
      </c>
      <c r="K50" t="s">
        <v>34</v>
      </c>
    </row>
    <row r="51" spans="1:11" x14ac:dyDescent="0.35">
      <c r="A51" s="21" t="s">
        <v>106</v>
      </c>
      <c r="B51">
        <v>1000</v>
      </c>
      <c r="C51" s="1">
        <v>46079</v>
      </c>
      <c r="D51">
        <v>19043</v>
      </c>
      <c r="E51">
        <v>45122</v>
      </c>
      <c r="F51" s="1">
        <v>45292</v>
      </c>
      <c r="G51" s="21" t="s">
        <v>15</v>
      </c>
      <c r="H51" s="21" t="s">
        <v>107</v>
      </c>
      <c r="I51" s="21" t="s">
        <v>108</v>
      </c>
      <c r="J51">
        <v>2</v>
      </c>
      <c r="K51" t="s">
        <v>33</v>
      </c>
    </row>
    <row r="52" spans="1:11" x14ac:dyDescent="0.35">
      <c r="A52" s="21" t="s">
        <v>223</v>
      </c>
      <c r="B52">
        <v>1000</v>
      </c>
      <c r="C52" s="1">
        <v>46140</v>
      </c>
      <c r="D52">
        <v>19936</v>
      </c>
      <c r="E52">
        <v>47131</v>
      </c>
      <c r="F52" s="1">
        <v>39083</v>
      </c>
      <c r="G52" s="21" t="s">
        <v>15</v>
      </c>
      <c r="H52" s="21" t="s">
        <v>224</v>
      </c>
      <c r="I52" s="21" t="s">
        <v>108</v>
      </c>
      <c r="J52">
        <v>4</v>
      </c>
      <c r="K52" t="s">
        <v>34</v>
      </c>
    </row>
    <row r="53" spans="1:11" x14ac:dyDescent="0.35">
      <c r="A53" s="21" t="s">
        <v>225</v>
      </c>
      <c r="B53">
        <v>1000</v>
      </c>
      <c r="C53" s="1">
        <v>46115</v>
      </c>
      <c r="D53">
        <v>19602</v>
      </c>
      <c r="E53">
        <v>46181</v>
      </c>
      <c r="F53" s="1">
        <v>39814</v>
      </c>
      <c r="G53" s="21" t="s">
        <v>15</v>
      </c>
      <c r="H53" s="21" t="s">
        <v>226</v>
      </c>
      <c r="I53" s="21" t="s">
        <v>108</v>
      </c>
      <c r="J53">
        <v>4</v>
      </c>
      <c r="K53" t="s">
        <v>36</v>
      </c>
    </row>
    <row r="54" spans="1:11" x14ac:dyDescent="0.35">
      <c r="A54" s="21" t="s">
        <v>152</v>
      </c>
      <c r="B54">
        <v>1000</v>
      </c>
      <c r="C54" s="1">
        <v>46091</v>
      </c>
      <c r="D54">
        <v>19253</v>
      </c>
      <c r="E54">
        <v>45451</v>
      </c>
      <c r="F54" s="1">
        <v>44927</v>
      </c>
      <c r="G54" s="21" t="s">
        <v>15</v>
      </c>
      <c r="H54" s="21" t="s">
        <v>153</v>
      </c>
      <c r="I54" s="21" t="s">
        <v>108</v>
      </c>
      <c r="J54">
        <v>3</v>
      </c>
      <c r="K54" t="s">
        <v>33</v>
      </c>
    </row>
    <row r="55" spans="1:11" x14ac:dyDescent="0.35">
      <c r="A55" s="21" t="s">
        <v>227</v>
      </c>
      <c r="B55">
        <v>1000</v>
      </c>
      <c r="C55" s="1">
        <v>46113</v>
      </c>
      <c r="D55">
        <v>19530</v>
      </c>
      <c r="E55">
        <v>45956</v>
      </c>
      <c r="F55" s="1">
        <v>41640</v>
      </c>
      <c r="G55" s="21" t="s">
        <v>15</v>
      </c>
      <c r="H55" s="21" t="s">
        <v>228</v>
      </c>
      <c r="I55" s="21" t="s">
        <v>108</v>
      </c>
      <c r="J55">
        <v>4</v>
      </c>
      <c r="K55" t="s">
        <v>35</v>
      </c>
    </row>
    <row r="56" spans="1:11" x14ac:dyDescent="0.35">
      <c r="A56" s="21" t="s">
        <v>232</v>
      </c>
      <c r="B56">
        <v>1000</v>
      </c>
      <c r="C56" s="1">
        <v>46132</v>
      </c>
      <c r="D56">
        <v>19825</v>
      </c>
      <c r="E56">
        <v>46911</v>
      </c>
      <c r="F56" s="1">
        <v>42736</v>
      </c>
      <c r="G56" s="21" t="s">
        <v>15</v>
      </c>
      <c r="H56" s="21" t="s">
        <v>233</v>
      </c>
      <c r="I56" s="21" t="s">
        <v>108</v>
      </c>
      <c r="J56">
        <v>4</v>
      </c>
      <c r="K56" t="s">
        <v>35</v>
      </c>
    </row>
    <row r="57" spans="1:11" x14ac:dyDescent="0.35">
      <c r="A57" s="21" t="s">
        <v>154</v>
      </c>
      <c r="B57">
        <v>1215</v>
      </c>
      <c r="C57" s="1">
        <v>46098</v>
      </c>
      <c r="D57">
        <v>19312</v>
      </c>
      <c r="E57">
        <v>45563</v>
      </c>
      <c r="F57" s="1">
        <v>36526</v>
      </c>
      <c r="G57" s="21" t="s">
        <v>15</v>
      </c>
      <c r="H57" s="21" t="s">
        <v>155</v>
      </c>
      <c r="I57" s="21" t="s">
        <v>108</v>
      </c>
      <c r="J57">
        <v>3</v>
      </c>
      <c r="K57" t="s">
        <v>34</v>
      </c>
    </row>
    <row r="58" spans="1:11" x14ac:dyDescent="0.35">
      <c r="A58" s="21" t="s">
        <v>210</v>
      </c>
      <c r="B58">
        <v>1400</v>
      </c>
      <c r="C58" s="1">
        <v>46128</v>
      </c>
      <c r="D58">
        <v>19789</v>
      </c>
      <c r="E58">
        <v>46801</v>
      </c>
      <c r="F58" s="1">
        <v>44562</v>
      </c>
      <c r="G58" s="21" t="s">
        <v>15</v>
      </c>
      <c r="H58" s="21" t="s">
        <v>211</v>
      </c>
      <c r="I58" s="21" t="s">
        <v>108</v>
      </c>
      <c r="J58">
        <v>4</v>
      </c>
      <c r="K58" t="s">
        <v>33</v>
      </c>
    </row>
    <row r="59" spans="1:11" x14ac:dyDescent="0.35">
      <c r="A59" s="21" t="s">
        <v>140</v>
      </c>
      <c r="B59">
        <v>1463.4</v>
      </c>
      <c r="C59" s="1">
        <v>46112</v>
      </c>
      <c r="D59">
        <v>19509</v>
      </c>
      <c r="E59">
        <v>45910</v>
      </c>
      <c r="F59" s="1">
        <v>37257</v>
      </c>
      <c r="G59" s="21" t="s">
        <v>15</v>
      </c>
      <c r="H59" s="21" t="s">
        <v>141</v>
      </c>
      <c r="I59" s="21" t="s">
        <v>108</v>
      </c>
      <c r="J59">
        <v>3</v>
      </c>
      <c r="K59" t="s">
        <v>34</v>
      </c>
    </row>
    <row r="60" spans="1:11" x14ac:dyDescent="0.35">
      <c r="A60" s="21" t="s">
        <v>196</v>
      </c>
      <c r="B60">
        <v>1545</v>
      </c>
      <c r="C60" s="1">
        <v>46133</v>
      </c>
      <c r="D60">
        <v>19835</v>
      </c>
      <c r="E60">
        <v>46933</v>
      </c>
      <c r="F60" s="1">
        <v>42005</v>
      </c>
      <c r="G60" s="21" t="s">
        <v>11</v>
      </c>
      <c r="H60" s="21" t="s">
        <v>197</v>
      </c>
      <c r="I60" s="21" t="s">
        <v>18</v>
      </c>
      <c r="J60">
        <v>4</v>
      </c>
      <c r="K60" t="s">
        <v>35</v>
      </c>
    </row>
    <row r="61" spans="1:11" x14ac:dyDescent="0.35">
      <c r="A61" s="21" t="s">
        <v>199</v>
      </c>
      <c r="B61">
        <v>1545</v>
      </c>
      <c r="C61" s="1">
        <v>46127</v>
      </c>
      <c r="D61">
        <v>19719</v>
      </c>
      <c r="E61">
        <v>46506</v>
      </c>
      <c r="F61" s="1">
        <v>37622</v>
      </c>
      <c r="G61" s="21" t="s">
        <v>11</v>
      </c>
      <c r="H61" s="21" t="s">
        <v>12</v>
      </c>
      <c r="I61" s="21" t="s">
        <v>18</v>
      </c>
      <c r="J61">
        <v>4</v>
      </c>
      <c r="K61" t="s">
        <v>34</v>
      </c>
    </row>
    <row r="62" spans="1:11" x14ac:dyDescent="0.35">
      <c r="A62" s="21" t="s">
        <v>200</v>
      </c>
      <c r="B62">
        <v>1545</v>
      </c>
      <c r="C62" s="1">
        <v>46125</v>
      </c>
      <c r="D62">
        <v>19665</v>
      </c>
      <c r="E62">
        <v>46358</v>
      </c>
      <c r="F62" s="1">
        <v>38353</v>
      </c>
      <c r="G62" s="21" t="s">
        <v>11</v>
      </c>
      <c r="H62" s="21" t="s">
        <v>12</v>
      </c>
      <c r="I62" s="21" t="s">
        <v>18</v>
      </c>
      <c r="J62">
        <v>4</v>
      </c>
      <c r="K62" t="s">
        <v>34</v>
      </c>
    </row>
    <row r="63" spans="1:11" x14ac:dyDescent="0.35">
      <c r="A63" s="21" t="s">
        <v>70</v>
      </c>
      <c r="B63">
        <v>1545</v>
      </c>
      <c r="C63" s="1">
        <v>46042</v>
      </c>
      <c r="D63">
        <v>18678</v>
      </c>
      <c r="E63">
        <v>44578</v>
      </c>
      <c r="F63" s="1">
        <v>40179</v>
      </c>
      <c r="G63" s="21" t="s">
        <v>11</v>
      </c>
      <c r="H63" s="21" t="s">
        <v>12</v>
      </c>
      <c r="I63" s="21" t="s">
        <v>18</v>
      </c>
      <c r="J63">
        <v>1</v>
      </c>
      <c r="K63" t="s">
        <v>36</v>
      </c>
    </row>
    <row r="64" spans="1:11" x14ac:dyDescent="0.35">
      <c r="A64" s="21" t="s">
        <v>100</v>
      </c>
      <c r="B64">
        <v>1545</v>
      </c>
      <c r="C64" s="1">
        <v>46062</v>
      </c>
      <c r="D64">
        <v>18914</v>
      </c>
      <c r="E64">
        <v>44907</v>
      </c>
      <c r="F64" s="1">
        <v>40909</v>
      </c>
      <c r="G64" s="21" t="s">
        <v>17</v>
      </c>
      <c r="H64" s="21" t="s">
        <v>101</v>
      </c>
      <c r="I64" s="21" t="s">
        <v>18</v>
      </c>
      <c r="J64">
        <v>2</v>
      </c>
      <c r="K64" t="s">
        <v>36</v>
      </c>
    </row>
    <row r="65" spans="1:11" x14ac:dyDescent="0.35">
      <c r="A65" s="21" t="s">
        <v>207</v>
      </c>
      <c r="B65">
        <v>1545</v>
      </c>
      <c r="C65" s="1">
        <v>46118</v>
      </c>
      <c r="D65">
        <v>19562</v>
      </c>
      <c r="E65">
        <v>46062</v>
      </c>
      <c r="F65" s="1">
        <v>44197</v>
      </c>
      <c r="G65" s="21" t="s">
        <v>0</v>
      </c>
      <c r="H65" s="21" t="s">
        <v>12</v>
      </c>
      <c r="I65" s="21" t="s">
        <v>18</v>
      </c>
      <c r="J65">
        <v>4</v>
      </c>
      <c r="K65" t="s">
        <v>37</v>
      </c>
    </row>
    <row r="66" spans="1:11" x14ac:dyDescent="0.35">
      <c r="A66" s="21" t="s">
        <v>219</v>
      </c>
      <c r="B66">
        <v>1545</v>
      </c>
      <c r="C66" s="1">
        <v>46113</v>
      </c>
      <c r="D66">
        <v>19541</v>
      </c>
      <c r="E66">
        <v>45996</v>
      </c>
      <c r="F66" s="1">
        <v>36526</v>
      </c>
      <c r="G66" s="21" t="s">
        <v>15</v>
      </c>
      <c r="H66" s="21" t="s">
        <v>220</v>
      </c>
      <c r="I66" s="21" t="s">
        <v>108</v>
      </c>
      <c r="J66">
        <v>4</v>
      </c>
      <c r="K66" t="s">
        <v>34</v>
      </c>
    </row>
    <row r="67" spans="1:11" x14ac:dyDescent="0.35">
      <c r="A67" s="21" t="s">
        <v>160</v>
      </c>
      <c r="B67">
        <v>1545</v>
      </c>
      <c r="C67" s="1">
        <v>46106</v>
      </c>
      <c r="D67">
        <v>19422</v>
      </c>
      <c r="E67">
        <v>45776</v>
      </c>
      <c r="F67" s="1">
        <v>46023</v>
      </c>
      <c r="G67" s="21" t="s">
        <v>17</v>
      </c>
      <c r="H67" s="21" t="s">
        <v>12</v>
      </c>
      <c r="I67" s="21" t="s">
        <v>18</v>
      </c>
      <c r="J67">
        <v>3</v>
      </c>
      <c r="K67" t="s">
        <v>33</v>
      </c>
    </row>
    <row r="68" spans="1:11" x14ac:dyDescent="0.35">
      <c r="A68" s="21" t="s">
        <v>111</v>
      </c>
      <c r="B68">
        <v>1545</v>
      </c>
      <c r="C68" s="1">
        <v>46059</v>
      </c>
      <c r="D68">
        <v>18891</v>
      </c>
      <c r="E68">
        <v>44881</v>
      </c>
      <c r="F68" s="1">
        <v>36526</v>
      </c>
      <c r="G68" s="21" t="s">
        <v>11</v>
      </c>
      <c r="H68" s="21" t="s">
        <v>12</v>
      </c>
      <c r="I68" s="21" t="s">
        <v>18</v>
      </c>
      <c r="J68">
        <v>2</v>
      </c>
      <c r="K68" t="s">
        <v>34</v>
      </c>
    </row>
    <row r="69" spans="1:11" x14ac:dyDescent="0.35">
      <c r="A69" s="21" t="s">
        <v>237</v>
      </c>
      <c r="B69">
        <v>1545</v>
      </c>
      <c r="C69" s="1">
        <v>46141</v>
      </c>
      <c r="D69">
        <v>19966</v>
      </c>
      <c r="E69">
        <v>47181</v>
      </c>
      <c r="F69" s="1">
        <v>44197</v>
      </c>
      <c r="G69" s="21" t="s">
        <v>11</v>
      </c>
      <c r="H69" s="21" t="s">
        <v>12</v>
      </c>
      <c r="I69" s="21" t="s">
        <v>18</v>
      </c>
      <c r="J69">
        <v>4</v>
      </c>
      <c r="K69" t="s">
        <v>37</v>
      </c>
    </row>
    <row r="70" spans="1:11" x14ac:dyDescent="0.35">
      <c r="A70" s="21" t="s">
        <v>22</v>
      </c>
      <c r="B70">
        <v>1545</v>
      </c>
      <c r="C70" s="1">
        <v>46051</v>
      </c>
      <c r="D70">
        <v>18802</v>
      </c>
      <c r="E70">
        <v>44761</v>
      </c>
      <c r="F70" s="1">
        <v>45292</v>
      </c>
      <c r="G70" s="21" t="s">
        <v>17</v>
      </c>
      <c r="H70" s="21" t="s">
        <v>12</v>
      </c>
      <c r="I70" s="21" t="s">
        <v>18</v>
      </c>
      <c r="J70">
        <v>1</v>
      </c>
      <c r="K70" t="s">
        <v>33</v>
      </c>
    </row>
    <row r="71" spans="1:11" x14ac:dyDescent="0.35">
      <c r="A71" s="21" t="s">
        <v>14</v>
      </c>
      <c r="B71">
        <v>1545</v>
      </c>
      <c r="C71" s="1">
        <v>46037</v>
      </c>
      <c r="D71">
        <v>18652</v>
      </c>
      <c r="E71">
        <v>44550</v>
      </c>
      <c r="F71" s="1">
        <v>38718</v>
      </c>
      <c r="G71" s="21" t="s">
        <v>11</v>
      </c>
      <c r="H71" s="21" t="s">
        <v>12</v>
      </c>
      <c r="I71" s="21" t="s">
        <v>18</v>
      </c>
      <c r="J71">
        <v>1</v>
      </c>
      <c r="K71" t="s">
        <v>34</v>
      </c>
    </row>
    <row r="72" spans="1:11" x14ac:dyDescent="0.35">
      <c r="A72" s="21" t="s">
        <v>252</v>
      </c>
      <c r="B72">
        <v>1545</v>
      </c>
      <c r="C72" s="1">
        <v>46125</v>
      </c>
      <c r="D72">
        <v>19670</v>
      </c>
      <c r="E72">
        <v>46373</v>
      </c>
      <c r="F72" s="1">
        <v>43831</v>
      </c>
      <c r="G72" s="21" t="s">
        <v>0</v>
      </c>
      <c r="H72" s="21" t="s">
        <v>253</v>
      </c>
      <c r="I72" s="21" t="s">
        <v>18</v>
      </c>
      <c r="J72">
        <v>4</v>
      </c>
      <c r="K72" t="s">
        <v>37</v>
      </c>
    </row>
    <row r="73" spans="1:11" x14ac:dyDescent="0.35">
      <c r="A73" s="21" t="s">
        <v>255</v>
      </c>
      <c r="B73">
        <v>1545</v>
      </c>
      <c r="C73" s="1">
        <v>46128</v>
      </c>
      <c r="D73">
        <v>19755</v>
      </c>
      <c r="E73">
        <v>46639</v>
      </c>
      <c r="F73" s="1">
        <v>46023</v>
      </c>
      <c r="G73" s="21" t="s">
        <v>17</v>
      </c>
      <c r="H73" s="21" t="s">
        <v>12</v>
      </c>
      <c r="I73" s="21" t="s">
        <v>18</v>
      </c>
      <c r="J73">
        <v>4</v>
      </c>
      <c r="K73" t="s">
        <v>33</v>
      </c>
    </row>
    <row r="74" spans="1:11" x14ac:dyDescent="0.35">
      <c r="A74" s="21" t="s">
        <v>19</v>
      </c>
      <c r="B74">
        <v>1545</v>
      </c>
      <c r="C74" s="1">
        <v>46027</v>
      </c>
      <c r="D74">
        <v>18359</v>
      </c>
      <c r="E74">
        <v>44215</v>
      </c>
      <c r="F74" s="1">
        <v>40179</v>
      </c>
      <c r="G74" s="21" t="s">
        <v>0</v>
      </c>
      <c r="H74" s="21" t="s">
        <v>12</v>
      </c>
      <c r="I74" s="21" t="s">
        <v>18</v>
      </c>
      <c r="J74">
        <v>1</v>
      </c>
      <c r="K74" t="s">
        <v>36</v>
      </c>
    </row>
    <row r="75" spans="1:11" x14ac:dyDescent="0.35">
      <c r="A75" s="21" t="s">
        <v>23</v>
      </c>
      <c r="B75">
        <v>1545</v>
      </c>
      <c r="C75" s="1">
        <v>46035</v>
      </c>
      <c r="D75">
        <v>18620</v>
      </c>
      <c r="E75">
        <v>44519</v>
      </c>
      <c r="F75" s="1">
        <v>41275</v>
      </c>
      <c r="G75" s="21" t="s">
        <v>11</v>
      </c>
      <c r="H75" s="21" t="s">
        <v>12</v>
      </c>
      <c r="I75" s="21" t="s">
        <v>18</v>
      </c>
      <c r="J75">
        <v>1</v>
      </c>
      <c r="K75" t="s">
        <v>35</v>
      </c>
    </row>
    <row r="76" spans="1:11" x14ac:dyDescent="0.35">
      <c r="A76" s="21" t="s">
        <v>80</v>
      </c>
      <c r="B76">
        <v>1545</v>
      </c>
      <c r="C76" s="1">
        <v>46029</v>
      </c>
      <c r="D76">
        <v>18421</v>
      </c>
      <c r="E76">
        <v>44301</v>
      </c>
      <c r="F76" s="1">
        <v>46023</v>
      </c>
      <c r="G76" s="21" t="s">
        <v>17</v>
      </c>
      <c r="H76" s="21" t="s">
        <v>12</v>
      </c>
      <c r="I76" s="21" t="s">
        <v>18</v>
      </c>
      <c r="J76">
        <v>1</v>
      </c>
      <c r="K76" t="s">
        <v>33</v>
      </c>
    </row>
    <row r="77" spans="1:11" x14ac:dyDescent="0.35">
      <c r="A77" s="21" t="s">
        <v>123</v>
      </c>
      <c r="B77">
        <v>1545</v>
      </c>
      <c r="C77" s="1">
        <v>46069</v>
      </c>
      <c r="D77">
        <v>18947</v>
      </c>
      <c r="E77">
        <v>44979</v>
      </c>
      <c r="F77" s="1">
        <v>44197</v>
      </c>
      <c r="G77" s="21" t="s">
        <v>17</v>
      </c>
      <c r="H77" s="21" t="s">
        <v>12</v>
      </c>
      <c r="I77" s="21" t="s">
        <v>18</v>
      </c>
      <c r="J77">
        <v>2</v>
      </c>
      <c r="K77" t="s">
        <v>37</v>
      </c>
    </row>
    <row r="78" spans="1:11" x14ac:dyDescent="0.35">
      <c r="A78" s="21" t="s">
        <v>58</v>
      </c>
      <c r="B78">
        <v>1545</v>
      </c>
      <c r="C78" s="1">
        <v>46042</v>
      </c>
      <c r="D78">
        <v>18683</v>
      </c>
      <c r="E78">
        <v>44583</v>
      </c>
      <c r="F78" s="1">
        <v>45658</v>
      </c>
      <c r="G78" s="21" t="s">
        <v>17</v>
      </c>
      <c r="H78" s="21" t="s">
        <v>12</v>
      </c>
      <c r="I78" s="21" t="s">
        <v>18</v>
      </c>
      <c r="J78">
        <v>1</v>
      </c>
      <c r="K78" t="s">
        <v>33</v>
      </c>
    </row>
    <row r="79" spans="1:11" x14ac:dyDescent="0.35">
      <c r="A79" s="21" t="s">
        <v>179</v>
      </c>
      <c r="B79">
        <v>1545</v>
      </c>
      <c r="C79" s="1">
        <v>46087</v>
      </c>
      <c r="D79">
        <v>19227</v>
      </c>
      <c r="E79">
        <v>45392</v>
      </c>
      <c r="F79" s="1">
        <v>39814</v>
      </c>
      <c r="G79" s="21" t="s">
        <v>11</v>
      </c>
      <c r="H79" s="21" t="s">
        <v>12</v>
      </c>
      <c r="I79" s="21" t="s">
        <v>18</v>
      </c>
      <c r="J79">
        <v>3</v>
      </c>
      <c r="K79" t="s">
        <v>36</v>
      </c>
    </row>
    <row r="80" spans="1:11" x14ac:dyDescent="0.35">
      <c r="A80" s="21" t="s">
        <v>261</v>
      </c>
      <c r="B80">
        <v>1545</v>
      </c>
      <c r="C80" s="1">
        <v>46140</v>
      </c>
      <c r="D80">
        <v>19934</v>
      </c>
      <c r="E80">
        <v>47129</v>
      </c>
      <c r="F80" s="1">
        <v>40544</v>
      </c>
      <c r="G80" s="21" t="s">
        <v>11</v>
      </c>
      <c r="H80" s="21" t="s">
        <v>12</v>
      </c>
      <c r="I80" s="21" t="s">
        <v>18</v>
      </c>
      <c r="J80">
        <v>4</v>
      </c>
      <c r="K80" t="s">
        <v>36</v>
      </c>
    </row>
    <row r="81" spans="1:11" x14ac:dyDescent="0.35">
      <c r="A81" s="21" t="s">
        <v>187</v>
      </c>
      <c r="B81">
        <v>1545</v>
      </c>
      <c r="C81" s="1">
        <v>46107</v>
      </c>
      <c r="D81">
        <v>19437</v>
      </c>
      <c r="E81">
        <v>45792</v>
      </c>
      <c r="F81" s="1">
        <v>41275</v>
      </c>
      <c r="G81" s="21" t="s">
        <v>0</v>
      </c>
      <c r="H81" s="21" t="s">
        <v>12</v>
      </c>
      <c r="I81" s="21" t="s">
        <v>18</v>
      </c>
      <c r="J81">
        <v>3</v>
      </c>
      <c r="K81" t="s">
        <v>35</v>
      </c>
    </row>
    <row r="82" spans="1:11" x14ac:dyDescent="0.35">
      <c r="A82" s="21" t="s">
        <v>188</v>
      </c>
      <c r="B82">
        <v>1545</v>
      </c>
      <c r="C82" s="1">
        <v>46105</v>
      </c>
      <c r="D82">
        <v>19413</v>
      </c>
      <c r="E82">
        <v>45764</v>
      </c>
      <c r="F82" s="1">
        <v>40179</v>
      </c>
      <c r="G82" s="21" t="s">
        <v>11</v>
      </c>
      <c r="H82" s="21" t="s">
        <v>12</v>
      </c>
      <c r="I82" s="21" t="s">
        <v>18</v>
      </c>
      <c r="J82">
        <v>3</v>
      </c>
      <c r="K82" t="s">
        <v>36</v>
      </c>
    </row>
    <row r="83" spans="1:11" x14ac:dyDescent="0.35">
      <c r="A83" s="21" t="s">
        <v>191</v>
      </c>
      <c r="B83">
        <v>1545</v>
      </c>
      <c r="C83" s="1">
        <v>46101</v>
      </c>
      <c r="D83">
        <v>19372</v>
      </c>
      <c r="E83">
        <v>45683</v>
      </c>
      <c r="F83" s="1">
        <v>45292</v>
      </c>
      <c r="G83" s="21" t="s">
        <v>17</v>
      </c>
      <c r="H83" s="21" t="s">
        <v>12</v>
      </c>
      <c r="I83" s="21" t="s">
        <v>18</v>
      </c>
      <c r="J83">
        <v>3</v>
      </c>
      <c r="K83" t="s">
        <v>33</v>
      </c>
    </row>
    <row r="84" spans="1:11" x14ac:dyDescent="0.35">
      <c r="A84" s="21" t="s">
        <v>88</v>
      </c>
      <c r="B84">
        <v>1620</v>
      </c>
      <c r="C84" s="1">
        <v>46072</v>
      </c>
      <c r="D84">
        <v>18996</v>
      </c>
      <c r="E84">
        <v>45039</v>
      </c>
      <c r="F84" s="1">
        <v>40909</v>
      </c>
      <c r="G84" s="21" t="s">
        <v>11</v>
      </c>
      <c r="H84" s="21" t="s">
        <v>12</v>
      </c>
      <c r="I84" s="21" t="s">
        <v>18</v>
      </c>
      <c r="J84">
        <v>2</v>
      </c>
      <c r="K84" t="s">
        <v>36</v>
      </c>
    </row>
    <row r="85" spans="1:11" x14ac:dyDescent="0.35">
      <c r="A85" s="21" t="s">
        <v>254</v>
      </c>
      <c r="B85">
        <v>1620</v>
      </c>
      <c r="C85" s="1">
        <v>46141</v>
      </c>
      <c r="D85">
        <v>19954</v>
      </c>
      <c r="E85">
        <v>47165</v>
      </c>
      <c r="F85" s="1">
        <v>40909</v>
      </c>
      <c r="G85" s="21" t="s">
        <v>17</v>
      </c>
      <c r="H85" s="21" t="s">
        <v>12</v>
      </c>
      <c r="I85" s="21" t="s">
        <v>18</v>
      </c>
      <c r="J85">
        <v>4</v>
      </c>
      <c r="K85" t="s">
        <v>36</v>
      </c>
    </row>
    <row r="86" spans="1:11" x14ac:dyDescent="0.35">
      <c r="A86" s="21" t="s">
        <v>177</v>
      </c>
      <c r="B86">
        <v>1620</v>
      </c>
      <c r="C86" s="1">
        <v>46102</v>
      </c>
      <c r="D86">
        <v>19394</v>
      </c>
      <c r="E86">
        <v>45737</v>
      </c>
      <c r="F86" s="1">
        <v>44927</v>
      </c>
      <c r="G86" s="21" t="s">
        <v>17</v>
      </c>
      <c r="H86" s="21" t="s">
        <v>12</v>
      </c>
      <c r="I86" s="21" t="s">
        <v>18</v>
      </c>
      <c r="J86">
        <v>3</v>
      </c>
      <c r="K86" t="s">
        <v>33</v>
      </c>
    </row>
    <row r="87" spans="1:11" x14ac:dyDescent="0.35">
      <c r="A87" s="21" t="s">
        <v>127</v>
      </c>
      <c r="B87">
        <v>1650</v>
      </c>
      <c r="C87" s="1">
        <v>46111</v>
      </c>
      <c r="D87">
        <v>19487</v>
      </c>
      <c r="E87">
        <v>45879</v>
      </c>
      <c r="F87" s="1">
        <v>37257</v>
      </c>
      <c r="G87" s="21" t="s">
        <v>94</v>
      </c>
      <c r="H87" s="21" t="s">
        <v>12</v>
      </c>
      <c r="I87" s="21" t="s">
        <v>18</v>
      </c>
      <c r="J87">
        <v>3</v>
      </c>
      <c r="K87" t="s">
        <v>34</v>
      </c>
    </row>
    <row r="88" spans="1:11" x14ac:dyDescent="0.35">
      <c r="A88" s="21" t="s">
        <v>201</v>
      </c>
      <c r="B88">
        <v>1650</v>
      </c>
      <c r="C88" s="1">
        <v>46128</v>
      </c>
      <c r="D88">
        <v>19738</v>
      </c>
      <c r="E88">
        <v>46563</v>
      </c>
      <c r="F88" s="1">
        <v>44562</v>
      </c>
      <c r="G88" s="21" t="s">
        <v>94</v>
      </c>
      <c r="H88" s="21" t="s">
        <v>12</v>
      </c>
      <c r="I88" s="21" t="s">
        <v>18</v>
      </c>
      <c r="J88">
        <v>4</v>
      </c>
      <c r="K88" t="s">
        <v>33</v>
      </c>
    </row>
    <row r="89" spans="1:11" x14ac:dyDescent="0.35">
      <c r="A89" s="21" t="s">
        <v>168</v>
      </c>
      <c r="B89">
        <v>1650</v>
      </c>
      <c r="C89" s="1">
        <v>46108</v>
      </c>
      <c r="D89">
        <v>19449</v>
      </c>
      <c r="E89">
        <v>45813</v>
      </c>
      <c r="F89" s="1">
        <v>42370</v>
      </c>
      <c r="G89" s="21" t="s">
        <v>94</v>
      </c>
      <c r="H89" s="21" t="s">
        <v>169</v>
      </c>
      <c r="I89" s="21" t="s">
        <v>18</v>
      </c>
      <c r="J89">
        <v>3</v>
      </c>
      <c r="K89" t="s">
        <v>35</v>
      </c>
    </row>
    <row r="90" spans="1:11" x14ac:dyDescent="0.35">
      <c r="A90" s="21" t="s">
        <v>183</v>
      </c>
      <c r="B90">
        <v>1650</v>
      </c>
      <c r="C90" s="1">
        <v>46112</v>
      </c>
      <c r="D90">
        <v>19507</v>
      </c>
      <c r="E90">
        <v>45907</v>
      </c>
      <c r="F90" s="1">
        <v>37257</v>
      </c>
      <c r="G90" s="21" t="s">
        <v>94</v>
      </c>
      <c r="H90" s="21" t="s">
        <v>12</v>
      </c>
      <c r="I90" s="21" t="s">
        <v>18</v>
      </c>
      <c r="J90">
        <v>3</v>
      </c>
      <c r="K90" t="s">
        <v>34</v>
      </c>
    </row>
    <row r="91" spans="1:11" x14ac:dyDescent="0.35">
      <c r="A91" s="21" t="s">
        <v>221</v>
      </c>
      <c r="B91">
        <v>1674</v>
      </c>
      <c r="C91" s="1">
        <v>46133</v>
      </c>
      <c r="D91">
        <v>19833</v>
      </c>
      <c r="E91">
        <v>46924</v>
      </c>
      <c r="F91" s="1">
        <v>42736</v>
      </c>
      <c r="G91" s="21" t="s">
        <v>15</v>
      </c>
      <c r="H91" s="21" t="s">
        <v>222</v>
      </c>
      <c r="I91" s="21" t="s">
        <v>108</v>
      </c>
      <c r="J91">
        <v>4</v>
      </c>
      <c r="K91" t="s">
        <v>35</v>
      </c>
    </row>
    <row r="92" spans="1:11" x14ac:dyDescent="0.35">
      <c r="A92" s="21" t="s">
        <v>87</v>
      </c>
      <c r="B92">
        <v>1905</v>
      </c>
      <c r="C92" s="1">
        <v>46066</v>
      </c>
      <c r="D92">
        <v>18941</v>
      </c>
      <c r="E92">
        <v>44973</v>
      </c>
      <c r="F92" s="1">
        <v>44562</v>
      </c>
      <c r="G92" s="21" t="s">
        <v>17</v>
      </c>
      <c r="H92" s="21" t="s">
        <v>12</v>
      </c>
      <c r="I92" s="21" t="s">
        <v>13</v>
      </c>
      <c r="J92">
        <v>2</v>
      </c>
      <c r="K92" t="s">
        <v>33</v>
      </c>
    </row>
    <row r="93" spans="1:11" x14ac:dyDescent="0.35">
      <c r="A93" s="21" t="s">
        <v>198</v>
      </c>
      <c r="B93">
        <v>1905</v>
      </c>
      <c r="C93" s="1">
        <v>46135</v>
      </c>
      <c r="D93">
        <v>19874</v>
      </c>
      <c r="E93">
        <v>47015</v>
      </c>
      <c r="F93" s="1">
        <v>41275</v>
      </c>
      <c r="G93" s="21" t="s">
        <v>11</v>
      </c>
      <c r="H93" s="21" t="s">
        <v>12</v>
      </c>
      <c r="I93" s="21" t="s">
        <v>13</v>
      </c>
      <c r="J93">
        <v>4</v>
      </c>
      <c r="K93" t="s">
        <v>35</v>
      </c>
    </row>
    <row r="94" spans="1:11" x14ac:dyDescent="0.35">
      <c r="A94" s="21" t="s">
        <v>92</v>
      </c>
      <c r="B94">
        <v>1905</v>
      </c>
      <c r="C94" s="1">
        <v>46062</v>
      </c>
      <c r="D94">
        <v>18906</v>
      </c>
      <c r="E94">
        <v>44895</v>
      </c>
      <c r="F94" s="1">
        <v>37622</v>
      </c>
      <c r="G94" s="21" t="s">
        <v>17</v>
      </c>
      <c r="H94" s="21" t="s">
        <v>12</v>
      </c>
      <c r="I94" s="21" t="s">
        <v>13</v>
      </c>
      <c r="J94">
        <v>2</v>
      </c>
      <c r="K94" t="s">
        <v>34</v>
      </c>
    </row>
    <row r="95" spans="1:11" x14ac:dyDescent="0.35">
      <c r="A95" s="21" t="s">
        <v>133</v>
      </c>
      <c r="B95">
        <v>1905</v>
      </c>
      <c r="C95" s="1">
        <v>46083</v>
      </c>
      <c r="D95">
        <v>19109</v>
      </c>
      <c r="E95">
        <v>45195</v>
      </c>
      <c r="F95" s="1">
        <v>43831</v>
      </c>
      <c r="G95" s="21" t="s">
        <v>0</v>
      </c>
      <c r="H95" s="21" t="s">
        <v>134</v>
      </c>
      <c r="I95" s="21" t="s">
        <v>13</v>
      </c>
      <c r="J95">
        <v>3</v>
      </c>
      <c r="K95" t="s">
        <v>37</v>
      </c>
    </row>
    <row r="96" spans="1:11" x14ac:dyDescent="0.35">
      <c r="A96" s="21" t="s">
        <v>24</v>
      </c>
      <c r="B96">
        <v>1905</v>
      </c>
      <c r="C96" s="1">
        <v>46030</v>
      </c>
      <c r="D96">
        <v>18444</v>
      </c>
      <c r="E96">
        <v>44327</v>
      </c>
      <c r="F96" s="1">
        <v>45292</v>
      </c>
      <c r="G96" s="21" t="s">
        <v>17</v>
      </c>
      <c r="H96" s="21" t="s">
        <v>12</v>
      </c>
      <c r="I96" s="21" t="s">
        <v>13</v>
      </c>
      <c r="J96">
        <v>1</v>
      </c>
      <c r="K96" t="s">
        <v>33</v>
      </c>
    </row>
    <row r="97" spans="1:11" x14ac:dyDescent="0.35">
      <c r="A97" s="21" t="s">
        <v>105</v>
      </c>
      <c r="B97">
        <v>1905</v>
      </c>
      <c r="C97" s="1">
        <v>46055</v>
      </c>
      <c r="D97">
        <v>18850</v>
      </c>
      <c r="E97">
        <v>44822</v>
      </c>
      <c r="F97" s="1">
        <v>39814</v>
      </c>
      <c r="G97" s="21" t="s">
        <v>11</v>
      </c>
      <c r="H97" s="21" t="s">
        <v>12</v>
      </c>
      <c r="I97" s="21" t="s">
        <v>13</v>
      </c>
      <c r="J97">
        <v>2</v>
      </c>
      <c r="K97" t="s">
        <v>36</v>
      </c>
    </row>
    <row r="98" spans="1:11" x14ac:dyDescent="0.35">
      <c r="A98" s="21" t="s">
        <v>116</v>
      </c>
      <c r="B98">
        <v>1905</v>
      </c>
      <c r="C98" s="1">
        <v>46070</v>
      </c>
      <c r="D98">
        <v>18958</v>
      </c>
      <c r="E98">
        <v>44993</v>
      </c>
      <c r="F98" s="1">
        <v>43831</v>
      </c>
      <c r="G98" s="21" t="s">
        <v>11</v>
      </c>
      <c r="H98" s="21" t="s">
        <v>12</v>
      </c>
      <c r="I98" s="21" t="s">
        <v>13</v>
      </c>
      <c r="J98">
        <v>2</v>
      </c>
      <c r="K98" t="s">
        <v>37</v>
      </c>
    </row>
    <row r="99" spans="1:11" x14ac:dyDescent="0.35">
      <c r="A99" s="21" t="s">
        <v>77</v>
      </c>
      <c r="B99">
        <v>1905</v>
      </c>
      <c r="C99" s="1">
        <v>46044</v>
      </c>
      <c r="D99">
        <v>18717</v>
      </c>
      <c r="E99">
        <v>44617</v>
      </c>
      <c r="F99" s="1">
        <v>43101</v>
      </c>
      <c r="G99" s="21" t="s">
        <v>17</v>
      </c>
      <c r="H99" s="21" t="s">
        <v>12</v>
      </c>
      <c r="I99" s="21" t="s">
        <v>13</v>
      </c>
      <c r="J99">
        <v>1</v>
      </c>
      <c r="K99" t="s">
        <v>37</v>
      </c>
    </row>
    <row r="100" spans="1:11" x14ac:dyDescent="0.35">
      <c r="A100" s="21" t="s">
        <v>171</v>
      </c>
      <c r="B100">
        <v>1905</v>
      </c>
      <c r="C100" s="1">
        <v>46085</v>
      </c>
      <c r="D100">
        <v>19156</v>
      </c>
      <c r="E100">
        <v>45291</v>
      </c>
      <c r="F100" s="1">
        <v>40544</v>
      </c>
      <c r="G100" s="21" t="s">
        <v>11</v>
      </c>
      <c r="H100" s="21" t="s">
        <v>12</v>
      </c>
      <c r="I100" s="21" t="s">
        <v>13</v>
      </c>
      <c r="J100">
        <v>3</v>
      </c>
      <c r="K100" t="s">
        <v>36</v>
      </c>
    </row>
    <row r="101" spans="1:11" x14ac:dyDescent="0.35">
      <c r="A101" s="21" t="s">
        <v>258</v>
      </c>
      <c r="B101">
        <v>1905</v>
      </c>
      <c r="C101" s="1">
        <v>46121</v>
      </c>
      <c r="D101">
        <v>19622</v>
      </c>
      <c r="E101">
        <v>46231</v>
      </c>
      <c r="F101" s="1">
        <v>46023</v>
      </c>
      <c r="G101" s="21" t="s">
        <v>0</v>
      </c>
      <c r="H101" s="21" t="s">
        <v>12</v>
      </c>
      <c r="I101" s="21" t="s">
        <v>13</v>
      </c>
      <c r="J101">
        <v>4</v>
      </c>
      <c r="K101" t="s">
        <v>33</v>
      </c>
    </row>
    <row r="102" spans="1:11" x14ac:dyDescent="0.35">
      <c r="A102" s="21" t="s">
        <v>180</v>
      </c>
      <c r="B102">
        <v>1905</v>
      </c>
      <c r="C102" s="1">
        <v>46111</v>
      </c>
      <c r="D102">
        <v>19477</v>
      </c>
      <c r="E102">
        <v>45869</v>
      </c>
      <c r="F102" s="1">
        <v>40544</v>
      </c>
      <c r="G102" s="21" t="s">
        <v>11</v>
      </c>
      <c r="H102" s="21" t="s">
        <v>12</v>
      </c>
      <c r="I102" s="21" t="s">
        <v>13</v>
      </c>
      <c r="J102">
        <v>3</v>
      </c>
      <c r="K102" t="s">
        <v>36</v>
      </c>
    </row>
    <row r="103" spans="1:11" x14ac:dyDescent="0.35">
      <c r="A103" s="21" t="s">
        <v>181</v>
      </c>
      <c r="B103">
        <v>1905</v>
      </c>
      <c r="C103" s="1">
        <v>46090</v>
      </c>
      <c r="D103">
        <v>19241</v>
      </c>
      <c r="E103">
        <v>45429</v>
      </c>
      <c r="F103" s="1">
        <v>44562</v>
      </c>
      <c r="G103" s="21" t="s">
        <v>11</v>
      </c>
      <c r="H103" s="21" t="s">
        <v>12</v>
      </c>
      <c r="I103" s="21" t="s">
        <v>13</v>
      </c>
      <c r="J103">
        <v>3</v>
      </c>
      <c r="K103" t="s">
        <v>33</v>
      </c>
    </row>
    <row r="104" spans="1:11" x14ac:dyDescent="0.35">
      <c r="A104" s="21" t="s">
        <v>125</v>
      </c>
      <c r="B104">
        <v>1905</v>
      </c>
      <c r="C104" s="1">
        <v>46069</v>
      </c>
      <c r="D104">
        <v>18949</v>
      </c>
      <c r="E104">
        <v>44981</v>
      </c>
      <c r="F104" s="1">
        <v>43831</v>
      </c>
      <c r="G104" s="21" t="s">
        <v>11</v>
      </c>
      <c r="H104" s="21" t="s">
        <v>12</v>
      </c>
      <c r="I104" s="21" t="s">
        <v>13</v>
      </c>
      <c r="J104">
        <v>2</v>
      </c>
      <c r="K104" t="s">
        <v>37</v>
      </c>
    </row>
    <row r="105" spans="1:11" x14ac:dyDescent="0.35">
      <c r="A105" s="21" t="s">
        <v>147</v>
      </c>
      <c r="B105">
        <v>2016.29</v>
      </c>
      <c r="C105" s="1">
        <v>46108</v>
      </c>
      <c r="D105">
        <v>19480</v>
      </c>
      <c r="E105">
        <v>45872</v>
      </c>
      <c r="F105" s="1">
        <v>36892</v>
      </c>
      <c r="G105" s="21" t="s">
        <v>15</v>
      </c>
      <c r="H105" s="21" t="s">
        <v>148</v>
      </c>
      <c r="I105" s="21" t="s">
        <v>108</v>
      </c>
      <c r="J105">
        <v>3</v>
      </c>
      <c r="K105" t="s">
        <v>34</v>
      </c>
    </row>
    <row r="106" spans="1:11" x14ac:dyDescent="0.35">
      <c r="A106" s="21" t="s">
        <v>118</v>
      </c>
      <c r="B106">
        <v>2160</v>
      </c>
      <c r="C106" s="1">
        <v>46071</v>
      </c>
      <c r="D106">
        <v>18975</v>
      </c>
      <c r="E106">
        <v>45010</v>
      </c>
      <c r="F106" s="1">
        <v>35796</v>
      </c>
      <c r="G106" s="21" t="s">
        <v>94</v>
      </c>
      <c r="H106" s="21" t="s">
        <v>12</v>
      </c>
      <c r="I106" s="21" t="s">
        <v>13</v>
      </c>
      <c r="J106">
        <v>2</v>
      </c>
      <c r="K106" t="s">
        <v>34</v>
      </c>
    </row>
    <row r="107" spans="1:11" x14ac:dyDescent="0.35">
      <c r="A107" s="21" t="s">
        <v>229</v>
      </c>
      <c r="B107">
        <v>2351</v>
      </c>
      <c r="C107" s="1">
        <v>46121</v>
      </c>
      <c r="D107">
        <v>19623</v>
      </c>
      <c r="E107">
        <v>46232</v>
      </c>
      <c r="F107" s="1">
        <v>38718</v>
      </c>
      <c r="G107" s="21" t="s">
        <v>15</v>
      </c>
      <c r="H107" s="21" t="s">
        <v>230</v>
      </c>
      <c r="I107" s="21" t="s">
        <v>108</v>
      </c>
      <c r="J107">
        <v>4</v>
      </c>
      <c r="K107" t="s">
        <v>34</v>
      </c>
    </row>
    <row r="108" spans="1:11" x14ac:dyDescent="0.35">
      <c r="A108" s="21" t="s">
        <v>64</v>
      </c>
      <c r="B108">
        <v>2370</v>
      </c>
      <c r="C108" s="1">
        <v>46035</v>
      </c>
      <c r="D108">
        <v>18613</v>
      </c>
      <c r="E108">
        <v>44511</v>
      </c>
      <c r="F108" s="1">
        <v>37622</v>
      </c>
      <c r="G108" s="21" t="s">
        <v>17</v>
      </c>
      <c r="H108" s="21" t="s">
        <v>12</v>
      </c>
      <c r="I108" s="21" t="s">
        <v>18</v>
      </c>
      <c r="J108">
        <v>1</v>
      </c>
      <c r="K108" t="s">
        <v>34</v>
      </c>
    </row>
    <row r="109" spans="1:11" x14ac:dyDescent="0.35">
      <c r="A109" s="21" t="s">
        <v>205</v>
      </c>
      <c r="B109">
        <v>2370</v>
      </c>
      <c r="C109" s="1">
        <v>46119</v>
      </c>
      <c r="D109">
        <v>19578</v>
      </c>
      <c r="E109">
        <v>46089</v>
      </c>
      <c r="F109" s="1">
        <v>44562</v>
      </c>
      <c r="G109" s="21" t="s">
        <v>17</v>
      </c>
      <c r="H109" s="21" t="s">
        <v>12</v>
      </c>
      <c r="I109" s="21" t="s">
        <v>18</v>
      </c>
      <c r="J109">
        <v>4</v>
      </c>
      <c r="K109" t="s">
        <v>33</v>
      </c>
    </row>
    <row r="110" spans="1:11" x14ac:dyDescent="0.35">
      <c r="A110" s="21" t="s">
        <v>235</v>
      </c>
      <c r="B110">
        <v>2370</v>
      </c>
      <c r="C110" s="1">
        <v>46121</v>
      </c>
      <c r="D110">
        <v>19619</v>
      </c>
      <c r="E110">
        <v>46228</v>
      </c>
      <c r="F110" s="1">
        <v>45658</v>
      </c>
      <c r="G110" s="21" t="s">
        <v>17</v>
      </c>
      <c r="H110" s="21" t="s">
        <v>236</v>
      </c>
      <c r="I110" s="21" t="s">
        <v>18</v>
      </c>
      <c r="J110">
        <v>4</v>
      </c>
      <c r="K110" t="s">
        <v>33</v>
      </c>
    </row>
    <row r="111" spans="1:11" x14ac:dyDescent="0.35">
      <c r="A111" s="21" t="s">
        <v>63</v>
      </c>
      <c r="B111">
        <v>2370</v>
      </c>
      <c r="C111" s="1">
        <v>46042</v>
      </c>
      <c r="D111">
        <v>18672</v>
      </c>
      <c r="E111">
        <v>44570</v>
      </c>
      <c r="F111" s="1">
        <v>41640</v>
      </c>
      <c r="G111" s="21" t="s">
        <v>17</v>
      </c>
      <c r="H111" s="21" t="s">
        <v>12</v>
      </c>
      <c r="I111" s="21" t="s">
        <v>18</v>
      </c>
      <c r="J111">
        <v>1</v>
      </c>
      <c r="K111" t="s">
        <v>35</v>
      </c>
    </row>
    <row r="112" spans="1:11" x14ac:dyDescent="0.35">
      <c r="A112" s="21" t="s">
        <v>250</v>
      </c>
      <c r="B112">
        <v>2370</v>
      </c>
      <c r="C112" s="1">
        <v>46126</v>
      </c>
      <c r="D112">
        <v>19692</v>
      </c>
      <c r="E112">
        <v>46414</v>
      </c>
      <c r="F112" s="1">
        <v>44562</v>
      </c>
      <c r="G112" s="21" t="s">
        <v>17</v>
      </c>
      <c r="H112" s="21" t="s">
        <v>12</v>
      </c>
      <c r="I112" s="21" t="s">
        <v>18</v>
      </c>
      <c r="J112">
        <v>4</v>
      </c>
      <c r="K112" t="s">
        <v>33</v>
      </c>
    </row>
    <row r="113" spans="1:11" x14ac:dyDescent="0.35">
      <c r="A113" s="21" t="s">
        <v>176</v>
      </c>
      <c r="B113">
        <v>2370</v>
      </c>
      <c r="C113" s="1">
        <v>46108</v>
      </c>
      <c r="D113">
        <v>19461</v>
      </c>
      <c r="E113">
        <v>45835</v>
      </c>
      <c r="F113" s="1">
        <v>38353</v>
      </c>
      <c r="G113" s="21" t="s">
        <v>17</v>
      </c>
      <c r="H113" s="21" t="s">
        <v>12</v>
      </c>
      <c r="I113" s="21" t="s">
        <v>18</v>
      </c>
      <c r="J113">
        <v>3</v>
      </c>
      <c r="K113" t="s">
        <v>34</v>
      </c>
    </row>
    <row r="114" spans="1:11" x14ac:dyDescent="0.35">
      <c r="A114" s="21" t="s">
        <v>192</v>
      </c>
      <c r="B114">
        <v>2370</v>
      </c>
      <c r="C114" s="1">
        <v>46100</v>
      </c>
      <c r="D114">
        <v>19365</v>
      </c>
      <c r="E114">
        <v>45676</v>
      </c>
      <c r="F114" s="1">
        <v>46023</v>
      </c>
      <c r="G114" s="21" t="s">
        <v>17</v>
      </c>
      <c r="H114" s="21" t="s">
        <v>12</v>
      </c>
      <c r="I114" s="21" t="s">
        <v>18</v>
      </c>
      <c r="J114">
        <v>3</v>
      </c>
      <c r="K114" t="s">
        <v>33</v>
      </c>
    </row>
    <row r="115" spans="1:11" x14ac:dyDescent="0.35">
      <c r="A115" s="21" t="s">
        <v>142</v>
      </c>
      <c r="B115">
        <v>2562</v>
      </c>
      <c r="C115" s="1">
        <v>46105</v>
      </c>
      <c r="D115">
        <v>19408</v>
      </c>
      <c r="E115">
        <v>45758</v>
      </c>
      <c r="F115" s="1">
        <v>35065</v>
      </c>
      <c r="G115" s="21" t="s">
        <v>15</v>
      </c>
      <c r="H115" s="21" t="s">
        <v>134</v>
      </c>
      <c r="I115" s="21" t="s">
        <v>108</v>
      </c>
      <c r="J115">
        <v>3</v>
      </c>
      <c r="K115" t="s">
        <v>34</v>
      </c>
    </row>
    <row r="116" spans="1:11" x14ac:dyDescent="0.35">
      <c r="A116" s="21" t="s">
        <v>129</v>
      </c>
      <c r="B116">
        <v>2680</v>
      </c>
      <c r="C116" s="1">
        <v>46106</v>
      </c>
      <c r="D116">
        <v>19429</v>
      </c>
      <c r="E116">
        <v>45783</v>
      </c>
      <c r="F116" s="1">
        <v>43466</v>
      </c>
      <c r="G116" s="21" t="s">
        <v>94</v>
      </c>
      <c r="H116" s="21" t="s">
        <v>12</v>
      </c>
      <c r="I116" s="21" t="s">
        <v>18</v>
      </c>
      <c r="J116">
        <v>3</v>
      </c>
      <c r="K116" t="s">
        <v>37</v>
      </c>
    </row>
    <row r="117" spans="1:11" x14ac:dyDescent="0.35">
      <c r="A117" s="21" t="s">
        <v>25</v>
      </c>
      <c r="B117">
        <v>2680</v>
      </c>
      <c r="C117" s="1">
        <v>46038</v>
      </c>
      <c r="D117">
        <v>18656</v>
      </c>
      <c r="E117">
        <v>44554</v>
      </c>
      <c r="F117" s="1">
        <v>36892</v>
      </c>
      <c r="G117" s="21" t="s">
        <v>11</v>
      </c>
      <c r="H117" s="21" t="s">
        <v>12</v>
      </c>
      <c r="I117" s="21" t="s">
        <v>18</v>
      </c>
      <c r="J117">
        <v>1</v>
      </c>
      <c r="K117" t="s">
        <v>34</v>
      </c>
    </row>
    <row r="118" spans="1:11" x14ac:dyDescent="0.35">
      <c r="A118" s="21" t="s">
        <v>259</v>
      </c>
      <c r="B118">
        <v>2680</v>
      </c>
      <c r="C118" s="1">
        <v>46142</v>
      </c>
      <c r="D118">
        <v>19981</v>
      </c>
      <c r="E118">
        <v>47208</v>
      </c>
      <c r="F118" s="1">
        <v>39814</v>
      </c>
      <c r="G118" s="21" t="s">
        <v>11</v>
      </c>
      <c r="H118" s="21" t="s">
        <v>12</v>
      </c>
      <c r="I118" s="21" t="s">
        <v>18</v>
      </c>
      <c r="J118">
        <v>4</v>
      </c>
      <c r="K118" t="s">
        <v>36</v>
      </c>
    </row>
    <row r="119" spans="1:11" x14ac:dyDescent="0.35">
      <c r="A119" s="21" t="s">
        <v>84</v>
      </c>
      <c r="B119">
        <v>2680</v>
      </c>
      <c r="C119" s="1">
        <v>46038</v>
      </c>
      <c r="D119">
        <v>18660</v>
      </c>
      <c r="E119">
        <v>44559</v>
      </c>
      <c r="F119" s="1">
        <v>40544</v>
      </c>
      <c r="G119" s="21" t="s">
        <v>11</v>
      </c>
      <c r="H119" s="21" t="s">
        <v>12</v>
      </c>
      <c r="I119" s="21" t="s">
        <v>18</v>
      </c>
      <c r="J119">
        <v>1</v>
      </c>
      <c r="K119" t="s">
        <v>36</v>
      </c>
    </row>
    <row r="120" spans="1:11" x14ac:dyDescent="0.35">
      <c r="A120" s="21" t="s">
        <v>260</v>
      </c>
      <c r="B120">
        <v>2680</v>
      </c>
      <c r="C120" s="1">
        <v>46129</v>
      </c>
      <c r="D120">
        <v>19803</v>
      </c>
      <c r="E120">
        <v>46853</v>
      </c>
      <c r="F120" s="1">
        <v>42736</v>
      </c>
      <c r="G120" s="21" t="s">
        <v>11</v>
      </c>
      <c r="H120" s="21" t="s">
        <v>12</v>
      </c>
      <c r="I120" s="21" t="s">
        <v>18</v>
      </c>
      <c r="J120">
        <v>4</v>
      </c>
      <c r="K120" t="s">
        <v>35</v>
      </c>
    </row>
    <row r="121" spans="1:11" x14ac:dyDescent="0.35">
      <c r="A121" s="21" t="s">
        <v>85</v>
      </c>
      <c r="B121">
        <v>2680</v>
      </c>
      <c r="C121" s="1">
        <v>46052</v>
      </c>
      <c r="D121">
        <v>18826</v>
      </c>
      <c r="E121">
        <v>44799</v>
      </c>
      <c r="F121" s="1">
        <v>42736</v>
      </c>
      <c r="G121" s="21" t="s">
        <v>11</v>
      </c>
      <c r="H121" s="21" t="s">
        <v>12</v>
      </c>
      <c r="I121" s="21" t="s">
        <v>18</v>
      </c>
      <c r="J121">
        <v>1</v>
      </c>
      <c r="K121" t="s">
        <v>35</v>
      </c>
    </row>
    <row r="122" spans="1:11" x14ac:dyDescent="0.35">
      <c r="A122" s="21" t="s">
        <v>56</v>
      </c>
      <c r="B122">
        <v>2990</v>
      </c>
      <c r="C122" s="1">
        <v>46045</v>
      </c>
      <c r="D122">
        <v>18722</v>
      </c>
      <c r="E122">
        <v>44622</v>
      </c>
      <c r="F122" s="1">
        <v>45658</v>
      </c>
      <c r="G122" s="21" t="s">
        <v>17</v>
      </c>
      <c r="H122" s="21" t="s">
        <v>12</v>
      </c>
      <c r="I122" s="21" t="s">
        <v>13</v>
      </c>
      <c r="J122">
        <v>1</v>
      </c>
      <c r="K122" t="s">
        <v>33</v>
      </c>
    </row>
    <row r="123" spans="1:11" x14ac:dyDescent="0.35">
      <c r="A123" s="21" t="s">
        <v>251</v>
      </c>
      <c r="B123">
        <v>2990</v>
      </c>
      <c r="C123" s="1">
        <v>46133</v>
      </c>
      <c r="D123">
        <v>19837</v>
      </c>
      <c r="E123">
        <v>46935</v>
      </c>
      <c r="F123" s="1">
        <v>44927</v>
      </c>
      <c r="G123" s="21" t="s">
        <v>0</v>
      </c>
      <c r="H123" s="21" t="s">
        <v>12</v>
      </c>
      <c r="I123" s="21" t="s">
        <v>13</v>
      </c>
      <c r="J123">
        <v>4</v>
      </c>
      <c r="K123" t="s">
        <v>33</v>
      </c>
    </row>
    <row r="124" spans="1:11" x14ac:dyDescent="0.35">
      <c r="A124" s="21" t="s">
        <v>78</v>
      </c>
      <c r="B124">
        <v>2990</v>
      </c>
      <c r="C124" s="1">
        <v>46031</v>
      </c>
      <c r="D124">
        <v>18479</v>
      </c>
      <c r="E124">
        <v>44361</v>
      </c>
      <c r="F124" s="1">
        <v>44197</v>
      </c>
      <c r="G124" s="21" t="s">
        <v>17</v>
      </c>
      <c r="H124" s="21" t="s">
        <v>12</v>
      </c>
      <c r="I124" s="21" t="s">
        <v>13</v>
      </c>
      <c r="J124">
        <v>1</v>
      </c>
      <c r="K124" t="s">
        <v>37</v>
      </c>
    </row>
    <row r="125" spans="1:11" x14ac:dyDescent="0.35">
      <c r="A125" s="21" t="s">
        <v>193</v>
      </c>
      <c r="B125">
        <v>2990</v>
      </c>
      <c r="C125" s="1">
        <v>46087</v>
      </c>
      <c r="D125">
        <v>19228</v>
      </c>
      <c r="E125">
        <v>45393</v>
      </c>
      <c r="F125" s="1">
        <v>45658</v>
      </c>
      <c r="G125" s="21" t="s">
        <v>17</v>
      </c>
      <c r="H125" s="21" t="s">
        <v>12</v>
      </c>
      <c r="I125" s="21" t="s">
        <v>13</v>
      </c>
      <c r="J125">
        <v>3</v>
      </c>
      <c r="K125" t="s">
        <v>33</v>
      </c>
    </row>
    <row r="126" spans="1:11" x14ac:dyDescent="0.35">
      <c r="A126" s="21" t="s">
        <v>195</v>
      </c>
      <c r="B126">
        <v>5460</v>
      </c>
      <c r="C126" s="1">
        <v>46125</v>
      </c>
      <c r="D126">
        <v>19656</v>
      </c>
      <c r="E126">
        <v>46344</v>
      </c>
      <c r="F126" s="1">
        <v>40909</v>
      </c>
      <c r="G126" s="21" t="s">
        <v>11</v>
      </c>
      <c r="H126" s="21" t="s">
        <v>103</v>
      </c>
      <c r="I126" s="21" t="s">
        <v>18</v>
      </c>
      <c r="J126">
        <v>4</v>
      </c>
      <c r="K126" t="s">
        <v>36</v>
      </c>
    </row>
    <row r="127" spans="1:11" x14ac:dyDescent="0.35">
      <c r="A127" s="21" t="s">
        <v>158</v>
      </c>
      <c r="B127">
        <v>5460</v>
      </c>
      <c r="C127" s="1">
        <v>46097</v>
      </c>
      <c r="D127">
        <v>19301</v>
      </c>
      <c r="E127">
        <v>45540</v>
      </c>
      <c r="F127" s="1">
        <v>42736</v>
      </c>
      <c r="G127" s="21" t="s">
        <v>11</v>
      </c>
      <c r="H127" s="21" t="s">
        <v>159</v>
      </c>
      <c r="I127" s="21" t="s">
        <v>18</v>
      </c>
      <c r="J127">
        <v>3</v>
      </c>
      <c r="K127" t="s">
        <v>35</v>
      </c>
    </row>
    <row r="128" spans="1:11" x14ac:dyDescent="0.35">
      <c r="A128" s="21" t="s">
        <v>27</v>
      </c>
      <c r="B128">
        <v>5460</v>
      </c>
      <c r="C128" s="1">
        <v>46037</v>
      </c>
      <c r="D128">
        <v>18650</v>
      </c>
      <c r="E128">
        <v>44548</v>
      </c>
      <c r="F128" s="1">
        <v>39814</v>
      </c>
      <c r="G128" s="21" t="s">
        <v>11</v>
      </c>
      <c r="H128" s="21" t="s">
        <v>12</v>
      </c>
      <c r="I128" s="21" t="s">
        <v>18</v>
      </c>
      <c r="J128">
        <v>1</v>
      </c>
      <c r="K128" t="s">
        <v>36</v>
      </c>
    </row>
    <row r="129" spans="1:11" x14ac:dyDescent="0.35">
      <c r="A129" s="21" t="s">
        <v>172</v>
      </c>
      <c r="B129">
        <v>5460</v>
      </c>
      <c r="C129" s="1">
        <v>46090</v>
      </c>
      <c r="D129">
        <v>19245</v>
      </c>
      <c r="E129">
        <v>45433</v>
      </c>
      <c r="F129" s="1">
        <v>44927</v>
      </c>
      <c r="G129" s="21" t="s">
        <v>11</v>
      </c>
      <c r="H129" s="21" t="s">
        <v>12</v>
      </c>
      <c r="I129" s="21" t="s">
        <v>18</v>
      </c>
      <c r="J129">
        <v>3</v>
      </c>
      <c r="K129" t="s">
        <v>33</v>
      </c>
    </row>
    <row r="130" spans="1:11" x14ac:dyDescent="0.35">
      <c r="A130" s="21" t="s">
        <v>90</v>
      </c>
      <c r="B130">
        <v>5770</v>
      </c>
      <c r="C130" s="1">
        <v>46064</v>
      </c>
      <c r="D130">
        <v>18923</v>
      </c>
      <c r="E130">
        <v>44942</v>
      </c>
      <c r="F130" s="1">
        <v>36161</v>
      </c>
      <c r="G130" s="21" t="s">
        <v>91</v>
      </c>
      <c r="H130" s="21" t="s">
        <v>12</v>
      </c>
      <c r="I130" s="21" t="s">
        <v>18</v>
      </c>
      <c r="J130">
        <v>2</v>
      </c>
      <c r="K130" t="s">
        <v>34</v>
      </c>
    </row>
    <row r="131" spans="1:11" x14ac:dyDescent="0.35">
      <c r="A131" s="21" t="s">
        <v>234</v>
      </c>
      <c r="B131">
        <v>5770</v>
      </c>
      <c r="C131" s="1">
        <v>46136</v>
      </c>
      <c r="D131">
        <v>19917</v>
      </c>
      <c r="E131">
        <v>47095</v>
      </c>
      <c r="F131" s="1">
        <v>46023</v>
      </c>
      <c r="G131" s="21" t="s">
        <v>17</v>
      </c>
      <c r="H131" s="21" t="s">
        <v>12</v>
      </c>
      <c r="I131" s="21" t="s">
        <v>18</v>
      </c>
      <c r="J131">
        <v>4</v>
      </c>
      <c r="K131" t="s">
        <v>33</v>
      </c>
    </row>
    <row r="132" spans="1:11" x14ac:dyDescent="0.35">
      <c r="A132" s="21" t="s">
        <v>164</v>
      </c>
      <c r="B132">
        <v>5770</v>
      </c>
      <c r="C132" s="1">
        <v>46094</v>
      </c>
      <c r="D132">
        <v>19294</v>
      </c>
      <c r="E132">
        <v>45528</v>
      </c>
      <c r="F132" s="1">
        <v>45658</v>
      </c>
      <c r="G132" s="21" t="s">
        <v>0</v>
      </c>
      <c r="H132" s="21" t="s">
        <v>12</v>
      </c>
      <c r="I132" s="21" t="s">
        <v>18</v>
      </c>
      <c r="J132">
        <v>3</v>
      </c>
      <c r="K132" t="s">
        <v>33</v>
      </c>
    </row>
    <row r="133" spans="1:11" x14ac:dyDescent="0.35">
      <c r="A133" s="21" t="s">
        <v>186</v>
      </c>
      <c r="B133">
        <v>5770</v>
      </c>
      <c r="C133" s="1">
        <v>46108</v>
      </c>
      <c r="D133">
        <v>19453</v>
      </c>
      <c r="E133">
        <v>45819</v>
      </c>
      <c r="F133" s="1">
        <v>37622</v>
      </c>
      <c r="G133" s="21" t="s">
        <v>91</v>
      </c>
      <c r="H133" s="21" t="s">
        <v>12</v>
      </c>
      <c r="I133" s="21" t="s">
        <v>18</v>
      </c>
      <c r="J133">
        <v>3</v>
      </c>
      <c r="K133" t="s">
        <v>34</v>
      </c>
    </row>
    <row r="134" spans="1:11" x14ac:dyDescent="0.35">
      <c r="A134" s="21" t="s">
        <v>212</v>
      </c>
      <c r="B134">
        <v>6194</v>
      </c>
      <c r="C134" s="1">
        <v>46121</v>
      </c>
      <c r="D134">
        <v>19621</v>
      </c>
      <c r="E134">
        <v>46230</v>
      </c>
      <c r="F134" s="1">
        <v>42005</v>
      </c>
      <c r="G134" s="21" t="s">
        <v>15</v>
      </c>
      <c r="H134" s="21" t="s">
        <v>213</v>
      </c>
      <c r="I134" s="21" t="s">
        <v>108</v>
      </c>
      <c r="J134">
        <v>4</v>
      </c>
      <c r="K134" t="s">
        <v>35</v>
      </c>
    </row>
    <row r="135" spans="1:11" x14ac:dyDescent="0.35">
      <c r="A135" s="21" t="s">
        <v>97</v>
      </c>
      <c r="B135">
        <v>7210</v>
      </c>
      <c r="C135" s="1">
        <v>46059</v>
      </c>
      <c r="D135">
        <v>18957</v>
      </c>
      <c r="E135">
        <v>44992</v>
      </c>
      <c r="F135" s="1">
        <v>44927</v>
      </c>
      <c r="G135" s="21" t="s">
        <v>94</v>
      </c>
      <c r="H135" s="21" t="s">
        <v>12</v>
      </c>
      <c r="I135" s="21" t="s">
        <v>18</v>
      </c>
      <c r="J135">
        <v>2</v>
      </c>
      <c r="K135" t="s">
        <v>33</v>
      </c>
    </row>
    <row r="136" spans="1:11" x14ac:dyDescent="0.35">
      <c r="A136" s="21" t="s">
        <v>184</v>
      </c>
      <c r="B136">
        <v>7570</v>
      </c>
      <c r="C136" s="1">
        <v>46112</v>
      </c>
      <c r="D136">
        <v>19505</v>
      </c>
      <c r="E136">
        <v>45905</v>
      </c>
      <c r="F136" s="1">
        <v>38718</v>
      </c>
      <c r="G136" s="21" t="s">
        <v>94</v>
      </c>
      <c r="H136" s="21" t="s">
        <v>12</v>
      </c>
      <c r="I136" s="21" t="s">
        <v>18</v>
      </c>
      <c r="J136">
        <v>3</v>
      </c>
      <c r="K136" t="s">
        <v>34</v>
      </c>
    </row>
    <row r="137" spans="1:11" x14ac:dyDescent="0.35">
      <c r="A137" s="21" t="s">
        <v>149</v>
      </c>
      <c r="B137">
        <v>8050</v>
      </c>
      <c r="C137" s="1">
        <v>46108</v>
      </c>
      <c r="D137">
        <v>19455</v>
      </c>
      <c r="E137">
        <v>45821</v>
      </c>
      <c r="F137" s="1">
        <v>39814</v>
      </c>
      <c r="G137" s="21" t="s">
        <v>15</v>
      </c>
      <c r="H137" s="21" t="s">
        <v>144</v>
      </c>
      <c r="I137" s="21" t="s">
        <v>108</v>
      </c>
      <c r="J137">
        <v>3</v>
      </c>
      <c r="K137" t="s">
        <v>36</v>
      </c>
    </row>
    <row r="138" spans="1:11" x14ac:dyDescent="0.35">
      <c r="A138" s="21" t="s">
        <v>109</v>
      </c>
      <c r="B138">
        <v>8456.1</v>
      </c>
      <c r="C138" s="1">
        <v>46070</v>
      </c>
      <c r="D138">
        <v>18962</v>
      </c>
      <c r="E138">
        <v>44997</v>
      </c>
      <c r="F138" s="1">
        <v>40179</v>
      </c>
      <c r="G138" s="21" t="s">
        <v>15</v>
      </c>
      <c r="H138" s="21" t="s">
        <v>110</v>
      </c>
      <c r="I138" s="21" t="s">
        <v>108</v>
      </c>
      <c r="J138">
        <v>2</v>
      </c>
      <c r="K138" t="s">
        <v>36</v>
      </c>
    </row>
    <row r="139" spans="1:11" x14ac:dyDescent="0.35">
      <c r="A139" s="21" t="s">
        <v>249</v>
      </c>
      <c r="B139">
        <v>8560</v>
      </c>
      <c r="C139" s="1">
        <v>46119</v>
      </c>
      <c r="D139">
        <v>19574</v>
      </c>
      <c r="E139">
        <v>46085</v>
      </c>
      <c r="F139" s="1">
        <v>33604</v>
      </c>
      <c r="G139" s="21" t="s">
        <v>11</v>
      </c>
      <c r="H139" s="21" t="s">
        <v>12</v>
      </c>
      <c r="I139" s="21" t="s">
        <v>18</v>
      </c>
      <c r="J139">
        <v>4</v>
      </c>
      <c r="K139" t="s">
        <v>34</v>
      </c>
    </row>
    <row r="140" spans="1:11" x14ac:dyDescent="0.35">
      <c r="A140" s="21" t="s">
        <v>156</v>
      </c>
      <c r="B140">
        <v>9344.16</v>
      </c>
      <c r="C140" s="1">
        <v>46111</v>
      </c>
      <c r="D140">
        <v>19479</v>
      </c>
      <c r="E140">
        <v>45871</v>
      </c>
      <c r="F140" s="1">
        <v>36161</v>
      </c>
      <c r="G140" s="21" t="s">
        <v>15</v>
      </c>
      <c r="H140" s="21" t="s">
        <v>157</v>
      </c>
      <c r="I140" s="21" t="s">
        <v>108</v>
      </c>
      <c r="J140">
        <v>3</v>
      </c>
      <c r="K140" t="s">
        <v>34</v>
      </c>
    </row>
    <row r="141" spans="1:11" x14ac:dyDescent="0.35">
      <c r="A141" s="21" t="s">
        <v>26</v>
      </c>
      <c r="B141">
        <v>9685</v>
      </c>
      <c r="C141" s="1">
        <v>46052</v>
      </c>
      <c r="D141">
        <v>18825</v>
      </c>
      <c r="E141">
        <v>44798</v>
      </c>
      <c r="F141" s="1">
        <v>42005</v>
      </c>
      <c r="G141" s="21" t="s">
        <v>17</v>
      </c>
      <c r="H141" s="21" t="s">
        <v>12</v>
      </c>
      <c r="I141" s="21" t="s">
        <v>18</v>
      </c>
      <c r="J141">
        <v>1</v>
      </c>
      <c r="K141" t="s">
        <v>35</v>
      </c>
    </row>
    <row r="142" spans="1:11" x14ac:dyDescent="0.35">
      <c r="A142" s="21" t="s">
        <v>137</v>
      </c>
      <c r="B142">
        <v>9685</v>
      </c>
      <c r="C142" s="1">
        <v>46092</v>
      </c>
      <c r="D142">
        <v>19269</v>
      </c>
      <c r="E142">
        <v>45476</v>
      </c>
      <c r="F142" s="1">
        <v>45292</v>
      </c>
      <c r="G142" s="21" t="s">
        <v>17</v>
      </c>
      <c r="H142" s="21" t="s">
        <v>12</v>
      </c>
      <c r="I142" s="21" t="s">
        <v>18</v>
      </c>
      <c r="J142">
        <v>3</v>
      </c>
      <c r="K142" t="s">
        <v>33</v>
      </c>
    </row>
    <row r="143" spans="1:11" x14ac:dyDescent="0.35">
      <c r="A143" s="21" t="s">
        <v>93</v>
      </c>
      <c r="B143">
        <v>9990</v>
      </c>
      <c r="C143" s="1">
        <v>46073</v>
      </c>
      <c r="D143">
        <v>18993</v>
      </c>
      <c r="E143">
        <v>45036</v>
      </c>
      <c r="F143" s="1">
        <v>39814</v>
      </c>
      <c r="G143" s="21" t="s">
        <v>94</v>
      </c>
      <c r="H143" s="21" t="s">
        <v>12</v>
      </c>
      <c r="I143" s="21" t="s">
        <v>18</v>
      </c>
      <c r="J143">
        <v>2</v>
      </c>
      <c r="K143" t="s">
        <v>36</v>
      </c>
    </row>
    <row r="144" spans="1:11" x14ac:dyDescent="0.35">
      <c r="A144" s="21" t="s">
        <v>190</v>
      </c>
      <c r="B144">
        <v>10170</v>
      </c>
      <c r="C144" s="1">
        <v>46101</v>
      </c>
      <c r="D144">
        <v>19377</v>
      </c>
      <c r="E144">
        <v>45703</v>
      </c>
      <c r="F144" s="1">
        <v>43101</v>
      </c>
      <c r="G144" s="21" t="s">
        <v>17</v>
      </c>
      <c r="H144" s="21" t="s">
        <v>12</v>
      </c>
      <c r="I144" s="21" t="s">
        <v>18</v>
      </c>
      <c r="J144">
        <v>3</v>
      </c>
      <c r="K144" t="s">
        <v>37</v>
      </c>
    </row>
    <row r="145" spans="1:11" x14ac:dyDescent="0.35">
      <c r="A145" s="21" t="s">
        <v>138</v>
      </c>
      <c r="B145">
        <v>11621</v>
      </c>
      <c r="C145" s="1">
        <v>46084</v>
      </c>
      <c r="D145">
        <v>19122</v>
      </c>
      <c r="E145">
        <v>45218</v>
      </c>
      <c r="F145" s="1">
        <v>39083</v>
      </c>
      <c r="G145" s="21" t="s">
        <v>15</v>
      </c>
      <c r="H145" s="21" t="s">
        <v>139</v>
      </c>
      <c r="I145" s="21" t="s">
        <v>108</v>
      </c>
      <c r="J145">
        <v>3</v>
      </c>
      <c r="K145" t="s">
        <v>34</v>
      </c>
    </row>
    <row r="146" spans="1:11" x14ac:dyDescent="0.35">
      <c r="A146" s="21" t="s">
        <v>214</v>
      </c>
      <c r="B146">
        <v>12735.05</v>
      </c>
      <c r="C146" s="1">
        <v>46113</v>
      </c>
      <c r="D146">
        <v>19521</v>
      </c>
      <c r="E146">
        <v>45948</v>
      </c>
      <c r="F146" s="1">
        <v>37987</v>
      </c>
      <c r="G146" s="21" t="s">
        <v>15</v>
      </c>
      <c r="H146" s="21" t="s">
        <v>103</v>
      </c>
      <c r="I146" s="21" t="s">
        <v>108</v>
      </c>
      <c r="J146">
        <v>4</v>
      </c>
      <c r="K146" t="s">
        <v>34</v>
      </c>
    </row>
    <row r="147" spans="1:11" x14ac:dyDescent="0.35">
      <c r="A147" s="21" t="s">
        <v>217</v>
      </c>
      <c r="B147">
        <v>13441.75</v>
      </c>
      <c r="C147" s="1">
        <v>46103</v>
      </c>
      <c r="D147">
        <v>19846</v>
      </c>
      <c r="E147">
        <v>46944</v>
      </c>
      <c r="F147" s="1">
        <v>37622</v>
      </c>
      <c r="G147" s="21" t="s">
        <v>15</v>
      </c>
      <c r="H147" s="21" t="s">
        <v>218</v>
      </c>
      <c r="I147" s="21" t="s">
        <v>108</v>
      </c>
      <c r="J147">
        <v>3</v>
      </c>
      <c r="K147" t="s">
        <v>34</v>
      </c>
    </row>
    <row r="148" spans="1:11" x14ac:dyDescent="0.35">
      <c r="A148" s="21" t="s">
        <v>215</v>
      </c>
      <c r="B148">
        <v>13979</v>
      </c>
      <c r="C148" s="1">
        <v>46113</v>
      </c>
      <c r="D148">
        <v>19527</v>
      </c>
      <c r="E148">
        <v>45953</v>
      </c>
      <c r="F148" s="1">
        <v>34700</v>
      </c>
      <c r="G148" s="21" t="s">
        <v>15</v>
      </c>
      <c r="H148" s="21" t="s">
        <v>216</v>
      </c>
      <c r="I148" s="21" t="s">
        <v>108</v>
      </c>
      <c r="J148">
        <v>4</v>
      </c>
      <c r="K148" t="s">
        <v>34</v>
      </c>
    </row>
    <row r="149" spans="1:11" x14ac:dyDescent="0.35">
      <c r="A149" s="21" t="s">
        <v>112</v>
      </c>
      <c r="B149">
        <v>14420</v>
      </c>
      <c r="C149" s="1">
        <v>46055</v>
      </c>
      <c r="D149">
        <v>18849</v>
      </c>
      <c r="E149">
        <v>44821</v>
      </c>
      <c r="F149" s="1">
        <v>37622</v>
      </c>
      <c r="G149" s="21" t="s">
        <v>94</v>
      </c>
      <c r="H149" s="21" t="s">
        <v>12</v>
      </c>
      <c r="I149" s="21" t="s">
        <v>18</v>
      </c>
      <c r="J149">
        <v>2</v>
      </c>
      <c r="K149" t="s">
        <v>34</v>
      </c>
    </row>
    <row r="150" spans="1:11" x14ac:dyDescent="0.35">
      <c r="A150" s="21" t="s">
        <v>231</v>
      </c>
      <c r="B150">
        <v>15225</v>
      </c>
      <c r="C150" s="1">
        <v>46128</v>
      </c>
      <c r="D150">
        <v>19750</v>
      </c>
      <c r="E150">
        <v>46618</v>
      </c>
      <c r="F150" s="1">
        <v>36526</v>
      </c>
      <c r="G150" s="21" t="s">
        <v>15</v>
      </c>
      <c r="H150" s="21" t="s">
        <v>120</v>
      </c>
      <c r="I150" s="21" t="s">
        <v>108</v>
      </c>
      <c r="J150">
        <v>4</v>
      </c>
      <c r="K150" t="s">
        <v>34</v>
      </c>
    </row>
    <row r="151" spans="1:11" x14ac:dyDescent="0.35">
      <c r="A151" s="21" t="s">
        <v>131</v>
      </c>
      <c r="B151">
        <v>16175</v>
      </c>
      <c r="C151" s="1">
        <v>46108</v>
      </c>
      <c r="D151">
        <v>19452</v>
      </c>
      <c r="E151">
        <v>45818</v>
      </c>
      <c r="F151" s="1">
        <v>40179</v>
      </c>
      <c r="G151" s="21" t="s">
        <v>17</v>
      </c>
      <c r="H151" s="21" t="s">
        <v>12</v>
      </c>
      <c r="I151" s="21" t="s">
        <v>18</v>
      </c>
      <c r="J151">
        <v>3</v>
      </c>
      <c r="K151" t="s">
        <v>36</v>
      </c>
    </row>
    <row r="152" spans="1:11" x14ac:dyDescent="0.35">
      <c r="A152" s="21" t="s">
        <v>114</v>
      </c>
      <c r="B152">
        <v>16175</v>
      </c>
      <c r="C152" s="1">
        <v>46073</v>
      </c>
      <c r="D152">
        <v>18994</v>
      </c>
      <c r="E152">
        <v>45037</v>
      </c>
      <c r="F152" s="1">
        <v>40179</v>
      </c>
      <c r="G152" s="21" t="s">
        <v>17</v>
      </c>
      <c r="H152" s="21" t="s">
        <v>12</v>
      </c>
      <c r="I152" s="21" t="s">
        <v>18</v>
      </c>
      <c r="J152">
        <v>2</v>
      </c>
      <c r="K152" t="s">
        <v>36</v>
      </c>
    </row>
    <row r="153" spans="1:11" x14ac:dyDescent="0.35">
      <c r="A153" s="21" t="s">
        <v>257</v>
      </c>
      <c r="B153">
        <v>16175</v>
      </c>
      <c r="C153" s="1">
        <v>46118</v>
      </c>
      <c r="D153">
        <v>19573</v>
      </c>
      <c r="E153">
        <v>46083</v>
      </c>
      <c r="F153" s="1">
        <v>35796</v>
      </c>
      <c r="G153" s="21" t="s">
        <v>17</v>
      </c>
      <c r="H153" s="21" t="s">
        <v>12</v>
      </c>
      <c r="I153" s="21" t="s">
        <v>18</v>
      </c>
      <c r="J153">
        <v>4</v>
      </c>
      <c r="K153" t="s">
        <v>34</v>
      </c>
    </row>
    <row r="154" spans="1:11" x14ac:dyDescent="0.35">
      <c r="A154" s="21" t="s">
        <v>248</v>
      </c>
      <c r="B154">
        <v>16480</v>
      </c>
      <c r="C154" s="1">
        <v>46129</v>
      </c>
      <c r="D154">
        <v>19779</v>
      </c>
      <c r="E154">
        <v>46745</v>
      </c>
      <c r="F154" s="1">
        <v>36526</v>
      </c>
      <c r="G154" s="21" t="s">
        <v>11</v>
      </c>
      <c r="H154" s="21" t="s">
        <v>151</v>
      </c>
      <c r="I154" s="21" t="s">
        <v>13</v>
      </c>
      <c r="J154">
        <v>4</v>
      </c>
      <c r="K154" t="s">
        <v>34</v>
      </c>
    </row>
    <row r="155" spans="1:11" x14ac:dyDescent="0.35">
      <c r="A155" s="21" t="s">
        <v>128</v>
      </c>
      <c r="B155">
        <v>16500</v>
      </c>
      <c r="C155" s="1">
        <v>46085</v>
      </c>
      <c r="D155">
        <v>19145</v>
      </c>
      <c r="E155">
        <v>45249</v>
      </c>
      <c r="F155" s="1">
        <v>39814</v>
      </c>
      <c r="G155" s="21" t="s">
        <v>11</v>
      </c>
      <c r="H155" s="21" t="s">
        <v>12</v>
      </c>
      <c r="I155" s="21" t="s">
        <v>21</v>
      </c>
      <c r="J155">
        <v>3</v>
      </c>
      <c r="K155" t="s">
        <v>36</v>
      </c>
    </row>
    <row r="156" spans="1:11" x14ac:dyDescent="0.35">
      <c r="A156" s="21" t="s">
        <v>170</v>
      </c>
      <c r="B156">
        <v>16500</v>
      </c>
      <c r="C156" s="1">
        <v>46090</v>
      </c>
      <c r="D156">
        <v>19240</v>
      </c>
      <c r="E156">
        <v>45428</v>
      </c>
      <c r="F156" s="1">
        <v>40909</v>
      </c>
      <c r="G156" s="21" t="s">
        <v>11</v>
      </c>
      <c r="H156" s="21" t="s">
        <v>12</v>
      </c>
      <c r="I156" s="21" t="s">
        <v>21</v>
      </c>
      <c r="J156">
        <v>3</v>
      </c>
      <c r="K156" t="s">
        <v>36</v>
      </c>
    </row>
    <row r="157" spans="1:11" x14ac:dyDescent="0.35">
      <c r="A157" s="21" t="s">
        <v>173</v>
      </c>
      <c r="B157">
        <v>18025</v>
      </c>
      <c r="C157" s="1">
        <v>46106</v>
      </c>
      <c r="D157">
        <v>19426</v>
      </c>
      <c r="E157">
        <v>45780</v>
      </c>
      <c r="F157" s="1">
        <v>43831</v>
      </c>
      <c r="G157" s="21" t="s">
        <v>94</v>
      </c>
      <c r="H157" s="21" t="s">
        <v>12</v>
      </c>
      <c r="I157" s="21" t="s">
        <v>13</v>
      </c>
      <c r="J157">
        <v>3</v>
      </c>
      <c r="K157" t="s">
        <v>37</v>
      </c>
    </row>
    <row r="158" spans="1:11" x14ac:dyDescent="0.35">
      <c r="A158" s="21" t="s">
        <v>263</v>
      </c>
      <c r="B158">
        <v>18950</v>
      </c>
      <c r="C158" s="1">
        <v>46132</v>
      </c>
      <c r="D158">
        <v>19818</v>
      </c>
      <c r="E158">
        <v>46903</v>
      </c>
      <c r="F158" s="1">
        <v>36161</v>
      </c>
      <c r="G158" s="21" t="s">
        <v>17</v>
      </c>
      <c r="H158" s="21" t="s">
        <v>12</v>
      </c>
      <c r="I158" s="21" t="s">
        <v>18</v>
      </c>
      <c r="J158">
        <v>4</v>
      </c>
      <c r="K158" t="s">
        <v>34</v>
      </c>
    </row>
    <row r="159" spans="1:11" x14ac:dyDescent="0.35">
      <c r="A159" s="21" t="s">
        <v>117</v>
      </c>
      <c r="B159">
        <v>21630</v>
      </c>
      <c r="C159" s="1">
        <v>46062</v>
      </c>
      <c r="D159">
        <v>18908</v>
      </c>
      <c r="E159">
        <v>44897</v>
      </c>
      <c r="F159" s="1">
        <v>42005</v>
      </c>
      <c r="G159" s="21" t="s">
        <v>17</v>
      </c>
      <c r="H159" s="21" t="s">
        <v>12</v>
      </c>
      <c r="I159" s="21" t="s">
        <v>21</v>
      </c>
      <c r="J159">
        <v>2</v>
      </c>
      <c r="K159" t="s">
        <v>35</v>
      </c>
    </row>
    <row r="160" spans="1:11" x14ac:dyDescent="0.35">
      <c r="A160" s="21" t="s">
        <v>89</v>
      </c>
      <c r="B160">
        <v>23375</v>
      </c>
      <c r="C160" s="1">
        <v>46072</v>
      </c>
      <c r="D160">
        <v>18995</v>
      </c>
      <c r="E160">
        <v>45038</v>
      </c>
      <c r="F160" s="1">
        <v>42005</v>
      </c>
      <c r="G160" s="21" t="s">
        <v>17</v>
      </c>
      <c r="H160" s="21" t="s">
        <v>12</v>
      </c>
      <c r="I160" s="21" t="s">
        <v>18</v>
      </c>
      <c r="J160">
        <v>2</v>
      </c>
      <c r="K160" t="s">
        <v>35</v>
      </c>
    </row>
    <row r="161" spans="1:11" x14ac:dyDescent="0.35">
      <c r="A161" s="21" t="s">
        <v>102</v>
      </c>
      <c r="B161">
        <v>23375</v>
      </c>
      <c r="C161" s="1">
        <v>46055</v>
      </c>
      <c r="D161">
        <v>18851</v>
      </c>
      <c r="E161">
        <v>44823</v>
      </c>
      <c r="F161" s="1">
        <v>41275</v>
      </c>
      <c r="G161" s="21" t="s">
        <v>17</v>
      </c>
      <c r="H161" s="21" t="s">
        <v>103</v>
      </c>
      <c r="I161" s="21" t="s">
        <v>18</v>
      </c>
      <c r="J161">
        <v>2</v>
      </c>
      <c r="K161" t="s">
        <v>35</v>
      </c>
    </row>
    <row r="162" spans="1:11" x14ac:dyDescent="0.35">
      <c r="A162" s="21" t="s">
        <v>75</v>
      </c>
      <c r="B162">
        <v>23375</v>
      </c>
      <c r="C162" s="1">
        <v>46048</v>
      </c>
      <c r="D162">
        <v>18752</v>
      </c>
      <c r="E162">
        <v>44676</v>
      </c>
      <c r="F162" s="1">
        <v>40909</v>
      </c>
      <c r="G162" s="21" t="s">
        <v>0</v>
      </c>
      <c r="H162" s="21" t="s">
        <v>12</v>
      </c>
      <c r="I162" s="21" t="s">
        <v>18</v>
      </c>
      <c r="J162">
        <v>1</v>
      </c>
      <c r="K162" t="s">
        <v>36</v>
      </c>
    </row>
    <row r="163" spans="1:11" x14ac:dyDescent="0.35">
      <c r="A163" s="21" t="s">
        <v>245</v>
      </c>
      <c r="B163">
        <v>23375</v>
      </c>
      <c r="C163" s="1">
        <v>46114</v>
      </c>
      <c r="D163">
        <v>19544</v>
      </c>
      <c r="E163">
        <v>45999</v>
      </c>
      <c r="F163" s="1">
        <v>38353</v>
      </c>
      <c r="G163" s="21" t="s">
        <v>17</v>
      </c>
      <c r="H163" s="21" t="s">
        <v>12</v>
      </c>
      <c r="I163" s="21" t="s">
        <v>18</v>
      </c>
      <c r="J163">
        <v>4</v>
      </c>
      <c r="K163" t="s">
        <v>34</v>
      </c>
    </row>
    <row r="164" spans="1:11" x14ac:dyDescent="0.35">
      <c r="A164" s="21" t="s">
        <v>175</v>
      </c>
      <c r="B164">
        <v>23375</v>
      </c>
      <c r="C164" s="1">
        <v>46101</v>
      </c>
      <c r="D164">
        <v>19374</v>
      </c>
      <c r="E164">
        <v>45692</v>
      </c>
      <c r="F164" s="1">
        <v>40544</v>
      </c>
      <c r="G164" s="21" t="s">
        <v>17</v>
      </c>
      <c r="H164" s="21" t="s">
        <v>12</v>
      </c>
      <c r="I164" s="21" t="s">
        <v>18</v>
      </c>
      <c r="J164">
        <v>3</v>
      </c>
      <c r="K164" t="s">
        <v>36</v>
      </c>
    </row>
    <row r="165" spans="1:11" x14ac:dyDescent="0.35">
      <c r="A165" s="21" t="s">
        <v>119</v>
      </c>
      <c r="B165">
        <v>23375</v>
      </c>
      <c r="C165" s="1">
        <v>46066</v>
      </c>
      <c r="D165">
        <v>18940</v>
      </c>
      <c r="E165">
        <v>44972</v>
      </c>
      <c r="F165" s="1">
        <v>41275</v>
      </c>
      <c r="G165" s="21" t="s">
        <v>17</v>
      </c>
      <c r="H165" s="21" t="s">
        <v>120</v>
      </c>
      <c r="I165" s="21" t="s">
        <v>18</v>
      </c>
      <c r="J165">
        <v>2</v>
      </c>
      <c r="K165" t="s">
        <v>35</v>
      </c>
    </row>
    <row r="166" spans="1:11" x14ac:dyDescent="0.35">
      <c r="A166" s="21" t="s">
        <v>124</v>
      </c>
      <c r="B166">
        <v>23375</v>
      </c>
      <c r="C166" s="1">
        <v>46080</v>
      </c>
      <c r="D166">
        <v>19076</v>
      </c>
      <c r="E166">
        <v>45158</v>
      </c>
      <c r="F166" s="1">
        <v>37257</v>
      </c>
      <c r="G166" s="21" t="s">
        <v>17</v>
      </c>
      <c r="H166" s="21" t="s">
        <v>12</v>
      </c>
      <c r="I166" s="21" t="s">
        <v>18</v>
      </c>
      <c r="J166">
        <v>2</v>
      </c>
      <c r="K166" t="s">
        <v>34</v>
      </c>
    </row>
    <row r="167" spans="1:11" x14ac:dyDescent="0.35">
      <c r="A167" s="21" t="s">
        <v>264</v>
      </c>
      <c r="B167">
        <v>23375</v>
      </c>
      <c r="C167" s="1">
        <v>46129</v>
      </c>
      <c r="D167">
        <v>19799</v>
      </c>
      <c r="E167">
        <v>46844</v>
      </c>
      <c r="F167" s="1">
        <v>41275</v>
      </c>
      <c r="G167" s="21" t="s">
        <v>17</v>
      </c>
      <c r="H167" s="21" t="s">
        <v>12</v>
      </c>
      <c r="I167" s="21" t="s">
        <v>18</v>
      </c>
      <c r="J167">
        <v>4</v>
      </c>
      <c r="K167" t="s">
        <v>35</v>
      </c>
    </row>
    <row r="168" spans="1:11" x14ac:dyDescent="0.35">
      <c r="A168" s="21" t="s">
        <v>150</v>
      </c>
      <c r="B168">
        <v>23939.83</v>
      </c>
      <c r="C168" s="1">
        <v>46106</v>
      </c>
      <c r="D168">
        <v>19435</v>
      </c>
      <c r="E168">
        <v>45789</v>
      </c>
      <c r="F168" s="1">
        <v>35065</v>
      </c>
      <c r="G168" s="21" t="s">
        <v>15</v>
      </c>
      <c r="H168" s="21" t="s">
        <v>151</v>
      </c>
      <c r="I168" s="21" t="s">
        <v>108</v>
      </c>
      <c r="J168">
        <v>3</v>
      </c>
      <c r="K168" t="s">
        <v>34</v>
      </c>
    </row>
    <row r="169" spans="1:11" x14ac:dyDescent="0.35">
      <c r="A169" s="21" t="s">
        <v>262</v>
      </c>
      <c r="B169">
        <v>24545</v>
      </c>
      <c r="C169" s="1">
        <v>46136</v>
      </c>
      <c r="D169">
        <v>19887</v>
      </c>
      <c r="E169">
        <v>47038</v>
      </c>
      <c r="F169" s="1">
        <v>39448</v>
      </c>
      <c r="G169" s="21" t="s">
        <v>17</v>
      </c>
      <c r="H169" s="21" t="s">
        <v>12</v>
      </c>
      <c r="I169" s="21" t="s">
        <v>18</v>
      </c>
      <c r="J169">
        <v>4</v>
      </c>
      <c r="K169" t="s">
        <v>36</v>
      </c>
    </row>
    <row r="170" spans="1:11" x14ac:dyDescent="0.35">
      <c r="A170" s="21" t="s">
        <v>244</v>
      </c>
      <c r="B170">
        <v>30290</v>
      </c>
      <c r="C170" s="1">
        <v>46132</v>
      </c>
      <c r="D170">
        <v>19819</v>
      </c>
      <c r="E170">
        <v>46904</v>
      </c>
      <c r="F170" s="1">
        <v>37622</v>
      </c>
      <c r="G170" s="21" t="s">
        <v>94</v>
      </c>
      <c r="H170" s="21" t="s">
        <v>12</v>
      </c>
      <c r="I170" s="21" t="s">
        <v>21</v>
      </c>
      <c r="J170">
        <v>4</v>
      </c>
      <c r="K170" t="s">
        <v>34</v>
      </c>
    </row>
    <row r="171" spans="1:11" x14ac:dyDescent="0.35">
      <c r="A171" s="21" t="s">
        <v>136</v>
      </c>
      <c r="B171">
        <v>35000</v>
      </c>
      <c r="C171" s="1">
        <v>46090</v>
      </c>
      <c r="D171">
        <v>19242</v>
      </c>
      <c r="E171">
        <v>45430</v>
      </c>
      <c r="F171" s="1">
        <v>42370</v>
      </c>
      <c r="G171" s="21" t="s">
        <v>11</v>
      </c>
      <c r="H171" s="21" t="s">
        <v>12</v>
      </c>
      <c r="I171" s="21" t="s">
        <v>21</v>
      </c>
      <c r="J171">
        <v>3</v>
      </c>
      <c r="K171" t="s">
        <v>35</v>
      </c>
    </row>
    <row r="172" spans="1:11" x14ac:dyDescent="0.35">
      <c r="A172" s="21" t="s">
        <v>174</v>
      </c>
      <c r="B172">
        <v>36050</v>
      </c>
      <c r="C172" s="1">
        <v>46106</v>
      </c>
      <c r="D172">
        <v>19421</v>
      </c>
      <c r="E172">
        <v>45775</v>
      </c>
      <c r="F172" s="1">
        <v>40179</v>
      </c>
      <c r="G172" s="21" t="s">
        <v>11</v>
      </c>
      <c r="H172" s="21" t="s">
        <v>12</v>
      </c>
      <c r="I172" s="21" t="s">
        <v>21</v>
      </c>
      <c r="J172">
        <v>3</v>
      </c>
      <c r="K172" t="s">
        <v>36</v>
      </c>
    </row>
    <row r="173" spans="1:11" x14ac:dyDescent="0.35">
      <c r="A173" s="21" t="s">
        <v>73</v>
      </c>
      <c r="B173">
        <v>38100</v>
      </c>
      <c r="C173" s="1">
        <v>46048</v>
      </c>
      <c r="D173">
        <v>18755</v>
      </c>
      <c r="E173">
        <v>44679</v>
      </c>
      <c r="F173" s="1">
        <v>35796</v>
      </c>
      <c r="G173" s="21" t="s">
        <v>17</v>
      </c>
      <c r="H173" s="21" t="s">
        <v>12</v>
      </c>
      <c r="I173" s="21" t="s">
        <v>21</v>
      </c>
      <c r="J173">
        <v>1</v>
      </c>
      <c r="K173" t="s">
        <v>34</v>
      </c>
    </row>
    <row r="174" spans="1:11" x14ac:dyDescent="0.35">
      <c r="A174" s="21" t="s">
        <v>163</v>
      </c>
      <c r="B174">
        <v>40000</v>
      </c>
      <c r="C174" s="1">
        <v>46098</v>
      </c>
      <c r="D174">
        <v>19316</v>
      </c>
      <c r="E174">
        <v>45566</v>
      </c>
      <c r="F174" s="1">
        <v>39814</v>
      </c>
      <c r="G174" s="21" t="s">
        <v>17</v>
      </c>
      <c r="H174" s="21" t="s">
        <v>12</v>
      </c>
      <c r="I174" s="21" t="s">
        <v>21</v>
      </c>
      <c r="J174">
        <v>3</v>
      </c>
      <c r="K174" t="s">
        <v>36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F-E5B4-4180-A757-C2F8191983E5}">
  <dimension ref="A1:J178"/>
  <sheetViews>
    <sheetView topLeftCell="A2" workbookViewId="0">
      <selection activeCell="C5" sqref="C5"/>
    </sheetView>
  </sheetViews>
  <sheetFormatPr defaultRowHeight="14.5" x14ac:dyDescent="0.35"/>
  <cols>
    <col min="1" max="1" width="61.816406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8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/>
      <c r="C2" s="1"/>
      <c r="F2" s="1"/>
      <c r="G2" s="21"/>
      <c r="H2" s="21"/>
      <c r="I2" s="21"/>
    </row>
    <row r="3" spans="1:10" x14ac:dyDescent="0.35">
      <c r="A3" s="21"/>
      <c r="C3" s="1"/>
      <c r="F3" s="1"/>
      <c r="G3" s="21"/>
      <c r="H3" s="21"/>
      <c r="I3" s="21"/>
    </row>
    <row r="4" spans="1:10" x14ac:dyDescent="0.35">
      <c r="A4" s="21" t="s">
        <v>127</v>
      </c>
      <c r="B4">
        <v>1650</v>
      </c>
      <c r="C4" s="1">
        <v>46111</v>
      </c>
      <c r="D4">
        <v>19487</v>
      </c>
      <c r="E4">
        <v>45879</v>
      </c>
      <c r="F4" s="1">
        <v>37460</v>
      </c>
      <c r="G4" s="21" t="s">
        <v>94</v>
      </c>
      <c r="H4" s="21" t="s">
        <v>12</v>
      </c>
      <c r="I4" s="21" t="s">
        <v>18</v>
      </c>
      <c r="J4">
        <v>3</v>
      </c>
    </row>
    <row r="5" spans="1:10" x14ac:dyDescent="0.35">
      <c r="A5" s="21" t="s">
        <v>87</v>
      </c>
      <c r="B5">
        <v>1905</v>
      </c>
      <c r="C5" s="1">
        <v>46066</v>
      </c>
      <c r="D5">
        <v>18941</v>
      </c>
      <c r="E5">
        <v>44973</v>
      </c>
      <c r="F5" s="1">
        <v>44571</v>
      </c>
      <c r="G5" s="21" t="s">
        <v>17</v>
      </c>
      <c r="H5" s="21" t="s">
        <v>12</v>
      </c>
      <c r="I5" s="21" t="s">
        <v>13</v>
      </c>
      <c r="J5">
        <v>2</v>
      </c>
    </row>
    <row r="6" spans="1:10" x14ac:dyDescent="0.35">
      <c r="A6" s="21" t="s">
        <v>195</v>
      </c>
      <c r="B6">
        <v>5460</v>
      </c>
      <c r="C6" s="1">
        <v>46125</v>
      </c>
      <c r="D6">
        <v>19656</v>
      </c>
      <c r="E6">
        <v>46344</v>
      </c>
      <c r="F6" s="1">
        <v>41085</v>
      </c>
      <c r="G6" s="21" t="s">
        <v>11</v>
      </c>
      <c r="H6" s="21" t="s">
        <v>103</v>
      </c>
      <c r="I6" s="21" t="s">
        <v>18</v>
      </c>
      <c r="J6">
        <v>4</v>
      </c>
    </row>
    <row r="7" spans="1:10" x14ac:dyDescent="0.35">
      <c r="A7" s="21" t="s">
        <v>196</v>
      </c>
      <c r="B7">
        <v>1545</v>
      </c>
      <c r="C7" s="1">
        <v>46133</v>
      </c>
      <c r="D7">
        <v>19835</v>
      </c>
      <c r="E7">
        <v>46933</v>
      </c>
      <c r="F7" s="1">
        <v>42159</v>
      </c>
      <c r="G7" s="21" t="s">
        <v>11</v>
      </c>
      <c r="H7" s="21" t="s">
        <v>197</v>
      </c>
      <c r="I7" s="21" t="s">
        <v>18</v>
      </c>
      <c r="J7">
        <v>4</v>
      </c>
    </row>
    <row r="8" spans="1:10" x14ac:dyDescent="0.35">
      <c r="A8" s="21" t="s">
        <v>198</v>
      </c>
      <c r="B8">
        <v>1905</v>
      </c>
      <c r="C8" s="1">
        <v>46135</v>
      </c>
      <c r="D8">
        <v>19874</v>
      </c>
      <c r="E8">
        <v>47015</v>
      </c>
      <c r="F8" s="1">
        <v>41361</v>
      </c>
      <c r="G8" s="21" t="s">
        <v>11</v>
      </c>
      <c r="H8" s="21" t="s">
        <v>12</v>
      </c>
      <c r="I8" s="21" t="s">
        <v>13</v>
      </c>
      <c r="J8">
        <v>4</v>
      </c>
    </row>
    <row r="9" spans="1:10" x14ac:dyDescent="0.35">
      <c r="A9" s="21" t="s">
        <v>199</v>
      </c>
      <c r="B9">
        <v>1545</v>
      </c>
      <c r="C9" s="1">
        <v>46127</v>
      </c>
      <c r="D9">
        <v>19719</v>
      </c>
      <c r="E9">
        <v>46506</v>
      </c>
      <c r="F9" s="1">
        <v>37772</v>
      </c>
      <c r="G9" s="21" t="s">
        <v>11</v>
      </c>
      <c r="H9" s="21" t="s">
        <v>12</v>
      </c>
      <c r="I9" s="21" t="s">
        <v>18</v>
      </c>
      <c r="J9">
        <v>4</v>
      </c>
    </row>
    <row r="10" spans="1:10" x14ac:dyDescent="0.35">
      <c r="A10" s="21" t="s">
        <v>88</v>
      </c>
      <c r="B10">
        <v>1620</v>
      </c>
      <c r="C10" s="1">
        <v>46072</v>
      </c>
      <c r="D10">
        <v>18996</v>
      </c>
      <c r="E10">
        <v>45039</v>
      </c>
      <c r="F10" s="1">
        <v>40976</v>
      </c>
      <c r="G10" s="21" t="s">
        <v>11</v>
      </c>
      <c r="H10" s="21" t="s">
        <v>12</v>
      </c>
      <c r="I10" s="21" t="s">
        <v>18</v>
      </c>
      <c r="J10">
        <v>2</v>
      </c>
    </row>
    <row r="11" spans="1:10" x14ac:dyDescent="0.35">
      <c r="A11" s="21" t="s">
        <v>200</v>
      </c>
      <c r="B11">
        <v>1545</v>
      </c>
      <c r="C11" s="1">
        <v>46125</v>
      </c>
      <c r="D11">
        <v>19665</v>
      </c>
      <c r="E11">
        <v>46358</v>
      </c>
      <c r="F11" s="1">
        <v>38413</v>
      </c>
      <c r="G11" s="21" t="s">
        <v>11</v>
      </c>
      <c r="H11" s="21" t="s">
        <v>12</v>
      </c>
      <c r="I11" s="21" t="s">
        <v>18</v>
      </c>
      <c r="J11">
        <v>4</v>
      </c>
    </row>
    <row r="12" spans="1:10" x14ac:dyDescent="0.35">
      <c r="A12" s="21" t="s">
        <v>128</v>
      </c>
      <c r="B12">
        <v>16500</v>
      </c>
      <c r="C12" s="1">
        <v>46085</v>
      </c>
      <c r="D12">
        <v>19145</v>
      </c>
      <c r="E12">
        <v>45249</v>
      </c>
      <c r="F12" s="1">
        <v>40162</v>
      </c>
      <c r="G12" s="21" t="s">
        <v>11</v>
      </c>
      <c r="H12" s="21" t="s">
        <v>12</v>
      </c>
      <c r="I12" s="21" t="s">
        <v>21</v>
      </c>
      <c r="J12">
        <v>3</v>
      </c>
    </row>
    <row r="13" spans="1:10" x14ac:dyDescent="0.35">
      <c r="A13" s="21" t="s">
        <v>64</v>
      </c>
      <c r="B13">
        <v>2370</v>
      </c>
      <c r="C13" s="1">
        <v>46035</v>
      </c>
      <c r="D13">
        <v>18613</v>
      </c>
      <c r="E13">
        <v>44511</v>
      </c>
      <c r="F13" s="1">
        <v>37839</v>
      </c>
      <c r="G13" s="21" t="s">
        <v>17</v>
      </c>
      <c r="H13" s="21" t="s">
        <v>12</v>
      </c>
      <c r="I13" s="21" t="s">
        <v>18</v>
      </c>
      <c r="J13">
        <v>1</v>
      </c>
    </row>
    <row r="14" spans="1:10" x14ac:dyDescent="0.35">
      <c r="A14" s="21" t="s">
        <v>28</v>
      </c>
      <c r="B14">
        <v>775</v>
      </c>
      <c r="C14" s="1">
        <v>46033</v>
      </c>
      <c r="D14">
        <v>18551</v>
      </c>
      <c r="E14">
        <v>44438</v>
      </c>
      <c r="F14" s="1">
        <v>45385</v>
      </c>
      <c r="G14" s="21" t="s">
        <v>15</v>
      </c>
      <c r="H14" s="21" t="s">
        <v>15</v>
      </c>
      <c r="I14" s="21" t="s">
        <v>16</v>
      </c>
      <c r="J14">
        <v>1</v>
      </c>
    </row>
    <row r="15" spans="1:10" x14ac:dyDescent="0.35">
      <c r="A15" s="21" t="s">
        <v>89</v>
      </c>
      <c r="B15">
        <v>23375</v>
      </c>
      <c r="C15" s="1">
        <v>46072</v>
      </c>
      <c r="D15">
        <v>18995</v>
      </c>
      <c r="E15">
        <v>45038</v>
      </c>
      <c r="F15" s="1">
        <v>42297</v>
      </c>
      <c r="G15" s="21" t="s">
        <v>17</v>
      </c>
      <c r="H15" s="21" t="s">
        <v>12</v>
      </c>
      <c r="I15" s="21" t="s">
        <v>18</v>
      </c>
      <c r="J15">
        <v>2</v>
      </c>
    </row>
    <row r="16" spans="1:10" x14ac:dyDescent="0.35">
      <c r="A16" s="21" t="s">
        <v>55</v>
      </c>
      <c r="B16">
        <v>775</v>
      </c>
      <c r="C16" s="1">
        <v>46027</v>
      </c>
      <c r="D16">
        <v>18371</v>
      </c>
      <c r="E16">
        <v>44227</v>
      </c>
      <c r="F16" s="1">
        <v>44433</v>
      </c>
      <c r="G16" s="21" t="s">
        <v>15</v>
      </c>
      <c r="H16" s="21" t="s">
        <v>12</v>
      </c>
      <c r="I16" s="21" t="s">
        <v>16</v>
      </c>
      <c r="J16">
        <v>1</v>
      </c>
    </row>
    <row r="17" spans="1:10" x14ac:dyDescent="0.35">
      <c r="A17" s="21" t="s">
        <v>129</v>
      </c>
      <c r="B17">
        <v>2680</v>
      </c>
      <c r="C17" s="1">
        <v>46106</v>
      </c>
      <c r="D17">
        <v>19429</v>
      </c>
      <c r="E17">
        <v>45783</v>
      </c>
      <c r="F17" s="1">
        <v>43559</v>
      </c>
      <c r="G17" s="21" t="s">
        <v>94</v>
      </c>
      <c r="H17" s="21" t="s">
        <v>12</v>
      </c>
      <c r="I17" s="21" t="s">
        <v>18</v>
      </c>
      <c r="J17">
        <v>3</v>
      </c>
    </row>
    <row r="18" spans="1:10" x14ac:dyDescent="0.35">
      <c r="A18" s="21" t="s">
        <v>201</v>
      </c>
      <c r="B18">
        <v>1650</v>
      </c>
      <c r="C18" s="1">
        <v>46128</v>
      </c>
      <c r="D18">
        <v>19738</v>
      </c>
      <c r="E18">
        <v>46563</v>
      </c>
      <c r="F18" s="1">
        <v>44697</v>
      </c>
      <c r="G18" s="21" t="s">
        <v>94</v>
      </c>
      <c r="H18" s="21" t="s">
        <v>12</v>
      </c>
      <c r="I18" s="21" t="s">
        <v>18</v>
      </c>
      <c r="J18">
        <v>4</v>
      </c>
    </row>
    <row r="19" spans="1:10" x14ac:dyDescent="0.35">
      <c r="A19" s="21" t="s">
        <v>90</v>
      </c>
      <c r="B19">
        <v>5770</v>
      </c>
      <c r="C19" s="1">
        <v>46064</v>
      </c>
      <c r="D19">
        <v>18923</v>
      </c>
      <c r="E19">
        <v>44942</v>
      </c>
      <c r="F19" s="1">
        <v>36360</v>
      </c>
      <c r="G19" s="21" t="s">
        <v>91</v>
      </c>
      <c r="H19" s="21" t="s">
        <v>12</v>
      </c>
      <c r="I19" s="21" t="s">
        <v>18</v>
      </c>
      <c r="J19">
        <v>2</v>
      </c>
    </row>
    <row r="20" spans="1:10" x14ac:dyDescent="0.35">
      <c r="A20" s="21" t="s">
        <v>130</v>
      </c>
      <c r="B20">
        <v>775</v>
      </c>
      <c r="C20" s="1">
        <v>46107</v>
      </c>
      <c r="D20">
        <v>19433</v>
      </c>
      <c r="E20">
        <v>45787</v>
      </c>
      <c r="F20" s="1">
        <v>46107</v>
      </c>
      <c r="G20" s="21" t="s">
        <v>15</v>
      </c>
      <c r="H20" s="21" t="s">
        <v>12</v>
      </c>
      <c r="I20" s="21" t="s">
        <v>16</v>
      </c>
      <c r="J20">
        <v>3</v>
      </c>
    </row>
    <row r="21" spans="1:10" x14ac:dyDescent="0.35">
      <c r="A21" s="21" t="s">
        <v>92</v>
      </c>
      <c r="B21">
        <v>1905</v>
      </c>
      <c r="C21" s="1">
        <v>46062</v>
      </c>
      <c r="D21">
        <v>18906</v>
      </c>
      <c r="E21">
        <v>44895</v>
      </c>
      <c r="F21" s="1">
        <v>37725</v>
      </c>
      <c r="G21" s="21" t="s">
        <v>17</v>
      </c>
      <c r="H21" s="21" t="s">
        <v>12</v>
      </c>
      <c r="I21" s="21" t="s">
        <v>13</v>
      </c>
      <c r="J21">
        <v>2</v>
      </c>
    </row>
    <row r="22" spans="1:10" x14ac:dyDescent="0.35">
      <c r="A22" s="21" t="s">
        <v>69</v>
      </c>
      <c r="B22">
        <v>775</v>
      </c>
      <c r="C22" s="1">
        <v>46034</v>
      </c>
      <c r="D22">
        <v>18605</v>
      </c>
      <c r="E22">
        <v>44503</v>
      </c>
      <c r="F22" s="1">
        <v>46034</v>
      </c>
      <c r="G22" s="21" t="s">
        <v>15</v>
      </c>
      <c r="H22" s="21" t="s">
        <v>20</v>
      </c>
      <c r="I22" s="21" t="s">
        <v>16</v>
      </c>
      <c r="J22">
        <v>1</v>
      </c>
    </row>
    <row r="23" spans="1:10" x14ac:dyDescent="0.35">
      <c r="A23" s="21" t="s">
        <v>93</v>
      </c>
      <c r="B23">
        <v>9990</v>
      </c>
      <c r="C23" s="1">
        <v>46073</v>
      </c>
      <c r="D23">
        <v>18993</v>
      </c>
      <c r="E23">
        <v>45036</v>
      </c>
      <c r="F23" s="1">
        <v>39983</v>
      </c>
      <c r="G23" s="21" t="s">
        <v>94</v>
      </c>
      <c r="H23" s="21" t="s">
        <v>12</v>
      </c>
      <c r="I23" s="21" t="s">
        <v>18</v>
      </c>
      <c r="J23">
        <v>2</v>
      </c>
    </row>
    <row r="24" spans="1:10" x14ac:dyDescent="0.35">
      <c r="A24" s="21" t="s">
        <v>131</v>
      </c>
      <c r="B24">
        <v>16175</v>
      </c>
      <c r="C24" s="1">
        <v>46108</v>
      </c>
      <c r="D24">
        <v>19452</v>
      </c>
      <c r="E24">
        <v>45818</v>
      </c>
      <c r="F24" s="1">
        <v>40179</v>
      </c>
      <c r="G24" s="21" t="s">
        <v>17</v>
      </c>
      <c r="H24" s="21" t="s">
        <v>12</v>
      </c>
      <c r="I24" s="21" t="s">
        <v>18</v>
      </c>
      <c r="J24">
        <v>3</v>
      </c>
    </row>
    <row r="25" spans="1:10" x14ac:dyDescent="0.35">
      <c r="A25" s="21" t="s">
        <v>70</v>
      </c>
      <c r="B25">
        <v>1545</v>
      </c>
      <c r="C25" s="1">
        <v>46042</v>
      </c>
      <c r="D25">
        <v>18678</v>
      </c>
      <c r="E25">
        <v>44578</v>
      </c>
      <c r="F25" s="1">
        <v>40179</v>
      </c>
      <c r="G25" s="21" t="s">
        <v>11</v>
      </c>
      <c r="H25" s="21" t="s">
        <v>12</v>
      </c>
      <c r="I25" s="21" t="s">
        <v>18</v>
      </c>
      <c r="J25">
        <v>1</v>
      </c>
    </row>
    <row r="26" spans="1:10" x14ac:dyDescent="0.35">
      <c r="A26" s="21" t="s">
        <v>95</v>
      </c>
      <c r="C26" s="1"/>
      <c r="F26" s="1"/>
      <c r="G26" s="21"/>
      <c r="H26" s="21"/>
      <c r="I26" s="21"/>
    </row>
    <row r="27" spans="1:10" x14ac:dyDescent="0.35">
      <c r="A27" s="21" t="s">
        <v>96</v>
      </c>
      <c r="C27" s="1"/>
      <c r="F27" s="1"/>
      <c r="G27" s="21"/>
      <c r="H27" s="21"/>
      <c r="I27" s="21"/>
    </row>
    <row r="28" spans="1:10" x14ac:dyDescent="0.35">
      <c r="A28" s="21" t="s">
        <v>97</v>
      </c>
      <c r="B28">
        <v>7210</v>
      </c>
      <c r="C28" s="1">
        <v>46059</v>
      </c>
      <c r="D28">
        <v>18957</v>
      </c>
      <c r="E28">
        <v>44992</v>
      </c>
      <c r="F28" s="1">
        <v>45168</v>
      </c>
      <c r="G28" s="21" t="s">
        <v>94</v>
      </c>
      <c r="H28" s="21" t="s">
        <v>12</v>
      </c>
      <c r="I28" s="21" t="s">
        <v>18</v>
      </c>
      <c r="J28">
        <v>2</v>
      </c>
    </row>
    <row r="29" spans="1:10" x14ac:dyDescent="0.35">
      <c r="A29" s="21" t="s">
        <v>132</v>
      </c>
      <c r="B29">
        <v>775</v>
      </c>
      <c r="C29" s="1">
        <v>46104</v>
      </c>
      <c r="D29">
        <v>19400</v>
      </c>
      <c r="E29">
        <v>45749</v>
      </c>
      <c r="F29" s="1">
        <v>46104</v>
      </c>
      <c r="G29" s="21" t="s">
        <v>15</v>
      </c>
      <c r="H29" s="21" t="s">
        <v>12</v>
      </c>
      <c r="I29" s="21" t="s">
        <v>16</v>
      </c>
      <c r="J29">
        <v>3</v>
      </c>
    </row>
    <row r="30" spans="1:10" x14ac:dyDescent="0.35">
      <c r="A30" s="21" t="s">
        <v>98</v>
      </c>
      <c r="B30">
        <v>100</v>
      </c>
      <c r="C30" s="1">
        <v>46069</v>
      </c>
      <c r="D30">
        <v>18946</v>
      </c>
      <c r="E30">
        <v>44978</v>
      </c>
      <c r="F30" s="1">
        <v>44959</v>
      </c>
      <c r="G30" s="21" t="s">
        <v>15</v>
      </c>
      <c r="H30" s="21" t="s">
        <v>12</v>
      </c>
      <c r="I30" s="21" t="s">
        <v>99</v>
      </c>
      <c r="J30">
        <v>2</v>
      </c>
    </row>
    <row r="31" spans="1:10" x14ac:dyDescent="0.35">
      <c r="A31" s="21" t="s">
        <v>100</v>
      </c>
      <c r="B31">
        <v>1545</v>
      </c>
      <c r="C31" s="1">
        <v>46062</v>
      </c>
      <c r="D31">
        <v>18914</v>
      </c>
      <c r="E31">
        <v>44907</v>
      </c>
      <c r="F31" s="1">
        <v>41137</v>
      </c>
      <c r="G31" s="21" t="s">
        <v>17</v>
      </c>
      <c r="H31" s="21" t="s">
        <v>101</v>
      </c>
      <c r="I31" s="21" t="s">
        <v>18</v>
      </c>
      <c r="J31">
        <v>2</v>
      </c>
    </row>
    <row r="32" spans="1:10" x14ac:dyDescent="0.35">
      <c r="A32" s="21" t="s">
        <v>202</v>
      </c>
      <c r="B32">
        <v>775</v>
      </c>
      <c r="C32" s="1">
        <v>46120</v>
      </c>
      <c r="D32">
        <v>19610</v>
      </c>
      <c r="E32">
        <v>46209</v>
      </c>
      <c r="F32" s="1">
        <v>46120</v>
      </c>
      <c r="G32" s="21" t="s">
        <v>15</v>
      </c>
      <c r="H32" s="21" t="s">
        <v>15</v>
      </c>
      <c r="I32" s="21" t="s">
        <v>16</v>
      </c>
      <c r="J32">
        <v>4</v>
      </c>
    </row>
    <row r="33" spans="1:10" x14ac:dyDescent="0.35">
      <c r="A33" s="21" t="s">
        <v>203</v>
      </c>
      <c r="B33">
        <v>775</v>
      </c>
      <c r="C33" s="1">
        <v>46121</v>
      </c>
      <c r="D33">
        <v>19625</v>
      </c>
      <c r="E33">
        <v>46234</v>
      </c>
      <c r="F33" s="1">
        <v>44980</v>
      </c>
      <c r="G33" s="21" t="s">
        <v>0</v>
      </c>
      <c r="H33" s="21" t="s">
        <v>12</v>
      </c>
      <c r="I33" s="21" t="s">
        <v>16</v>
      </c>
      <c r="J33">
        <v>4</v>
      </c>
    </row>
    <row r="34" spans="1:10" x14ac:dyDescent="0.35">
      <c r="A34" s="21" t="s">
        <v>71</v>
      </c>
      <c r="B34">
        <v>775</v>
      </c>
      <c r="C34" s="1">
        <v>46053</v>
      </c>
      <c r="D34">
        <v>18840</v>
      </c>
      <c r="E34">
        <v>44813</v>
      </c>
      <c r="F34" s="1">
        <v>44546</v>
      </c>
      <c r="G34" s="21" t="s">
        <v>15</v>
      </c>
      <c r="H34" s="21" t="s">
        <v>15</v>
      </c>
      <c r="I34" s="21" t="s">
        <v>16</v>
      </c>
      <c r="J34">
        <v>1</v>
      </c>
    </row>
    <row r="35" spans="1:10" x14ac:dyDescent="0.35">
      <c r="A35" s="21" t="s">
        <v>204</v>
      </c>
      <c r="B35">
        <v>775</v>
      </c>
      <c r="C35" s="1">
        <v>46122</v>
      </c>
      <c r="D35">
        <v>19638</v>
      </c>
      <c r="E35">
        <v>46266</v>
      </c>
      <c r="F35" s="1">
        <v>46122</v>
      </c>
      <c r="G35" s="21" t="s">
        <v>15</v>
      </c>
      <c r="H35" s="21" t="s">
        <v>12</v>
      </c>
      <c r="I35" s="21" t="s">
        <v>16</v>
      </c>
      <c r="J35">
        <v>4</v>
      </c>
    </row>
    <row r="36" spans="1:10" x14ac:dyDescent="0.35">
      <c r="A36" s="21" t="s">
        <v>72</v>
      </c>
      <c r="B36">
        <v>775</v>
      </c>
      <c r="C36" s="1">
        <v>46052</v>
      </c>
      <c r="D36">
        <v>18833</v>
      </c>
      <c r="E36">
        <v>44806</v>
      </c>
      <c r="F36" s="1">
        <v>46052</v>
      </c>
      <c r="G36" s="21" t="s">
        <v>15</v>
      </c>
      <c r="H36" s="21" t="s">
        <v>12</v>
      </c>
      <c r="I36" s="21" t="s">
        <v>16</v>
      </c>
      <c r="J36">
        <v>1</v>
      </c>
    </row>
    <row r="37" spans="1:10" x14ac:dyDescent="0.35">
      <c r="A37" s="21" t="s">
        <v>133</v>
      </c>
      <c r="B37">
        <v>1905</v>
      </c>
      <c r="C37" s="1">
        <v>46083</v>
      </c>
      <c r="D37">
        <v>19109</v>
      </c>
      <c r="E37">
        <v>45195</v>
      </c>
      <c r="F37" s="1">
        <v>44180</v>
      </c>
      <c r="G37" s="21" t="s">
        <v>0</v>
      </c>
      <c r="H37" s="21" t="s">
        <v>134</v>
      </c>
      <c r="I37" s="21" t="s">
        <v>13</v>
      </c>
      <c r="J37">
        <v>3</v>
      </c>
    </row>
    <row r="38" spans="1:10" x14ac:dyDescent="0.35">
      <c r="A38" s="21" t="s">
        <v>135</v>
      </c>
      <c r="B38">
        <v>775</v>
      </c>
      <c r="C38" s="1">
        <v>46099</v>
      </c>
      <c r="D38">
        <v>19340</v>
      </c>
      <c r="E38">
        <v>45627</v>
      </c>
      <c r="F38" s="1">
        <v>46099</v>
      </c>
      <c r="G38" s="21" t="s">
        <v>15</v>
      </c>
      <c r="H38" s="21" t="s">
        <v>12</v>
      </c>
      <c r="I38" s="21" t="s">
        <v>16</v>
      </c>
      <c r="J38">
        <v>3</v>
      </c>
    </row>
    <row r="39" spans="1:10" x14ac:dyDescent="0.35">
      <c r="A39" s="21" t="s">
        <v>73</v>
      </c>
      <c r="B39">
        <v>38100</v>
      </c>
      <c r="C39" s="1">
        <v>46048</v>
      </c>
      <c r="D39">
        <v>18755</v>
      </c>
      <c r="E39">
        <v>44679</v>
      </c>
      <c r="F39" s="1">
        <v>35925</v>
      </c>
      <c r="G39" s="21" t="s">
        <v>17</v>
      </c>
      <c r="H39" s="21" t="s">
        <v>12</v>
      </c>
      <c r="I39" s="21" t="s">
        <v>21</v>
      </c>
      <c r="J39">
        <v>1</v>
      </c>
    </row>
    <row r="40" spans="1:10" x14ac:dyDescent="0.35">
      <c r="A40" s="21" t="s">
        <v>136</v>
      </c>
      <c r="B40">
        <v>35000</v>
      </c>
      <c r="C40" s="1">
        <v>46090</v>
      </c>
      <c r="D40">
        <v>19242</v>
      </c>
      <c r="E40">
        <v>45430</v>
      </c>
      <c r="F40" s="1">
        <v>42558</v>
      </c>
      <c r="G40" s="21" t="s">
        <v>11</v>
      </c>
      <c r="H40" s="21" t="s">
        <v>12</v>
      </c>
      <c r="I40" s="21" t="s">
        <v>21</v>
      </c>
      <c r="J40">
        <v>3</v>
      </c>
    </row>
    <row r="41" spans="1:10" x14ac:dyDescent="0.35">
      <c r="A41" s="21" t="s">
        <v>24</v>
      </c>
      <c r="B41">
        <v>1905</v>
      </c>
      <c r="C41" s="1">
        <v>46030</v>
      </c>
      <c r="D41">
        <v>18444</v>
      </c>
      <c r="E41">
        <v>44327</v>
      </c>
      <c r="F41" s="1">
        <v>45341</v>
      </c>
      <c r="G41" s="21" t="s">
        <v>17</v>
      </c>
      <c r="H41" s="21" t="s">
        <v>12</v>
      </c>
      <c r="I41" s="21" t="s">
        <v>13</v>
      </c>
      <c r="J41">
        <v>1</v>
      </c>
    </row>
    <row r="42" spans="1:10" x14ac:dyDescent="0.35">
      <c r="A42" s="21" t="s">
        <v>74</v>
      </c>
      <c r="B42">
        <v>775</v>
      </c>
      <c r="C42" s="1">
        <v>46043</v>
      </c>
      <c r="D42">
        <v>18708</v>
      </c>
      <c r="E42">
        <v>44608</v>
      </c>
      <c r="F42" s="1">
        <v>42038</v>
      </c>
      <c r="G42" s="21" t="s">
        <v>17</v>
      </c>
      <c r="H42" s="21" t="s">
        <v>12</v>
      </c>
      <c r="I42" s="21" t="s">
        <v>16</v>
      </c>
      <c r="J42">
        <v>1</v>
      </c>
    </row>
    <row r="43" spans="1:10" x14ac:dyDescent="0.35">
      <c r="A43" s="21" t="s">
        <v>26</v>
      </c>
      <c r="B43">
        <v>9685</v>
      </c>
      <c r="C43" s="1">
        <v>46052</v>
      </c>
      <c r="D43">
        <v>18825</v>
      </c>
      <c r="E43">
        <v>44798</v>
      </c>
      <c r="F43" s="1">
        <v>42144</v>
      </c>
      <c r="G43" s="21" t="s">
        <v>17</v>
      </c>
      <c r="H43" s="21" t="s">
        <v>12</v>
      </c>
      <c r="I43" s="21" t="s">
        <v>18</v>
      </c>
      <c r="J43">
        <v>1</v>
      </c>
    </row>
    <row r="44" spans="1:10" x14ac:dyDescent="0.35">
      <c r="A44" s="21" t="s">
        <v>205</v>
      </c>
      <c r="B44">
        <v>2370</v>
      </c>
      <c r="C44" s="1">
        <v>46119</v>
      </c>
      <c r="D44">
        <v>19578</v>
      </c>
      <c r="E44">
        <v>46089</v>
      </c>
      <c r="F44" s="1">
        <v>44700</v>
      </c>
      <c r="G44" s="21" t="s">
        <v>17</v>
      </c>
      <c r="H44" s="21" t="s">
        <v>12</v>
      </c>
      <c r="I44" s="21" t="s">
        <v>18</v>
      </c>
      <c r="J44">
        <v>4</v>
      </c>
    </row>
    <row r="45" spans="1:10" x14ac:dyDescent="0.35">
      <c r="A45" s="21" t="s">
        <v>102</v>
      </c>
      <c r="B45">
        <v>23375</v>
      </c>
      <c r="C45" s="1">
        <v>46055</v>
      </c>
      <c r="D45">
        <v>18851</v>
      </c>
      <c r="E45">
        <v>44823</v>
      </c>
      <c r="F45" s="1">
        <v>41558</v>
      </c>
      <c r="G45" s="21" t="s">
        <v>17</v>
      </c>
      <c r="H45" s="21" t="s">
        <v>103</v>
      </c>
      <c r="I45" s="21" t="s">
        <v>18</v>
      </c>
      <c r="J45">
        <v>2</v>
      </c>
    </row>
    <row r="46" spans="1:10" x14ac:dyDescent="0.35">
      <c r="A46" s="21" t="s">
        <v>206</v>
      </c>
      <c r="B46">
        <v>775</v>
      </c>
      <c r="C46" s="1">
        <v>46121</v>
      </c>
      <c r="D46">
        <v>19620</v>
      </c>
      <c r="E46">
        <v>46229</v>
      </c>
      <c r="F46" s="1">
        <v>45035</v>
      </c>
      <c r="G46" s="21" t="s">
        <v>15</v>
      </c>
      <c r="H46" s="21" t="s">
        <v>15</v>
      </c>
      <c r="I46" s="21" t="s">
        <v>16</v>
      </c>
      <c r="J46">
        <v>4</v>
      </c>
    </row>
    <row r="47" spans="1:10" x14ac:dyDescent="0.35">
      <c r="A47" s="21" t="s">
        <v>207</v>
      </c>
      <c r="B47">
        <v>1545</v>
      </c>
      <c r="C47" s="1">
        <v>46118</v>
      </c>
      <c r="D47">
        <v>19562</v>
      </c>
      <c r="E47">
        <v>46062</v>
      </c>
      <c r="F47" s="1">
        <v>44207</v>
      </c>
      <c r="G47" s="21" t="s">
        <v>0</v>
      </c>
      <c r="H47" s="21" t="s">
        <v>12</v>
      </c>
      <c r="I47" s="21" t="s">
        <v>18</v>
      </c>
      <c r="J47">
        <v>4</v>
      </c>
    </row>
    <row r="48" spans="1:10" x14ac:dyDescent="0.35">
      <c r="A48" s="21" t="s">
        <v>104</v>
      </c>
      <c r="B48">
        <v>775</v>
      </c>
      <c r="C48" s="1">
        <v>46080</v>
      </c>
      <c r="D48">
        <v>19083</v>
      </c>
      <c r="E48">
        <v>45165</v>
      </c>
      <c r="F48" s="1">
        <v>46080</v>
      </c>
      <c r="G48" s="21" t="s">
        <v>15</v>
      </c>
      <c r="H48" s="21" t="s">
        <v>12</v>
      </c>
      <c r="I48" s="21" t="s">
        <v>16</v>
      </c>
      <c r="J48">
        <v>2</v>
      </c>
    </row>
    <row r="49" spans="1:10" x14ac:dyDescent="0.35">
      <c r="A49" s="21" t="s">
        <v>137</v>
      </c>
      <c r="B49">
        <v>9685</v>
      </c>
      <c r="C49" s="1">
        <v>46092</v>
      </c>
      <c r="D49">
        <v>19269</v>
      </c>
      <c r="E49">
        <v>45476</v>
      </c>
      <c r="F49" s="1">
        <v>45400</v>
      </c>
      <c r="G49" s="21" t="s">
        <v>17</v>
      </c>
      <c r="H49" s="21" t="s">
        <v>12</v>
      </c>
      <c r="I49" s="21" t="s">
        <v>18</v>
      </c>
      <c r="J49">
        <v>3</v>
      </c>
    </row>
    <row r="50" spans="1:10" x14ac:dyDescent="0.35">
      <c r="A50" s="21" t="s">
        <v>105</v>
      </c>
      <c r="B50">
        <v>1905</v>
      </c>
      <c r="C50" s="1">
        <v>46055</v>
      </c>
      <c r="D50">
        <v>18850</v>
      </c>
      <c r="E50">
        <v>44822</v>
      </c>
      <c r="F50" s="1">
        <v>40067</v>
      </c>
      <c r="G50" s="21" t="s">
        <v>11</v>
      </c>
      <c r="H50" s="21" t="s">
        <v>12</v>
      </c>
      <c r="I50" s="21" t="s">
        <v>13</v>
      </c>
      <c r="J50">
        <v>2</v>
      </c>
    </row>
    <row r="51" spans="1:10" x14ac:dyDescent="0.35">
      <c r="A51" s="21" t="s">
        <v>208</v>
      </c>
      <c r="B51">
        <v>1000</v>
      </c>
      <c r="C51" s="1">
        <v>46097</v>
      </c>
      <c r="D51">
        <v>19639</v>
      </c>
      <c r="E51">
        <v>46267</v>
      </c>
      <c r="F51" s="1">
        <v>36892</v>
      </c>
      <c r="G51" s="21" t="s">
        <v>15</v>
      </c>
      <c r="H51" s="21" t="s">
        <v>209</v>
      </c>
      <c r="I51" s="21" t="s">
        <v>108</v>
      </c>
      <c r="J51">
        <v>3</v>
      </c>
    </row>
    <row r="52" spans="1:10" x14ac:dyDescent="0.35">
      <c r="A52" s="21" t="s">
        <v>138</v>
      </c>
      <c r="B52">
        <v>11621</v>
      </c>
      <c r="C52" s="1">
        <v>46084</v>
      </c>
      <c r="D52">
        <v>19122</v>
      </c>
      <c r="E52">
        <v>45218</v>
      </c>
      <c r="F52" s="1">
        <v>39289</v>
      </c>
      <c r="G52" s="21" t="s">
        <v>15</v>
      </c>
      <c r="H52" s="21" t="s">
        <v>139</v>
      </c>
      <c r="I52" s="21" t="s">
        <v>108</v>
      </c>
      <c r="J52">
        <v>3</v>
      </c>
    </row>
    <row r="53" spans="1:10" x14ac:dyDescent="0.35">
      <c r="A53" s="21" t="s">
        <v>140</v>
      </c>
      <c r="B53">
        <v>1463.4</v>
      </c>
      <c r="C53" s="1">
        <v>46112</v>
      </c>
      <c r="D53">
        <v>19509</v>
      </c>
      <c r="E53">
        <v>45910</v>
      </c>
      <c r="F53" s="1">
        <v>37295</v>
      </c>
      <c r="G53" s="21" t="s">
        <v>15</v>
      </c>
      <c r="H53" s="21" t="s">
        <v>141</v>
      </c>
      <c r="I53" s="21" t="s">
        <v>108</v>
      </c>
      <c r="J53">
        <v>3</v>
      </c>
    </row>
    <row r="54" spans="1:10" x14ac:dyDescent="0.35">
      <c r="A54" s="21" t="s">
        <v>142</v>
      </c>
      <c r="B54">
        <v>2562</v>
      </c>
      <c r="C54" s="1">
        <v>46105</v>
      </c>
      <c r="D54">
        <v>19408</v>
      </c>
      <c r="E54">
        <v>45758</v>
      </c>
      <c r="F54" s="1">
        <v>35125</v>
      </c>
      <c r="G54" s="21" t="s">
        <v>15</v>
      </c>
      <c r="H54" s="21" t="s">
        <v>134</v>
      </c>
      <c r="I54" s="21" t="s">
        <v>108</v>
      </c>
      <c r="J54">
        <v>3</v>
      </c>
    </row>
    <row r="55" spans="1:10" x14ac:dyDescent="0.35">
      <c r="A55" s="21" t="s">
        <v>143</v>
      </c>
      <c r="B55">
        <v>1000</v>
      </c>
      <c r="C55" s="1">
        <v>46091</v>
      </c>
      <c r="D55">
        <v>19255</v>
      </c>
      <c r="E55">
        <v>45453</v>
      </c>
      <c r="F55" s="1">
        <v>36676</v>
      </c>
      <c r="G55" s="21" t="s">
        <v>15</v>
      </c>
      <c r="H55" s="21" t="s">
        <v>144</v>
      </c>
      <c r="I55" s="21" t="s">
        <v>108</v>
      </c>
      <c r="J55">
        <v>3</v>
      </c>
    </row>
    <row r="56" spans="1:10" x14ac:dyDescent="0.35">
      <c r="A56" s="21" t="s">
        <v>210</v>
      </c>
      <c r="B56">
        <v>1400</v>
      </c>
      <c r="C56" s="1">
        <v>46128</v>
      </c>
      <c r="D56">
        <v>19789</v>
      </c>
      <c r="E56">
        <v>46801</v>
      </c>
      <c r="F56" s="1">
        <v>44713</v>
      </c>
      <c r="G56" s="21" t="s">
        <v>15</v>
      </c>
      <c r="H56" s="21" t="s">
        <v>211</v>
      </c>
      <c r="I56" s="21" t="s">
        <v>108</v>
      </c>
      <c r="J56">
        <v>4</v>
      </c>
    </row>
    <row r="57" spans="1:10" x14ac:dyDescent="0.35">
      <c r="A57" s="21" t="s">
        <v>145</v>
      </c>
      <c r="B57">
        <v>1000</v>
      </c>
      <c r="C57" s="1">
        <v>46107</v>
      </c>
      <c r="D57">
        <v>19440</v>
      </c>
      <c r="E57">
        <v>45795</v>
      </c>
      <c r="F57" s="1">
        <v>37511</v>
      </c>
      <c r="G57" s="21" t="s">
        <v>15</v>
      </c>
      <c r="H57" s="21" t="s">
        <v>146</v>
      </c>
      <c r="I57" s="21" t="s">
        <v>108</v>
      </c>
      <c r="J57">
        <v>3</v>
      </c>
    </row>
    <row r="58" spans="1:10" x14ac:dyDescent="0.35">
      <c r="A58" s="21" t="s">
        <v>147</v>
      </c>
      <c r="B58">
        <v>2016.29</v>
      </c>
      <c r="C58" s="1">
        <v>46108</v>
      </c>
      <c r="D58">
        <v>19480</v>
      </c>
      <c r="E58">
        <v>45872</v>
      </c>
      <c r="F58" s="1">
        <v>37165</v>
      </c>
      <c r="G58" s="21" t="s">
        <v>15</v>
      </c>
      <c r="H58" s="21" t="s">
        <v>148</v>
      </c>
      <c r="I58" s="21" t="s">
        <v>108</v>
      </c>
      <c r="J58">
        <v>3</v>
      </c>
    </row>
    <row r="59" spans="1:10" x14ac:dyDescent="0.35">
      <c r="A59" s="21" t="s">
        <v>212</v>
      </c>
      <c r="B59">
        <v>6194</v>
      </c>
      <c r="C59" s="1">
        <v>46121</v>
      </c>
      <c r="D59">
        <v>19621</v>
      </c>
      <c r="E59">
        <v>46230</v>
      </c>
      <c r="F59" s="1">
        <v>42081</v>
      </c>
      <c r="G59" s="21" t="s">
        <v>15</v>
      </c>
      <c r="H59" s="21" t="s">
        <v>213</v>
      </c>
      <c r="I59" s="21" t="s">
        <v>108</v>
      </c>
      <c r="J59">
        <v>4</v>
      </c>
    </row>
    <row r="60" spans="1:10" x14ac:dyDescent="0.35">
      <c r="A60" s="21" t="s">
        <v>106</v>
      </c>
      <c r="B60">
        <v>1000</v>
      </c>
      <c r="C60" s="1">
        <v>46079</v>
      </c>
      <c r="D60">
        <v>19043</v>
      </c>
      <c r="E60">
        <v>45122</v>
      </c>
      <c r="F60" s="1">
        <v>45462</v>
      </c>
      <c r="G60" s="21" t="s">
        <v>15</v>
      </c>
      <c r="H60" s="21" t="s">
        <v>107</v>
      </c>
      <c r="I60" s="21" t="s">
        <v>108</v>
      </c>
      <c r="J60">
        <v>2</v>
      </c>
    </row>
    <row r="61" spans="1:10" x14ac:dyDescent="0.35">
      <c r="A61" s="21" t="s">
        <v>214</v>
      </c>
      <c r="B61">
        <v>12735.05</v>
      </c>
      <c r="C61" s="1">
        <v>46113</v>
      </c>
      <c r="D61">
        <v>19521</v>
      </c>
      <c r="E61">
        <v>45948</v>
      </c>
      <c r="F61" s="1">
        <v>38232</v>
      </c>
      <c r="G61" s="21" t="s">
        <v>15</v>
      </c>
      <c r="H61" s="21" t="s">
        <v>103</v>
      </c>
      <c r="I61" s="21" t="s">
        <v>108</v>
      </c>
      <c r="J61">
        <v>4</v>
      </c>
    </row>
    <row r="62" spans="1:10" x14ac:dyDescent="0.35">
      <c r="A62" s="21" t="s">
        <v>215</v>
      </c>
      <c r="B62">
        <v>13979</v>
      </c>
      <c r="C62" s="1">
        <v>46113</v>
      </c>
      <c r="D62">
        <v>19527</v>
      </c>
      <c r="E62">
        <v>45953</v>
      </c>
      <c r="F62" s="1">
        <v>34890</v>
      </c>
      <c r="G62" s="21" t="s">
        <v>15</v>
      </c>
      <c r="H62" s="21" t="s">
        <v>216</v>
      </c>
      <c r="I62" s="21" t="s">
        <v>108</v>
      </c>
      <c r="J62">
        <v>4</v>
      </c>
    </row>
    <row r="63" spans="1:10" x14ac:dyDescent="0.35">
      <c r="A63" s="21" t="s">
        <v>215</v>
      </c>
      <c r="B63">
        <v>13225.35</v>
      </c>
      <c r="C63" s="1">
        <v>46114</v>
      </c>
      <c r="D63">
        <v>19543</v>
      </c>
      <c r="E63">
        <v>45998</v>
      </c>
      <c r="F63" s="1">
        <v>34890</v>
      </c>
      <c r="G63" s="21" t="s">
        <v>15</v>
      </c>
      <c r="H63" s="21" t="s">
        <v>216</v>
      </c>
      <c r="I63" s="21" t="s">
        <v>108</v>
      </c>
      <c r="J63">
        <v>4</v>
      </c>
    </row>
    <row r="64" spans="1:10" x14ac:dyDescent="0.35">
      <c r="A64" s="21" t="s">
        <v>149</v>
      </c>
      <c r="B64">
        <v>8050</v>
      </c>
      <c r="C64" s="1">
        <v>46108</v>
      </c>
      <c r="D64">
        <v>19455</v>
      </c>
      <c r="E64">
        <v>45821</v>
      </c>
      <c r="F64" s="1">
        <v>40092</v>
      </c>
      <c r="G64" s="21" t="s">
        <v>15</v>
      </c>
      <c r="H64" s="21" t="s">
        <v>144</v>
      </c>
      <c r="I64" s="21" t="s">
        <v>108</v>
      </c>
      <c r="J64">
        <v>3</v>
      </c>
    </row>
    <row r="65" spans="1:10" x14ac:dyDescent="0.35">
      <c r="A65" s="21" t="s">
        <v>217</v>
      </c>
      <c r="B65">
        <v>13441.75</v>
      </c>
      <c r="C65" s="1">
        <v>46103</v>
      </c>
      <c r="D65">
        <v>19846</v>
      </c>
      <c r="E65">
        <v>46944</v>
      </c>
      <c r="F65" s="1">
        <v>37890</v>
      </c>
      <c r="G65" s="21" t="s">
        <v>15</v>
      </c>
      <c r="H65" s="21" t="s">
        <v>218</v>
      </c>
      <c r="I65" s="21" t="s">
        <v>108</v>
      </c>
      <c r="J65">
        <v>3</v>
      </c>
    </row>
    <row r="66" spans="1:10" x14ac:dyDescent="0.35">
      <c r="A66" s="21" t="s">
        <v>219</v>
      </c>
      <c r="B66">
        <v>1545</v>
      </c>
      <c r="C66" s="1">
        <v>46113</v>
      </c>
      <c r="D66">
        <v>19541</v>
      </c>
      <c r="E66">
        <v>45996</v>
      </c>
      <c r="F66" s="1">
        <v>36647</v>
      </c>
      <c r="G66" s="21" t="s">
        <v>15</v>
      </c>
      <c r="H66" s="21" t="s">
        <v>220</v>
      </c>
      <c r="I66" s="21" t="s">
        <v>108</v>
      </c>
      <c r="J66">
        <v>4</v>
      </c>
    </row>
    <row r="67" spans="1:10" x14ac:dyDescent="0.35">
      <c r="A67" s="21" t="s">
        <v>150</v>
      </c>
      <c r="B67">
        <v>23939.83</v>
      </c>
      <c r="C67" s="1">
        <v>46106</v>
      </c>
      <c r="D67">
        <v>19435</v>
      </c>
      <c r="E67">
        <v>45789</v>
      </c>
      <c r="F67" s="1">
        <v>35278</v>
      </c>
      <c r="G67" s="21" t="s">
        <v>15</v>
      </c>
      <c r="H67" s="21" t="s">
        <v>151</v>
      </c>
      <c r="I67" s="21" t="s">
        <v>108</v>
      </c>
      <c r="J67">
        <v>3</v>
      </c>
    </row>
    <row r="68" spans="1:10" x14ac:dyDescent="0.35">
      <c r="A68" s="21" t="s">
        <v>109</v>
      </c>
      <c r="B68">
        <v>8456.1</v>
      </c>
      <c r="C68" s="1">
        <v>46070</v>
      </c>
      <c r="D68">
        <v>18962</v>
      </c>
      <c r="E68">
        <v>44997</v>
      </c>
      <c r="F68" s="1">
        <v>40283</v>
      </c>
      <c r="G68" s="21" t="s">
        <v>15</v>
      </c>
      <c r="H68" s="21" t="s">
        <v>110</v>
      </c>
      <c r="I68" s="21" t="s">
        <v>108</v>
      </c>
      <c r="J68">
        <v>2</v>
      </c>
    </row>
    <row r="69" spans="1:10" x14ac:dyDescent="0.35">
      <c r="A69" s="21" t="s">
        <v>221</v>
      </c>
      <c r="B69">
        <v>1674</v>
      </c>
      <c r="C69" s="1">
        <v>46133</v>
      </c>
      <c r="D69">
        <v>19833</v>
      </c>
      <c r="E69">
        <v>46924</v>
      </c>
      <c r="F69" s="1">
        <v>42761</v>
      </c>
      <c r="G69" s="21" t="s">
        <v>15</v>
      </c>
      <c r="H69" s="21" t="s">
        <v>222</v>
      </c>
      <c r="I69" s="21" t="s">
        <v>108</v>
      </c>
      <c r="J69">
        <v>4</v>
      </c>
    </row>
    <row r="70" spans="1:10" x14ac:dyDescent="0.35">
      <c r="A70" s="21" t="s">
        <v>223</v>
      </c>
      <c r="B70">
        <v>1000</v>
      </c>
      <c r="C70" s="1">
        <v>46140</v>
      </c>
      <c r="D70">
        <v>19936</v>
      </c>
      <c r="E70">
        <v>47131</v>
      </c>
      <c r="F70" s="1">
        <v>39268</v>
      </c>
      <c r="G70" s="21" t="s">
        <v>15</v>
      </c>
      <c r="H70" s="21" t="s">
        <v>224</v>
      </c>
      <c r="I70" s="21" t="s">
        <v>108</v>
      </c>
      <c r="J70">
        <v>4</v>
      </c>
    </row>
    <row r="71" spans="1:10" x14ac:dyDescent="0.35">
      <c r="A71" s="21" t="s">
        <v>225</v>
      </c>
      <c r="B71">
        <v>1000</v>
      </c>
      <c r="C71" s="1">
        <v>46115</v>
      </c>
      <c r="D71">
        <v>19602</v>
      </c>
      <c r="E71">
        <v>46181</v>
      </c>
      <c r="F71" s="1">
        <v>40019</v>
      </c>
      <c r="G71" s="21" t="s">
        <v>15</v>
      </c>
      <c r="H71" s="21" t="s">
        <v>226</v>
      </c>
      <c r="I71" s="21" t="s">
        <v>108</v>
      </c>
      <c r="J71">
        <v>4</v>
      </c>
    </row>
    <row r="72" spans="1:10" x14ac:dyDescent="0.35">
      <c r="A72" s="21" t="s">
        <v>152</v>
      </c>
      <c r="B72">
        <v>1000</v>
      </c>
      <c r="C72" s="1">
        <v>46091</v>
      </c>
      <c r="D72">
        <v>19253</v>
      </c>
      <c r="E72">
        <v>45451</v>
      </c>
      <c r="F72" s="1">
        <v>45251</v>
      </c>
      <c r="G72" s="21" t="s">
        <v>15</v>
      </c>
      <c r="H72" s="21" t="s">
        <v>153</v>
      </c>
      <c r="I72" s="21" t="s">
        <v>108</v>
      </c>
      <c r="J72">
        <v>3</v>
      </c>
    </row>
    <row r="73" spans="1:10" x14ac:dyDescent="0.35">
      <c r="A73" s="21" t="s">
        <v>227</v>
      </c>
      <c r="B73">
        <v>1000</v>
      </c>
      <c r="C73" s="1">
        <v>46113</v>
      </c>
      <c r="D73">
        <v>19530</v>
      </c>
      <c r="E73">
        <v>45956</v>
      </c>
      <c r="F73" s="1">
        <v>41921</v>
      </c>
      <c r="G73" s="21" t="s">
        <v>15</v>
      </c>
      <c r="H73" s="21" t="s">
        <v>228</v>
      </c>
      <c r="I73" s="21" t="s">
        <v>108</v>
      </c>
      <c r="J73">
        <v>4</v>
      </c>
    </row>
    <row r="74" spans="1:10" x14ac:dyDescent="0.35">
      <c r="A74" s="21" t="s">
        <v>229</v>
      </c>
      <c r="B74">
        <v>2351</v>
      </c>
      <c r="C74" s="1">
        <v>46121</v>
      </c>
      <c r="D74">
        <v>19623</v>
      </c>
      <c r="E74">
        <v>46232</v>
      </c>
      <c r="F74" s="1">
        <v>38730</v>
      </c>
      <c r="G74" s="21" t="s">
        <v>15</v>
      </c>
      <c r="H74" s="21" t="s">
        <v>230</v>
      </c>
      <c r="I74" s="21" t="s">
        <v>108</v>
      </c>
      <c r="J74">
        <v>4</v>
      </c>
    </row>
    <row r="75" spans="1:10" x14ac:dyDescent="0.35">
      <c r="A75" s="21" t="s">
        <v>231</v>
      </c>
      <c r="B75">
        <v>15225</v>
      </c>
      <c r="C75" s="1">
        <v>46128</v>
      </c>
      <c r="D75">
        <v>19750</v>
      </c>
      <c r="E75">
        <v>46618</v>
      </c>
      <c r="F75" s="1">
        <v>36789</v>
      </c>
      <c r="G75" s="21" t="s">
        <v>15</v>
      </c>
      <c r="H75" s="21" t="s">
        <v>120</v>
      </c>
      <c r="I75" s="21" t="s">
        <v>108</v>
      </c>
      <c r="J75">
        <v>4</v>
      </c>
    </row>
    <row r="76" spans="1:10" x14ac:dyDescent="0.35">
      <c r="A76" s="21" t="s">
        <v>154</v>
      </c>
      <c r="B76">
        <v>1215</v>
      </c>
      <c r="C76" s="1">
        <v>46098</v>
      </c>
      <c r="D76">
        <v>19312</v>
      </c>
      <c r="E76">
        <v>45563</v>
      </c>
      <c r="F76" s="1">
        <v>36669</v>
      </c>
      <c r="G76" s="21" t="s">
        <v>15</v>
      </c>
      <c r="H76" s="21" t="s">
        <v>155</v>
      </c>
      <c r="I76" s="21" t="s">
        <v>108</v>
      </c>
      <c r="J76">
        <v>3</v>
      </c>
    </row>
    <row r="77" spans="1:10" x14ac:dyDescent="0.35">
      <c r="A77" s="21" t="s">
        <v>232</v>
      </c>
      <c r="B77">
        <v>1000</v>
      </c>
      <c r="C77" s="1">
        <v>46132</v>
      </c>
      <c r="D77">
        <v>19825</v>
      </c>
      <c r="E77">
        <v>46911</v>
      </c>
      <c r="F77" s="1">
        <v>42873</v>
      </c>
      <c r="G77" s="21" t="s">
        <v>15</v>
      </c>
      <c r="H77" s="21" t="s">
        <v>233</v>
      </c>
      <c r="I77" s="21" t="s">
        <v>108</v>
      </c>
      <c r="J77">
        <v>4</v>
      </c>
    </row>
    <row r="78" spans="1:10" x14ac:dyDescent="0.35">
      <c r="A78" s="21" t="s">
        <v>156</v>
      </c>
      <c r="B78">
        <v>9344.16</v>
      </c>
      <c r="C78" s="1">
        <v>46111</v>
      </c>
      <c r="D78">
        <v>19479</v>
      </c>
      <c r="E78">
        <v>45871</v>
      </c>
      <c r="F78" s="1">
        <v>36165</v>
      </c>
      <c r="G78" s="21" t="s">
        <v>15</v>
      </c>
      <c r="H78" s="21" t="s">
        <v>157</v>
      </c>
      <c r="I78" s="21" t="s">
        <v>108</v>
      </c>
      <c r="J78">
        <v>3</v>
      </c>
    </row>
    <row r="79" spans="1:10" x14ac:dyDescent="0.35">
      <c r="A79" s="21" t="s">
        <v>234</v>
      </c>
      <c r="B79">
        <v>5770</v>
      </c>
      <c r="C79" s="1">
        <v>46136</v>
      </c>
      <c r="D79">
        <v>19917</v>
      </c>
      <c r="E79">
        <v>47095</v>
      </c>
      <c r="F79" s="1">
        <v>46136</v>
      </c>
      <c r="G79" s="21" t="s">
        <v>17</v>
      </c>
      <c r="H79" s="21" t="s">
        <v>12</v>
      </c>
      <c r="I79" s="21" t="s">
        <v>18</v>
      </c>
      <c r="J79">
        <v>4</v>
      </c>
    </row>
    <row r="80" spans="1:10" x14ac:dyDescent="0.35">
      <c r="A80" s="21" t="s">
        <v>158</v>
      </c>
      <c r="B80">
        <v>5460</v>
      </c>
      <c r="C80" s="1">
        <v>46097</v>
      </c>
      <c r="D80">
        <v>19301</v>
      </c>
      <c r="E80">
        <v>45540</v>
      </c>
      <c r="F80" s="1">
        <v>42830</v>
      </c>
      <c r="G80" s="21" t="s">
        <v>11</v>
      </c>
      <c r="H80" s="21" t="s">
        <v>159</v>
      </c>
      <c r="I80" s="21" t="s">
        <v>18</v>
      </c>
      <c r="J80">
        <v>3</v>
      </c>
    </row>
    <row r="81" spans="1:10" x14ac:dyDescent="0.35">
      <c r="A81" s="21" t="s">
        <v>235</v>
      </c>
      <c r="B81">
        <v>2370</v>
      </c>
      <c r="C81" s="1">
        <v>46121</v>
      </c>
      <c r="D81">
        <v>19619</v>
      </c>
      <c r="E81">
        <v>46228</v>
      </c>
      <c r="F81" s="1">
        <v>45786</v>
      </c>
      <c r="G81" s="21" t="s">
        <v>17</v>
      </c>
      <c r="H81" s="21" t="s">
        <v>236</v>
      </c>
      <c r="I81" s="21" t="s">
        <v>18</v>
      </c>
      <c r="J81">
        <v>4</v>
      </c>
    </row>
    <row r="82" spans="1:10" x14ac:dyDescent="0.35">
      <c r="A82" s="21" t="s">
        <v>160</v>
      </c>
      <c r="B82">
        <v>1545</v>
      </c>
      <c r="C82" s="1">
        <v>46106</v>
      </c>
      <c r="D82">
        <v>19422</v>
      </c>
      <c r="E82">
        <v>45776</v>
      </c>
      <c r="F82" s="1">
        <v>46106</v>
      </c>
      <c r="G82" s="21" t="s">
        <v>17</v>
      </c>
      <c r="H82" s="21" t="s">
        <v>12</v>
      </c>
      <c r="I82" s="21" t="s">
        <v>18</v>
      </c>
      <c r="J82">
        <v>3</v>
      </c>
    </row>
    <row r="83" spans="1:10" x14ac:dyDescent="0.35">
      <c r="A83" s="21" t="s">
        <v>161</v>
      </c>
      <c r="B83">
        <v>75</v>
      </c>
      <c r="C83" s="1">
        <v>46094</v>
      </c>
      <c r="D83">
        <v>19292</v>
      </c>
      <c r="E83">
        <v>45526</v>
      </c>
      <c r="F83" s="1">
        <v>46094</v>
      </c>
      <c r="G83" s="21" t="s">
        <v>15</v>
      </c>
      <c r="H83" s="21" t="s">
        <v>12</v>
      </c>
      <c r="I83" s="21" t="s">
        <v>162</v>
      </c>
      <c r="J83">
        <v>3</v>
      </c>
    </row>
    <row r="84" spans="1:10" x14ac:dyDescent="0.35">
      <c r="A84" s="21" t="s">
        <v>111</v>
      </c>
      <c r="B84">
        <v>1545</v>
      </c>
      <c r="C84" s="1">
        <v>46059</v>
      </c>
      <c r="D84">
        <v>18891</v>
      </c>
      <c r="E84">
        <v>44881</v>
      </c>
      <c r="F84" s="1">
        <v>36570</v>
      </c>
      <c r="G84" s="21" t="s">
        <v>11</v>
      </c>
      <c r="H84" s="21" t="s">
        <v>12</v>
      </c>
      <c r="I84" s="21" t="s">
        <v>18</v>
      </c>
      <c r="J84">
        <v>2</v>
      </c>
    </row>
    <row r="85" spans="1:10" x14ac:dyDescent="0.35">
      <c r="A85" s="21" t="s">
        <v>75</v>
      </c>
      <c r="B85">
        <v>23375</v>
      </c>
      <c r="C85" s="1">
        <v>46048</v>
      </c>
      <c r="D85">
        <v>18752</v>
      </c>
      <c r="E85">
        <v>44676</v>
      </c>
      <c r="F85" s="1">
        <v>41256</v>
      </c>
      <c r="G85" s="21" t="s">
        <v>0</v>
      </c>
      <c r="H85" s="21" t="s">
        <v>12</v>
      </c>
      <c r="I85" s="21" t="s">
        <v>18</v>
      </c>
      <c r="J85">
        <v>1</v>
      </c>
    </row>
    <row r="86" spans="1:10" x14ac:dyDescent="0.35">
      <c r="A86" s="21" t="s">
        <v>237</v>
      </c>
      <c r="B86">
        <v>1545</v>
      </c>
      <c r="C86" s="1">
        <v>46141</v>
      </c>
      <c r="D86">
        <v>19966</v>
      </c>
      <c r="E86">
        <v>47181</v>
      </c>
      <c r="F86" s="1">
        <v>44337</v>
      </c>
      <c r="G86" s="21" t="s">
        <v>11</v>
      </c>
      <c r="H86" s="21" t="s">
        <v>12</v>
      </c>
      <c r="I86" s="21" t="s">
        <v>18</v>
      </c>
      <c r="J86">
        <v>4</v>
      </c>
    </row>
    <row r="87" spans="1:10" x14ac:dyDescent="0.35">
      <c r="A87" s="21" t="s">
        <v>27</v>
      </c>
      <c r="B87">
        <v>5460</v>
      </c>
      <c r="C87" s="1">
        <v>46037</v>
      </c>
      <c r="D87">
        <v>18650</v>
      </c>
      <c r="E87">
        <v>44548</v>
      </c>
      <c r="F87" s="1">
        <v>39989</v>
      </c>
      <c r="G87" s="21" t="s">
        <v>11</v>
      </c>
      <c r="H87" s="21" t="s">
        <v>12</v>
      </c>
      <c r="I87" s="21" t="s">
        <v>18</v>
      </c>
      <c r="J87">
        <v>1</v>
      </c>
    </row>
    <row r="88" spans="1:10" x14ac:dyDescent="0.35">
      <c r="A88" s="21" t="s">
        <v>163</v>
      </c>
      <c r="B88">
        <v>40000</v>
      </c>
      <c r="C88" s="1">
        <v>46098</v>
      </c>
      <c r="D88">
        <v>19316</v>
      </c>
      <c r="E88">
        <v>45566</v>
      </c>
      <c r="F88" s="1">
        <v>40001</v>
      </c>
      <c r="G88" s="21" t="s">
        <v>17</v>
      </c>
      <c r="H88" s="21" t="s">
        <v>12</v>
      </c>
      <c r="I88" s="21" t="s">
        <v>21</v>
      </c>
      <c r="J88">
        <v>3</v>
      </c>
    </row>
    <row r="89" spans="1:10" x14ac:dyDescent="0.35">
      <c r="A89" s="21" t="s">
        <v>164</v>
      </c>
      <c r="B89">
        <v>5770</v>
      </c>
      <c r="C89" s="1">
        <v>46094</v>
      </c>
      <c r="D89">
        <v>19294</v>
      </c>
      <c r="E89">
        <v>45528</v>
      </c>
      <c r="F89" s="1">
        <v>45765</v>
      </c>
      <c r="G89" s="21" t="s">
        <v>0</v>
      </c>
      <c r="H89" s="21" t="s">
        <v>12</v>
      </c>
      <c r="I89" s="21" t="s">
        <v>18</v>
      </c>
      <c r="J89">
        <v>3</v>
      </c>
    </row>
    <row r="90" spans="1:10" x14ac:dyDescent="0.35">
      <c r="A90" s="21" t="s">
        <v>238</v>
      </c>
      <c r="B90">
        <v>775</v>
      </c>
      <c r="C90" s="1">
        <v>46113</v>
      </c>
      <c r="D90">
        <v>19529</v>
      </c>
      <c r="E90">
        <v>45955</v>
      </c>
      <c r="F90" s="1">
        <v>46113</v>
      </c>
      <c r="G90" s="21" t="s">
        <v>15</v>
      </c>
      <c r="H90" s="21" t="s">
        <v>12</v>
      </c>
      <c r="I90" s="21" t="s">
        <v>16</v>
      </c>
      <c r="J90">
        <v>4</v>
      </c>
    </row>
    <row r="91" spans="1:10" x14ac:dyDescent="0.35">
      <c r="A91" s="21" t="s">
        <v>239</v>
      </c>
      <c r="B91">
        <v>775</v>
      </c>
      <c r="C91" s="1">
        <v>46120</v>
      </c>
      <c r="D91">
        <v>19596</v>
      </c>
      <c r="E91">
        <v>46166</v>
      </c>
      <c r="F91" s="1">
        <v>42501</v>
      </c>
      <c r="G91" s="21" t="s">
        <v>15</v>
      </c>
      <c r="H91" s="21" t="s">
        <v>12</v>
      </c>
      <c r="I91" s="21" t="s">
        <v>16</v>
      </c>
      <c r="J91">
        <v>4</v>
      </c>
    </row>
    <row r="92" spans="1:10" x14ac:dyDescent="0.35">
      <c r="A92" s="21" t="s">
        <v>240</v>
      </c>
      <c r="B92">
        <v>775</v>
      </c>
      <c r="C92" s="1">
        <v>46142</v>
      </c>
      <c r="D92">
        <v>19983</v>
      </c>
      <c r="E92">
        <v>47210</v>
      </c>
      <c r="F92" s="1">
        <v>45762</v>
      </c>
      <c r="G92" s="21" t="s">
        <v>15</v>
      </c>
      <c r="H92" s="21" t="s">
        <v>12</v>
      </c>
      <c r="I92" s="21" t="s">
        <v>16</v>
      </c>
      <c r="J92">
        <v>4</v>
      </c>
    </row>
    <row r="93" spans="1:10" x14ac:dyDescent="0.35">
      <c r="A93" s="21" t="s">
        <v>76</v>
      </c>
      <c r="B93">
        <v>775</v>
      </c>
      <c r="C93" s="1">
        <v>46028</v>
      </c>
      <c r="D93">
        <v>18392</v>
      </c>
      <c r="E93">
        <v>44254</v>
      </c>
      <c r="F93" s="1">
        <v>46028</v>
      </c>
      <c r="G93" s="21" t="s">
        <v>15</v>
      </c>
      <c r="H93" s="21" t="s">
        <v>12</v>
      </c>
      <c r="I93" s="21" t="s">
        <v>16</v>
      </c>
      <c r="J93">
        <v>1</v>
      </c>
    </row>
    <row r="94" spans="1:10" x14ac:dyDescent="0.35">
      <c r="A94" s="21" t="s">
        <v>112</v>
      </c>
      <c r="B94">
        <v>14420</v>
      </c>
      <c r="C94" s="1">
        <v>46055</v>
      </c>
      <c r="D94">
        <v>18849</v>
      </c>
      <c r="E94">
        <v>44821</v>
      </c>
      <c r="F94" s="1">
        <v>37963</v>
      </c>
      <c r="G94" s="21" t="s">
        <v>94</v>
      </c>
      <c r="H94" s="21" t="s">
        <v>12</v>
      </c>
      <c r="I94" s="21" t="s">
        <v>18</v>
      </c>
      <c r="J94">
        <v>2</v>
      </c>
    </row>
    <row r="95" spans="1:10" x14ac:dyDescent="0.35">
      <c r="A95" s="21" t="s">
        <v>165</v>
      </c>
      <c r="B95">
        <v>775</v>
      </c>
      <c r="C95" s="1">
        <v>46085</v>
      </c>
      <c r="D95">
        <v>19136</v>
      </c>
      <c r="E95">
        <v>45235</v>
      </c>
      <c r="F95" s="1">
        <v>43523</v>
      </c>
      <c r="G95" s="21" t="s">
        <v>15</v>
      </c>
      <c r="H95" s="21" t="s">
        <v>12</v>
      </c>
      <c r="I95" s="21" t="s">
        <v>16</v>
      </c>
      <c r="J95">
        <v>3</v>
      </c>
    </row>
    <row r="96" spans="1:10" x14ac:dyDescent="0.35">
      <c r="A96" s="21" t="s">
        <v>113</v>
      </c>
      <c r="B96">
        <v>100</v>
      </c>
      <c r="C96" s="1">
        <v>46064</v>
      </c>
      <c r="D96">
        <v>18927</v>
      </c>
      <c r="E96">
        <v>44951</v>
      </c>
      <c r="F96" s="1">
        <v>35292</v>
      </c>
      <c r="G96" s="21" t="s">
        <v>15</v>
      </c>
      <c r="H96" s="21" t="s">
        <v>12</v>
      </c>
      <c r="I96" s="21" t="s">
        <v>99</v>
      </c>
      <c r="J96">
        <v>2</v>
      </c>
    </row>
    <row r="97" spans="1:10" x14ac:dyDescent="0.35">
      <c r="A97" s="21" t="s">
        <v>241</v>
      </c>
      <c r="B97">
        <v>775</v>
      </c>
      <c r="C97" s="1">
        <v>46125</v>
      </c>
      <c r="D97">
        <v>19658</v>
      </c>
      <c r="E97">
        <v>46346</v>
      </c>
      <c r="F97" s="1">
        <v>46125</v>
      </c>
      <c r="G97" s="21" t="s">
        <v>15</v>
      </c>
      <c r="H97" s="21" t="s">
        <v>12</v>
      </c>
      <c r="I97" s="21" t="s">
        <v>16</v>
      </c>
      <c r="J97">
        <v>4</v>
      </c>
    </row>
    <row r="98" spans="1:10" x14ac:dyDescent="0.35">
      <c r="A98" s="21" t="s">
        <v>22</v>
      </c>
      <c r="B98">
        <v>1545</v>
      </c>
      <c r="C98" s="1">
        <v>46051</v>
      </c>
      <c r="D98">
        <v>18802</v>
      </c>
      <c r="E98">
        <v>44761</v>
      </c>
      <c r="F98" s="1">
        <v>45303</v>
      </c>
      <c r="G98" s="21" t="s">
        <v>17</v>
      </c>
      <c r="H98" s="21" t="s">
        <v>12</v>
      </c>
      <c r="I98" s="21" t="s">
        <v>18</v>
      </c>
      <c r="J98">
        <v>1</v>
      </c>
    </row>
    <row r="99" spans="1:10" x14ac:dyDescent="0.35">
      <c r="A99" s="21" t="s">
        <v>166</v>
      </c>
      <c r="B99">
        <v>775</v>
      </c>
      <c r="C99" s="1">
        <v>46087</v>
      </c>
      <c r="D99">
        <v>19224</v>
      </c>
      <c r="E99">
        <v>45388</v>
      </c>
      <c r="F99" s="1">
        <v>45741</v>
      </c>
      <c r="G99" s="21" t="s">
        <v>15</v>
      </c>
      <c r="H99" s="21" t="s">
        <v>15</v>
      </c>
      <c r="I99" s="21" t="s">
        <v>16</v>
      </c>
      <c r="J99">
        <v>3</v>
      </c>
    </row>
    <row r="100" spans="1:10" x14ac:dyDescent="0.35">
      <c r="A100" s="21" t="s">
        <v>242</v>
      </c>
      <c r="B100">
        <v>775</v>
      </c>
      <c r="C100" s="1">
        <v>46124</v>
      </c>
      <c r="D100">
        <v>19651</v>
      </c>
      <c r="E100">
        <v>46329</v>
      </c>
      <c r="F100" s="1">
        <v>44327</v>
      </c>
      <c r="G100" s="21" t="s">
        <v>15</v>
      </c>
      <c r="H100" s="21" t="s">
        <v>15</v>
      </c>
      <c r="I100" s="21" t="s">
        <v>16</v>
      </c>
      <c r="J100">
        <v>4</v>
      </c>
    </row>
    <row r="101" spans="1:10" x14ac:dyDescent="0.35">
      <c r="A101" s="21" t="s">
        <v>114</v>
      </c>
      <c r="B101">
        <v>16175</v>
      </c>
      <c r="C101" s="1">
        <v>46073</v>
      </c>
      <c r="D101">
        <v>18994</v>
      </c>
      <c r="E101">
        <v>45037</v>
      </c>
      <c r="F101" s="1">
        <v>40205</v>
      </c>
      <c r="G101" s="21" t="s">
        <v>17</v>
      </c>
      <c r="H101" s="21" t="s">
        <v>12</v>
      </c>
      <c r="I101" s="21" t="s">
        <v>18</v>
      </c>
      <c r="J101">
        <v>2</v>
      </c>
    </row>
    <row r="102" spans="1:10" x14ac:dyDescent="0.35">
      <c r="A102" s="21" t="s">
        <v>243</v>
      </c>
      <c r="B102">
        <v>775</v>
      </c>
      <c r="C102" s="1">
        <v>46113</v>
      </c>
      <c r="D102">
        <v>19525</v>
      </c>
      <c r="E102">
        <v>45951</v>
      </c>
      <c r="F102" s="1">
        <v>45740</v>
      </c>
      <c r="G102" s="21" t="s">
        <v>15</v>
      </c>
      <c r="H102" s="21" t="s">
        <v>15</v>
      </c>
      <c r="I102" s="21" t="s">
        <v>16</v>
      </c>
      <c r="J102">
        <v>4</v>
      </c>
    </row>
    <row r="103" spans="1:10" x14ac:dyDescent="0.35">
      <c r="A103" s="21" t="s">
        <v>167</v>
      </c>
      <c r="B103">
        <v>775</v>
      </c>
      <c r="C103" s="1">
        <v>46101</v>
      </c>
      <c r="D103">
        <v>19382</v>
      </c>
      <c r="E103">
        <v>45724</v>
      </c>
      <c r="F103" s="1">
        <v>46101</v>
      </c>
      <c r="G103" s="21" t="s">
        <v>15</v>
      </c>
      <c r="H103" s="21" t="s">
        <v>12</v>
      </c>
      <c r="I103" s="21" t="s">
        <v>16</v>
      </c>
      <c r="J103">
        <v>3</v>
      </c>
    </row>
    <row r="104" spans="1:10" x14ac:dyDescent="0.35">
      <c r="A104" s="21" t="s">
        <v>115</v>
      </c>
      <c r="B104">
        <v>775</v>
      </c>
      <c r="C104" s="1">
        <v>46055</v>
      </c>
      <c r="D104">
        <v>18853</v>
      </c>
      <c r="E104">
        <v>44825</v>
      </c>
      <c r="F104" s="1">
        <v>45344</v>
      </c>
      <c r="G104" s="21" t="s">
        <v>15</v>
      </c>
      <c r="H104" s="21" t="s">
        <v>15</v>
      </c>
      <c r="I104" s="21" t="s">
        <v>16</v>
      </c>
      <c r="J104">
        <v>2</v>
      </c>
    </row>
    <row r="105" spans="1:10" x14ac:dyDescent="0.35">
      <c r="A105" s="21" t="s">
        <v>244</v>
      </c>
      <c r="B105">
        <v>30290</v>
      </c>
      <c r="C105" s="1">
        <v>46132</v>
      </c>
      <c r="D105">
        <v>19819</v>
      </c>
      <c r="E105">
        <v>46904</v>
      </c>
      <c r="F105" s="1">
        <v>37810</v>
      </c>
      <c r="G105" s="21" t="s">
        <v>94</v>
      </c>
      <c r="H105" s="21" t="s">
        <v>12</v>
      </c>
      <c r="I105" s="21" t="s">
        <v>21</v>
      </c>
      <c r="J105">
        <v>4</v>
      </c>
    </row>
    <row r="106" spans="1:10" x14ac:dyDescent="0.35">
      <c r="A106" s="21" t="s">
        <v>116</v>
      </c>
      <c r="B106">
        <v>1905</v>
      </c>
      <c r="C106" s="1">
        <v>46070</v>
      </c>
      <c r="D106">
        <v>18958</v>
      </c>
      <c r="E106">
        <v>44993</v>
      </c>
      <c r="F106" s="1">
        <v>43966</v>
      </c>
      <c r="G106" s="21" t="s">
        <v>11</v>
      </c>
      <c r="H106" s="21" t="s">
        <v>12</v>
      </c>
      <c r="I106" s="21" t="s">
        <v>13</v>
      </c>
      <c r="J106">
        <v>2</v>
      </c>
    </row>
    <row r="107" spans="1:10" x14ac:dyDescent="0.35">
      <c r="A107" s="21" t="s">
        <v>63</v>
      </c>
      <c r="B107">
        <v>2370</v>
      </c>
      <c r="C107" s="1">
        <v>46042</v>
      </c>
      <c r="D107">
        <v>18672</v>
      </c>
      <c r="E107">
        <v>44570</v>
      </c>
      <c r="F107" s="1">
        <v>41988</v>
      </c>
      <c r="G107" s="21" t="s">
        <v>17</v>
      </c>
      <c r="H107" s="21" t="s">
        <v>12</v>
      </c>
      <c r="I107" s="21" t="s">
        <v>18</v>
      </c>
      <c r="J107">
        <v>1</v>
      </c>
    </row>
    <row r="108" spans="1:10" x14ac:dyDescent="0.35">
      <c r="A108" s="21" t="s">
        <v>168</v>
      </c>
      <c r="B108">
        <v>1650</v>
      </c>
      <c r="C108" s="1">
        <v>46108</v>
      </c>
      <c r="D108">
        <v>19449</v>
      </c>
      <c r="E108">
        <v>45813</v>
      </c>
      <c r="F108" s="1">
        <v>42459</v>
      </c>
      <c r="G108" s="21" t="s">
        <v>94</v>
      </c>
      <c r="H108" s="21" t="s">
        <v>169</v>
      </c>
      <c r="I108" s="21" t="s">
        <v>18</v>
      </c>
      <c r="J108">
        <v>3</v>
      </c>
    </row>
    <row r="109" spans="1:10" x14ac:dyDescent="0.35">
      <c r="A109" s="21" t="s">
        <v>245</v>
      </c>
      <c r="B109">
        <v>23375</v>
      </c>
      <c r="C109" s="1">
        <v>46114</v>
      </c>
      <c r="D109">
        <v>19544</v>
      </c>
      <c r="E109">
        <v>45999</v>
      </c>
      <c r="F109" s="1">
        <v>38363</v>
      </c>
      <c r="G109" s="21" t="s">
        <v>17</v>
      </c>
      <c r="H109" s="21" t="s">
        <v>12</v>
      </c>
      <c r="I109" s="21" t="s">
        <v>18</v>
      </c>
      <c r="J109">
        <v>4</v>
      </c>
    </row>
    <row r="110" spans="1:10" x14ac:dyDescent="0.35">
      <c r="A110" s="21" t="s">
        <v>246</v>
      </c>
      <c r="B110">
        <v>775</v>
      </c>
      <c r="C110" s="1">
        <v>46125</v>
      </c>
      <c r="D110">
        <v>19659</v>
      </c>
      <c r="E110">
        <v>46347</v>
      </c>
      <c r="F110" s="1">
        <v>41103</v>
      </c>
      <c r="G110" s="21" t="s">
        <v>15</v>
      </c>
      <c r="H110" s="21" t="s">
        <v>134</v>
      </c>
      <c r="I110" s="21" t="s">
        <v>16</v>
      </c>
      <c r="J110">
        <v>4</v>
      </c>
    </row>
    <row r="111" spans="1:10" x14ac:dyDescent="0.35">
      <c r="A111" s="21" t="s">
        <v>247</v>
      </c>
      <c r="B111">
        <v>775</v>
      </c>
      <c r="C111" s="1">
        <v>46142</v>
      </c>
      <c r="D111">
        <v>19980</v>
      </c>
      <c r="E111">
        <v>47207</v>
      </c>
      <c r="F111" s="1">
        <v>45799</v>
      </c>
      <c r="G111" s="21" t="s">
        <v>15</v>
      </c>
      <c r="H111" s="21" t="s">
        <v>12</v>
      </c>
      <c r="I111" s="21" t="s">
        <v>16</v>
      </c>
      <c r="J111">
        <v>4</v>
      </c>
    </row>
    <row r="112" spans="1:10" x14ac:dyDescent="0.35">
      <c r="A112" s="21" t="s">
        <v>77</v>
      </c>
      <c r="B112">
        <v>1905</v>
      </c>
      <c r="C112" s="1">
        <v>46044</v>
      </c>
      <c r="D112">
        <v>18717</v>
      </c>
      <c r="E112">
        <v>44617</v>
      </c>
      <c r="F112" s="1">
        <v>43465</v>
      </c>
      <c r="G112" s="21" t="s">
        <v>17</v>
      </c>
      <c r="H112" s="21" t="s">
        <v>12</v>
      </c>
      <c r="I112" s="21" t="s">
        <v>13</v>
      </c>
      <c r="J112">
        <v>1</v>
      </c>
    </row>
    <row r="113" spans="1:10" x14ac:dyDescent="0.35">
      <c r="A113" s="21" t="s">
        <v>170</v>
      </c>
      <c r="B113">
        <v>16500</v>
      </c>
      <c r="C113" s="1">
        <v>46090</v>
      </c>
      <c r="D113">
        <v>19240</v>
      </c>
      <c r="E113">
        <v>45428</v>
      </c>
      <c r="F113" s="1">
        <v>41004</v>
      </c>
      <c r="G113" s="21" t="s">
        <v>11</v>
      </c>
      <c r="H113" s="21" t="s">
        <v>12</v>
      </c>
      <c r="I113" s="21" t="s">
        <v>21</v>
      </c>
      <c r="J113">
        <v>3</v>
      </c>
    </row>
    <row r="114" spans="1:10" x14ac:dyDescent="0.35">
      <c r="A114" s="21" t="s">
        <v>248</v>
      </c>
      <c r="B114">
        <v>16480</v>
      </c>
      <c r="C114" s="1">
        <v>46129</v>
      </c>
      <c r="D114">
        <v>19779</v>
      </c>
      <c r="E114">
        <v>46745</v>
      </c>
      <c r="F114" s="1">
        <v>36845</v>
      </c>
      <c r="G114" s="21" t="s">
        <v>11</v>
      </c>
      <c r="H114" s="21" t="s">
        <v>151</v>
      </c>
      <c r="I114" s="21" t="s">
        <v>13</v>
      </c>
      <c r="J114">
        <v>4</v>
      </c>
    </row>
    <row r="115" spans="1:10" x14ac:dyDescent="0.35">
      <c r="A115" s="21" t="s">
        <v>171</v>
      </c>
      <c r="B115">
        <v>1905</v>
      </c>
      <c r="C115" s="1">
        <v>46085</v>
      </c>
      <c r="D115">
        <v>19156</v>
      </c>
      <c r="E115">
        <v>45291</v>
      </c>
      <c r="F115" s="1">
        <v>40721</v>
      </c>
      <c r="G115" s="21" t="s">
        <v>11</v>
      </c>
      <c r="H115" s="21" t="s">
        <v>12</v>
      </c>
      <c r="I115" s="21" t="s">
        <v>13</v>
      </c>
      <c r="J115">
        <v>3</v>
      </c>
    </row>
    <row r="116" spans="1:10" x14ac:dyDescent="0.35">
      <c r="A116" s="21" t="s">
        <v>14</v>
      </c>
      <c r="B116">
        <v>1545</v>
      </c>
      <c r="C116" s="1">
        <v>46037</v>
      </c>
      <c r="D116">
        <v>18652</v>
      </c>
      <c r="E116">
        <v>44550</v>
      </c>
      <c r="F116" s="1">
        <v>38720</v>
      </c>
      <c r="G116" s="21" t="s">
        <v>11</v>
      </c>
      <c r="H116" s="21" t="s">
        <v>12</v>
      </c>
      <c r="I116" s="21" t="s">
        <v>18</v>
      </c>
      <c r="J116">
        <v>1</v>
      </c>
    </row>
    <row r="117" spans="1:10" x14ac:dyDescent="0.35">
      <c r="A117" s="21" t="s">
        <v>249</v>
      </c>
      <c r="B117">
        <v>8560</v>
      </c>
      <c r="C117" s="1">
        <v>46119</v>
      </c>
      <c r="D117">
        <v>19574</v>
      </c>
      <c r="E117">
        <v>46085</v>
      </c>
      <c r="F117" s="1">
        <v>33604</v>
      </c>
      <c r="G117" s="21" t="s">
        <v>11</v>
      </c>
      <c r="H117" s="21" t="s">
        <v>12</v>
      </c>
      <c r="I117" s="21" t="s">
        <v>18</v>
      </c>
      <c r="J117">
        <v>4</v>
      </c>
    </row>
    <row r="118" spans="1:10" x14ac:dyDescent="0.35">
      <c r="A118" s="21" t="s">
        <v>172</v>
      </c>
      <c r="B118">
        <v>5460</v>
      </c>
      <c r="C118" s="1">
        <v>46090</v>
      </c>
      <c r="D118">
        <v>19245</v>
      </c>
      <c r="E118">
        <v>45433</v>
      </c>
      <c r="F118" s="1">
        <v>45069</v>
      </c>
      <c r="G118" s="21" t="s">
        <v>11</v>
      </c>
      <c r="H118" s="21" t="s">
        <v>12</v>
      </c>
      <c r="I118" s="21" t="s">
        <v>18</v>
      </c>
      <c r="J118">
        <v>3</v>
      </c>
    </row>
    <row r="119" spans="1:10" x14ac:dyDescent="0.35">
      <c r="A119" s="21" t="s">
        <v>250</v>
      </c>
      <c r="B119">
        <v>2370</v>
      </c>
      <c r="C119" s="1">
        <v>46126</v>
      </c>
      <c r="D119">
        <v>19692</v>
      </c>
      <c r="E119">
        <v>46414</v>
      </c>
      <c r="F119" s="1">
        <v>44874</v>
      </c>
      <c r="G119" s="21" t="s">
        <v>17</v>
      </c>
      <c r="H119" s="21" t="s">
        <v>12</v>
      </c>
      <c r="I119" s="21" t="s">
        <v>18</v>
      </c>
      <c r="J119">
        <v>4</v>
      </c>
    </row>
    <row r="120" spans="1:10" x14ac:dyDescent="0.35">
      <c r="A120" s="21" t="s">
        <v>56</v>
      </c>
      <c r="B120">
        <v>2990</v>
      </c>
      <c r="C120" s="1">
        <v>46045</v>
      </c>
      <c r="D120">
        <v>18722</v>
      </c>
      <c r="E120">
        <v>44622</v>
      </c>
      <c r="F120" s="1">
        <v>45682</v>
      </c>
      <c r="G120" s="21" t="s">
        <v>17</v>
      </c>
      <c r="H120" s="21" t="s">
        <v>12</v>
      </c>
      <c r="I120" s="21" t="s">
        <v>13</v>
      </c>
      <c r="J120">
        <v>1</v>
      </c>
    </row>
    <row r="121" spans="1:10" x14ac:dyDescent="0.35">
      <c r="A121" s="21" t="s">
        <v>251</v>
      </c>
      <c r="B121">
        <v>2990</v>
      </c>
      <c r="C121" s="1">
        <v>46133</v>
      </c>
      <c r="D121">
        <v>19837</v>
      </c>
      <c r="E121">
        <v>46935</v>
      </c>
      <c r="F121" s="1">
        <v>45055</v>
      </c>
      <c r="G121" s="21" t="s">
        <v>0</v>
      </c>
      <c r="H121" s="21" t="s">
        <v>12</v>
      </c>
      <c r="I121" s="21" t="s">
        <v>13</v>
      </c>
      <c r="J121">
        <v>4</v>
      </c>
    </row>
    <row r="122" spans="1:10" x14ac:dyDescent="0.35">
      <c r="A122" s="21" t="s">
        <v>173</v>
      </c>
      <c r="B122">
        <v>18025</v>
      </c>
      <c r="C122" s="1">
        <v>46106</v>
      </c>
      <c r="D122">
        <v>19426</v>
      </c>
      <c r="E122">
        <v>45780</v>
      </c>
      <c r="F122" s="1">
        <v>43936</v>
      </c>
      <c r="G122" s="21" t="s">
        <v>94</v>
      </c>
      <c r="H122" s="21" t="s">
        <v>12</v>
      </c>
      <c r="I122" s="21" t="s">
        <v>13</v>
      </c>
      <c r="J122">
        <v>3</v>
      </c>
    </row>
    <row r="123" spans="1:10" x14ac:dyDescent="0.35">
      <c r="A123" s="21" t="s">
        <v>174</v>
      </c>
      <c r="B123">
        <v>36050</v>
      </c>
      <c r="C123" s="1">
        <v>46106</v>
      </c>
      <c r="D123">
        <v>19421</v>
      </c>
      <c r="E123">
        <v>45775</v>
      </c>
      <c r="F123" s="1">
        <v>40441</v>
      </c>
      <c r="G123" s="21" t="s">
        <v>11</v>
      </c>
      <c r="H123" s="21" t="s">
        <v>12</v>
      </c>
      <c r="I123" s="21" t="s">
        <v>21</v>
      </c>
      <c r="J123">
        <v>3</v>
      </c>
    </row>
    <row r="124" spans="1:10" x14ac:dyDescent="0.35">
      <c r="A124" s="21" t="s">
        <v>78</v>
      </c>
      <c r="B124">
        <v>2990</v>
      </c>
      <c r="C124" s="1">
        <v>46031</v>
      </c>
      <c r="D124">
        <v>18479</v>
      </c>
      <c r="E124">
        <v>44361</v>
      </c>
      <c r="F124" s="1">
        <v>44209</v>
      </c>
      <c r="G124" s="21" t="s">
        <v>17</v>
      </c>
      <c r="H124" s="21" t="s">
        <v>12</v>
      </c>
      <c r="I124" s="21" t="s">
        <v>13</v>
      </c>
      <c r="J124">
        <v>1</v>
      </c>
    </row>
    <row r="125" spans="1:10" x14ac:dyDescent="0.35">
      <c r="A125" s="21" t="s">
        <v>252</v>
      </c>
      <c r="B125">
        <v>1545</v>
      </c>
      <c r="C125" s="1">
        <v>46125</v>
      </c>
      <c r="D125">
        <v>19670</v>
      </c>
      <c r="E125">
        <v>46373</v>
      </c>
      <c r="F125" s="1">
        <v>44177</v>
      </c>
      <c r="G125" s="21" t="s">
        <v>0</v>
      </c>
      <c r="H125" s="21" t="s">
        <v>253</v>
      </c>
      <c r="I125" s="21" t="s">
        <v>18</v>
      </c>
      <c r="J125">
        <v>4</v>
      </c>
    </row>
    <row r="126" spans="1:10" x14ac:dyDescent="0.35">
      <c r="A126" s="21" t="s">
        <v>67</v>
      </c>
      <c r="B126">
        <v>1905</v>
      </c>
      <c r="C126" s="1">
        <v>46129</v>
      </c>
      <c r="D126">
        <v>19781</v>
      </c>
      <c r="E126">
        <v>46747</v>
      </c>
      <c r="F126" s="1">
        <v>45777</v>
      </c>
      <c r="G126" s="21" t="s">
        <v>17</v>
      </c>
      <c r="H126" s="21" t="s">
        <v>12</v>
      </c>
      <c r="I126" s="21" t="s">
        <v>13</v>
      </c>
      <c r="J126">
        <v>4</v>
      </c>
    </row>
    <row r="127" spans="1:10" x14ac:dyDescent="0.35">
      <c r="A127" s="21" t="s">
        <v>67</v>
      </c>
      <c r="B127">
        <v>108.79</v>
      </c>
      <c r="C127" s="1">
        <v>46031</v>
      </c>
      <c r="D127">
        <v>18507</v>
      </c>
      <c r="E127">
        <v>44390</v>
      </c>
      <c r="F127" s="1">
        <v>45777</v>
      </c>
      <c r="G127" s="21" t="s">
        <v>17</v>
      </c>
      <c r="H127" s="21" t="s">
        <v>12</v>
      </c>
      <c r="I127" s="21" t="s">
        <v>13</v>
      </c>
      <c r="J127">
        <v>1</v>
      </c>
    </row>
    <row r="128" spans="1:10" x14ac:dyDescent="0.35">
      <c r="A128" s="21" t="s">
        <v>67</v>
      </c>
      <c r="B128">
        <v>460.04</v>
      </c>
      <c r="C128" s="1">
        <v>46031</v>
      </c>
      <c r="D128">
        <v>18491</v>
      </c>
      <c r="E128">
        <v>44373</v>
      </c>
      <c r="F128" s="1">
        <v>45777</v>
      </c>
      <c r="G128" s="21" t="s">
        <v>17</v>
      </c>
      <c r="H128" s="21" t="s">
        <v>12</v>
      </c>
      <c r="I128" s="21" t="s">
        <v>18</v>
      </c>
      <c r="J128">
        <v>1</v>
      </c>
    </row>
    <row r="129" spans="1:10" x14ac:dyDescent="0.35">
      <c r="A129" s="21" t="s">
        <v>254</v>
      </c>
      <c r="B129">
        <v>1620</v>
      </c>
      <c r="C129" s="1">
        <v>46141</v>
      </c>
      <c r="D129">
        <v>19954</v>
      </c>
      <c r="E129">
        <v>47165</v>
      </c>
      <c r="F129" s="1">
        <v>41086</v>
      </c>
      <c r="G129" s="21" t="s">
        <v>17</v>
      </c>
      <c r="H129" s="21" t="s">
        <v>12</v>
      </c>
      <c r="I129" s="21" t="s">
        <v>18</v>
      </c>
      <c r="J129">
        <v>4</v>
      </c>
    </row>
    <row r="130" spans="1:10" x14ac:dyDescent="0.35">
      <c r="A130" s="21" t="s">
        <v>255</v>
      </c>
      <c r="B130">
        <v>1545</v>
      </c>
      <c r="C130" s="1">
        <v>46128</v>
      </c>
      <c r="D130">
        <v>19755</v>
      </c>
      <c r="E130">
        <v>46639</v>
      </c>
      <c r="F130" s="1">
        <v>46128</v>
      </c>
      <c r="G130" s="21" t="s">
        <v>17</v>
      </c>
      <c r="H130" s="21" t="s">
        <v>12</v>
      </c>
      <c r="I130" s="21" t="s">
        <v>18</v>
      </c>
      <c r="J130">
        <v>4</v>
      </c>
    </row>
    <row r="131" spans="1:10" x14ac:dyDescent="0.35">
      <c r="A131" s="21" t="s">
        <v>175</v>
      </c>
      <c r="B131">
        <v>23375</v>
      </c>
      <c r="C131" s="1">
        <v>46101</v>
      </c>
      <c r="D131">
        <v>19374</v>
      </c>
      <c r="E131">
        <v>45692</v>
      </c>
      <c r="F131" s="1">
        <v>40718</v>
      </c>
      <c r="G131" s="21" t="s">
        <v>17</v>
      </c>
      <c r="H131" s="21" t="s">
        <v>12</v>
      </c>
      <c r="I131" s="21" t="s">
        <v>18</v>
      </c>
      <c r="J131">
        <v>3</v>
      </c>
    </row>
    <row r="132" spans="1:10" x14ac:dyDescent="0.35">
      <c r="A132" s="21" t="s">
        <v>19</v>
      </c>
      <c r="B132">
        <v>1545</v>
      </c>
      <c r="C132" s="1">
        <v>46027</v>
      </c>
      <c r="D132">
        <v>18359</v>
      </c>
      <c r="E132">
        <v>44215</v>
      </c>
      <c r="F132" s="1">
        <v>40225</v>
      </c>
      <c r="G132" s="21" t="s">
        <v>0</v>
      </c>
      <c r="H132" s="21" t="s">
        <v>12</v>
      </c>
      <c r="I132" s="21" t="s">
        <v>18</v>
      </c>
      <c r="J132">
        <v>1</v>
      </c>
    </row>
    <row r="133" spans="1:10" x14ac:dyDescent="0.35">
      <c r="A133" s="21" t="s">
        <v>256</v>
      </c>
      <c r="B133">
        <v>775</v>
      </c>
      <c r="C133" s="1">
        <v>46119</v>
      </c>
      <c r="D133">
        <v>19579</v>
      </c>
      <c r="E133">
        <v>46090</v>
      </c>
      <c r="F133" s="1">
        <v>46119</v>
      </c>
      <c r="G133" s="21" t="s">
        <v>15</v>
      </c>
      <c r="H133" s="21" t="s">
        <v>12</v>
      </c>
      <c r="I133" s="21" t="s">
        <v>16</v>
      </c>
      <c r="J133">
        <v>4</v>
      </c>
    </row>
    <row r="134" spans="1:10" x14ac:dyDescent="0.35">
      <c r="A134" s="21" t="s">
        <v>117</v>
      </c>
      <c r="B134">
        <v>21630</v>
      </c>
      <c r="C134" s="1">
        <v>46062</v>
      </c>
      <c r="D134">
        <v>18908</v>
      </c>
      <c r="E134">
        <v>44897</v>
      </c>
      <c r="F134" s="1">
        <v>42304</v>
      </c>
      <c r="G134" s="21" t="s">
        <v>17</v>
      </c>
      <c r="H134" s="21" t="s">
        <v>12</v>
      </c>
      <c r="I134" s="21" t="s">
        <v>21</v>
      </c>
      <c r="J134">
        <v>2</v>
      </c>
    </row>
    <row r="135" spans="1:10" x14ac:dyDescent="0.35">
      <c r="A135" s="21" t="s">
        <v>176</v>
      </c>
      <c r="B135">
        <v>2370</v>
      </c>
      <c r="C135" s="1">
        <v>46108</v>
      </c>
      <c r="D135">
        <v>19461</v>
      </c>
      <c r="E135">
        <v>45835</v>
      </c>
      <c r="F135" s="1">
        <v>38708</v>
      </c>
      <c r="G135" s="21" t="s">
        <v>17</v>
      </c>
      <c r="H135" s="21" t="s">
        <v>12</v>
      </c>
      <c r="I135" s="21" t="s">
        <v>18</v>
      </c>
      <c r="J135">
        <v>3</v>
      </c>
    </row>
    <row r="136" spans="1:10" x14ac:dyDescent="0.35">
      <c r="A136" s="21" t="s">
        <v>118</v>
      </c>
      <c r="B136">
        <v>2160</v>
      </c>
      <c r="C136" s="1">
        <v>46071</v>
      </c>
      <c r="D136">
        <v>18975</v>
      </c>
      <c r="E136">
        <v>45010</v>
      </c>
      <c r="F136" s="1">
        <v>36032</v>
      </c>
      <c r="G136" s="21" t="s">
        <v>94</v>
      </c>
      <c r="H136" s="21" t="s">
        <v>12</v>
      </c>
      <c r="I136" s="21" t="s">
        <v>13</v>
      </c>
      <c r="J136">
        <v>2</v>
      </c>
    </row>
    <row r="137" spans="1:10" x14ac:dyDescent="0.35">
      <c r="A137" s="21" t="s">
        <v>177</v>
      </c>
      <c r="B137">
        <v>1620</v>
      </c>
      <c r="C137" s="1">
        <v>46102</v>
      </c>
      <c r="D137">
        <v>19394</v>
      </c>
      <c r="E137">
        <v>45737</v>
      </c>
      <c r="F137" s="1">
        <v>45168</v>
      </c>
      <c r="G137" s="21" t="s">
        <v>17</v>
      </c>
      <c r="H137" s="21" t="s">
        <v>12</v>
      </c>
      <c r="I137" s="21" t="s">
        <v>18</v>
      </c>
      <c r="J137">
        <v>3</v>
      </c>
    </row>
    <row r="138" spans="1:10" x14ac:dyDescent="0.35">
      <c r="A138" s="21" t="s">
        <v>257</v>
      </c>
      <c r="B138">
        <v>16175</v>
      </c>
      <c r="C138" s="1">
        <v>46118</v>
      </c>
      <c r="D138">
        <v>19573</v>
      </c>
      <c r="E138">
        <v>46083</v>
      </c>
      <c r="F138" s="1">
        <v>35881</v>
      </c>
      <c r="G138" s="21" t="s">
        <v>17</v>
      </c>
      <c r="H138" s="21" t="s">
        <v>12</v>
      </c>
      <c r="I138" s="21" t="s">
        <v>18</v>
      </c>
      <c r="J138">
        <v>4</v>
      </c>
    </row>
    <row r="139" spans="1:10" x14ac:dyDescent="0.35">
      <c r="A139" s="21" t="s">
        <v>178</v>
      </c>
      <c r="B139">
        <v>775</v>
      </c>
      <c r="C139" s="1">
        <v>46087</v>
      </c>
      <c r="D139">
        <v>19198</v>
      </c>
      <c r="E139">
        <v>45356</v>
      </c>
      <c r="F139" s="1">
        <v>44629</v>
      </c>
      <c r="G139" s="21" t="s">
        <v>15</v>
      </c>
      <c r="H139" s="21" t="s">
        <v>12</v>
      </c>
      <c r="I139" s="21" t="s">
        <v>16</v>
      </c>
      <c r="J139">
        <v>3</v>
      </c>
    </row>
    <row r="140" spans="1:10" x14ac:dyDescent="0.35">
      <c r="A140" s="21" t="s">
        <v>119</v>
      </c>
      <c r="B140">
        <v>23375</v>
      </c>
      <c r="C140" s="1">
        <v>46066</v>
      </c>
      <c r="D140">
        <v>18940</v>
      </c>
      <c r="E140">
        <v>44972</v>
      </c>
      <c r="F140" s="1">
        <v>41302</v>
      </c>
      <c r="G140" s="21" t="s">
        <v>17</v>
      </c>
      <c r="H140" s="21" t="s">
        <v>120</v>
      </c>
      <c r="I140" s="21" t="s">
        <v>18</v>
      </c>
      <c r="J140">
        <v>2</v>
      </c>
    </row>
    <row r="141" spans="1:10" x14ac:dyDescent="0.35">
      <c r="A141" s="21" t="s">
        <v>79</v>
      </c>
      <c r="B141">
        <v>775</v>
      </c>
      <c r="C141" s="1">
        <v>46034</v>
      </c>
      <c r="D141">
        <v>18585</v>
      </c>
      <c r="E141">
        <v>44482</v>
      </c>
      <c r="F141" s="1">
        <v>46034</v>
      </c>
      <c r="G141" s="21" t="s">
        <v>15</v>
      </c>
      <c r="H141" s="21" t="s">
        <v>12</v>
      </c>
      <c r="I141" s="21" t="s">
        <v>16</v>
      </c>
      <c r="J141">
        <v>1</v>
      </c>
    </row>
    <row r="142" spans="1:10" x14ac:dyDescent="0.35">
      <c r="A142" s="21" t="s">
        <v>121</v>
      </c>
      <c r="B142">
        <v>775</v>
      </c>
      <c r="C142" s="1">
        <v>46070</v>
      </c>
      <c r="D142">
        <v>18965</v>
      </c>
      <c r="E142">
        <v>45000</v>
      </c>
      <c r="F142" s="1">
        <v>45013</v>
      </c>
      <c r="G142" s="21" t="s">
        <v>15</v>
      </c>
      <c r="H142" s="21" t="s">
        <v>12</v>
      </c>
      <c r="I142" s="21" t="s">
        <v>16</v>
      </c>
      <c r="J142">
        <v>2</v>
      </c>
    </row>
    <row r="143" spans="1:10" x14ac:dyDescent="0.35">
      <c r="A143" s="21" t="s">
        <v>23</v>
      </c>
      <c r="B143">
        <v>1545</v>
      </c>
      <c r="C143" s="1">
        <v>46035</v>
      </c>
      <c r="D143">
        <v>18620</v>
      </c>
      <c r="E143">
        <v>44519</v>
      </c>
      <c r="F143" s="1">
        <v>41317</v>
      </c>
      <c r="G143" s="21" t="s">
        <v>11</v>
      </c>
      <c r="H143" s="21" t="s">
        <v>12</v>
      </c>
      <c r="I143" s="21" t="s">
        <v>18</v>
      </c>
      <c r="J143">
        <v>1</v>
      </c>
    </row>
    <row r="144" spans="1:10" x14ac:dyDescent="0.35">
      <c r="A144" s="21" t="s">
        <v>258</v>
      </c>
      <c r="B144">
        <v>1905</v>
      </c>
      <c r="C144" s="1">
        <v>46121</v>
      </c>
      <c r="D144">
        <v>19622</v>
      </c>
      <c r="E144">
        <v>46231</v>
      </c>
      <c r="F144" s="1">
        <v>46121</v>
      </c>
      <c r="G144" s="21" t="s">
        <v>0</v>
      </c>
      <c r="H144" s="21" t="s">
        <v>12</v>
      </c>
      <c r="I144" s="21" t="s">
        <v>13</v>
      </c>
      <c r="J144">
        <v>4</v>
      </c>
    </row>
    <row r="145" spans="1:10" x14ac:dyDescent="0.35">
      <c r="A145" s="21" t="s">
        <v>57</v>
      </c>
      <c r="B145">
        <v>775</v>
      </c>
      <c r="C145" s="1">
        <v>46043</v>
      </c>
      <c r="D145">
        <v>18695</v>
      </c>
      <c r="E145">
        <v>44595</v>
      </c>
      <c r="F145" s="1">
        <v>45681</v>
      </c>
      <c r="G145" s="21" t="s">
        <v>15</v>
      </c>
      <c r="H145" s="21" t="s">
        <v>15</v>
      </c>
      <c r="I145" s="21" t="s">
        <v>16</v>
      </c>
      <c r="J145">
        <v>1</v>
      </c>
    </row>
    <row r="146" spans="1:10" x14ac:dyDescent="0.35">
      <c r="A146" s="21" t="s">
        <v>80</v>
      </c>
      <c r="B146">
        <v>1545</v>
      </c>
      <c r="C146" s="1">
        <v>46029</v>
      </c>
      <c r="D146">
        <v>18421</v>
      </c>
      <c r="E146">
        <v>44301</v>
      </c>
      <c r="F146" s="1">
        <v>46029</v>
      </c>
      <c r="G146" s="21" t="s">
        <v>17</v>
      </c>
      <c r="H146" s="21" t="s">
        <v>12</v>
      </c>
      <c r="I146" s="21" t="s">
        <v>18</v>
      </c>
      <c r="J146">
        <v>1</v>
      </c>
    </row>
    <row r="147" spans="1:10" x14ac:dyDescent="0.35">
      <c r="A147" s="21" t="s">
        <v>81</v>
      </c>
      <c r="B147">
        <v>775</v>
      </c>
      <c r="C147" s="1">
        <v>46029</v>
      </c>
      <c r="D147">
        <v>18418</v>
      </c>
      <c r="E147">
        <v>44298</v>
      </c>
      <c r="F147" s="1">
        <v>45050</v>
      </c>
      <c r="G147" s="21" t="s">
        <v>15</v>
      </c>
      <c r="H147" s="21" t="s">
        <v>12</v>
      </c>
      <c r="I147" s="21" t="s">
        <v>16</v>
      </c>
      <c r="J147">
        <v>1</v>
      </c>
    </row>
    <row r="148" spans="1:10" x14ac:dyDescent="0.35">
      <c r="A148" s="21" t="s">
        <v>82</v>
      </c>
      <c r="B148">
        <v>775</v>
      </c>
      <c r="C148" s="1">
        <v>46055</v>
      </c>
      <c r="D148">
        <v>18845</v>
      </c>
      <c r="E148">
        <v>44817</v>
      </c>
      <c r="F148" s="1">
        <v>46055</v>
      </c>
      <c r="G148" s="21" t="s">
        <v>15</v>
      </c>
      <c r="H148" s="21" t="s">
        <v>12</v>
      </c>
      <c r="I148" s="21" t="s">
        <v>16</v>
      </c>
      <c r="J148">
        <v>2</v>
      </c>
    </row>
    <row r="149" spans="1:10" x14ac:dyDescent="0.35">
      <c r="A149" s="21" t="s">
        <v>122</v>
      </c>
      <c r="B149">
        <v>775</v>
      </c>
      <c r="C149" s="1">
        <v>46056</v>
      </c>
      <c r="D149">
        <v>18862</v>
      </c>
      <c r="E149">
        <v>44835</v>
      </c>
      <c r="F149" s="1">
        <v>46056</v>
      </c>
      <c r="G149" s="21" t="s">
        <v>15</v>
      </c>
      <c r="H149" s="21" t="s">
        <v>12</v>
      </c>
      <c r="I149" s="21" t="s">
        <v>16</v>
      </c>
      <c r="J149">
        <v>2</v>
      </c>
    </row>
    <row r="150" spans="1:10" x14ac:dyDescent="0.35">
      <c r="A150" s="21" t="s">
        <v>123</v>
      </c>
      <c r="B150">
        <v>1545</v>
      </c>
      <c r="C150" s="1">
        <v>46069</v>
      </c>
      <c r="D150">
        <v>18947</v>
      </c>
      <c r="E150">
        <v>44979</v>
      </c>
      <c r="F150" s="1">
        <v>44538</v>
      </c>
      <c r="G150" s="21" t="s">
        <v>17</v>
      </c>
      <c r="H150" s="21" t="s">
        <v>12</v>
      </c>
      <c r="I150" s="21" t="s">
        <v>18</v>
      </c>
      <c r="J150">
        <v>2</v>
      </c>
    </row>
    <row r="151" spans="1:10" x14ac:dyDescent="0.35">
      <c r="A151" s="21" t="s">
        <v>124</v>
      </c>
      <c r="B151">
        <v>23375</v>
      </c>
      <c r="C151" s="1">
        <v>46080</v>
      </c>
      <c r="D151">
        <v>19076</v>
      </c>
      <c r="E151">
        <v>45158</v>
      </c>
      <c r="F151" s="1">
        <v>37602</v>
      </c>
      <c r="G151" s="21" t="s">
        <v>17</v>
      </c>
      <c r="H151" s="21" t="s">
        <v>12</v>
      </c>
      <c r="I151" s="21" t="s">
        <v>18</v>
      </c>
      <c r="J151">
        <v>2</v>
      </c>
    </row>
    <row r="152" spans="1:10" x14ac:dyDescent="0.35">
      <c r="A152" s="21" t="s">
        <v>25</v>
      </c>
      <c r="B152">
        <v>2680</v>
      </c>
      <c r="C152" s="1">
        <v>46038</v>
      </c>
      <c r="D152">
        <v>18656</v>
      </c>
      <c r="E152">
        <v>44554</v>
      </c>
      <c r="F152" s="1">
        <v>36985</v>
      </c>
      <c r="G152" s="21" t="s">
        <v>11</v>
      </c>
      <c r="H152" s="21" t="s">
        <v>12</v>
      </c>
      <c r="I152" s="21" t="s">
        <v>18</v>
      </c>
      <c r="J152">
        <v>1</v>
      </c>
    </row>
    <row r="153" spans="1:10" x14ac:dyDescent="0.35">
      <c r="A153" s="21" t="s">
        <v>58</v>
      </c>
      <c r="B153">
        <v>1545</v>
      </c>
      <c r="C153" s="1">
        <v>46042</v>
      </c>
      <c r="D153">
        <v>18683</v>
      </c>
      <c r="E153">
        <v>44583</v>
      </c>
      <c r="F153" s="1">
        <v>45679</v>
      </c>
      <c r="G153" s="21" t="s">
        <v>17</v>
      </c>
      <c r="H153" s="21" t="s">
        <v>12</v>
      </c>
      <c r="I153" s="21" t="s">
        <v>18</v>
      </c>
      <c r="J153">
        <v>1</v>
      </c>
    </row>
    <row r="154" spans="1:10" x14ac:dyDescent="0.35">
      <c r="A154" s="21" t="s">
        <v>259</v>
      </c>
      <c r="B154">
        <v>2680</v>
      </c>
      <c r="C154" s="1">
        <v>46142</v>
      </c>
      <c r="D154">
        <v>19981</v>
      </c>
      <c r="E154">
        <v>47208</v>
      </c>
      <c r="F154" s="1">
        <v>40162</v>
      </c>
      <c r="G154" s="21" t="s">
        <v>11</v>
      </c>
      <c r="H154" s="21" t="s">
        <v>12</v>
      </c>
      <c r="I154" s="21" t="s">
        <v>18</v>
      </c>
      <c r="J154">
        <v>4</v>
      </c>
    </row>
    <row r="155" spans="1:10" x14ac:dyDescent="0.35">
      <c r="A155" s="21" t="s">
        <v>83</v>
      </c>
      <c r="B155">
        <v>775</v>
      </c>
      <c r="C155" s="1">
        <v>46050</v>
      </c>
      <c r="D155">
        <v>18774</v>
      </c>
      <c r="E155">
        <v>44713</v>
      </c>
      <c r="F155" s="1">
        <v>46050</v>
      </c>
      <c r="G155" s="21" t="s">
        <v>15</v>
      </c>
      <c r="H155" s="21" t="s">
        <v>68</v>
      </c>
      <c r="I155" s="21" t="s">
        <v>16</v>
      </c>
      <c r="J155">
        <v>1</v>
      </c>
    </row>
    <row r="156" spans="1:10" x14ac:dyDescent="0.35">
      <c r="A156" s="21" t="s">
        <v>179</v>
      </c>
      <c r="B156">
        <v>1545</v>
      </c>
      <c r="C156" s="1">
        <v>46087</v>
      </c>
      <c r="D156">
        <v>19227</v>
      </c>
      <c r="E156">
        <v>45392</v>
      </c>
      <c r="F156" s="1">
        <v>40051</v>
      </c>
      <c r="G156" s="21" t="s">
        <v>11</v>
      </c>
      <c r="H156" s="21" t="s">
        <v>12</v>
      </c>
      <c r="I156" s="21" t="s">
        <v>18</v>
      </c>
      <c r="J156">
        <v>3</v>
      </c>
    </row>
    <row r="157" spans="1:10" x14ac:dyDescent="0.35">
      <c r="A157" s="21" t="s">
        <v>180</v>
      </c>
      <c r="B157">
        <v>1905</v>
      </c>
      <c r="C157" s="1">
        <v>46111</v>
      </c>
      <c r="D157">
        <v>19477</v>
      </c>
      <c r="E157">
        <v>45869</v>
      </c>
      <c r="F157" s="1">
        <v>40630</v>
      </c>
      <c r="G157" s="21" t="s">
        <v>11</v>
      </c>
      <c r="H157" s="21" t="s">
        <v>12</v>
      </c>
      <c r="I157" s="21" t="s">
        <v>13</v>
      </c>
      <c r="J157">
        <v>3</v>
      </c>
    </row>
    <row r="158" spans="1:10" x14ac:dyDescent="0.35">
      <c r="A158" s="21" t="s">
        <v>181</v>
      </c>
      <c r="B158">
        <v>1905</v>
      </c>
      <c r="C158" s="1">
        <v>46090</v>
      </c>
      <c r="D158">
        <v>19241</v>
      </c>
      <c r="E158">
        <v>45429</v>
      </c>
      <c r="F158" s="1">
        <v>44718</v>
      </c>
      <c r="G158" s="21" t="s">
        <v>11</v>
      </c>
      <c r="H158" s="21" t="s">
        <v>12</v>
      </c>
      <c r="I158" s="21" t="s">
        <v>13</v>
      </c>
      <c r="J158">
        <v>3</v>
      </c>
    </row>
    <row r="159" spans="1:10" x14ac:dyDescent="0.35">
      <c r="A159" s="21" t="s">
        <v>182</v>
      </c>
      <c r="B159">
        <v>775</v>
      </c>
      <c r="C159" s="1">
        <v>46105</v>
      </c>
      <c r="D159">
        <v>19406</v>
      </c>
      <c r="E159">
        <v>45756</v>
      </c>
      <c r="F159" s="1">
        <v>44577</v>
      </c>
      <c r="G159" s="21" t="s">
        <v>15</v>
      </c>
      <c r="H159" s="21" t="s">
        <v>12</v>
      </c>
      <c r="I159" s="21" t="s">
        <v>16</v>
      </c>
      <c r="J159">
        <v>3</v>
      </c>
    </row>
    <row r="160" spans="1:10" x14ac:dyDescent="0.35">
      <c r="A160" s="21" t="s">
        <v>125</v>
      </c>
      <c r="B160">
        <v>1905</v>
      </c>
      <c r="C160" s="1">
        <v>46069</v>
      </c>
      <c r="D160">
        <v>18949</v>
      </c>
      <c r="E160">
        <v>44981</v>
      </c>
      <c r="F160" s="1">
        <v>44095</v>
      </c>
      <c r="G160" s="21" t="s">
        <v>11</v>
      </c>
      <c r="H160" s="21" t="s">
        <v>12</v>
      </c>
      <c r="I160" s="21" t="s">
        <v>13</v>
      </c>
      <c r="J160">
        <v>2</v>
      </c>
    </row>
    <row r="161" spans="1:10" x14ac:dyDescent="0.35">
      <c r="A161" s="21" t="s">
        <v>183</v>
      </c>
      <c r="B161">
        <v>1650</v>
      </c>
      <c r="C161" s="1">
        <v>46112</v>
      </c>
      <c r="D161">
        <v>19507</v>
      </c>
      <c r="E161">
        <v>45907</v>
      </c>
      <c r="F161" s="1">
        <v>37351</v>
      </c>
      <c r="G161" s="21" t="s">
        <v>94</v>
      </c>
      <c r="H161" s="21" t="s">
        <v>12</v>
      </c>
      <c r="I161" s="21" t="s">
        <v>18</v>
      </c>
      <c r="J161">
        <v>3</v>
      </c>
    </row>
    <row r="162" spans="1:10" x14ac:dyDescent="0.35">
      <c r="A162" s="21" t="s">
        <v>184</v>
      </c>
      <c r="B162">
        <v>7570</v>
      </c>
      <c r="C162" s="1">
        <v>46112</v>
      </c>
      <c r="D162">
        <v>19505</v>
      </c>
      <c r="E162">
        <v>45905</v>
      </c>
      <c r="F162" s="1">
        <v>38867</v>
      </c>
      <c r="G162" s="21" t="s">
        <v>94</v>
      </c>
      <c r="H162" s="21" t="s">
        <v>12</v>
      </c>
      <c r="I162" s="21" t="s">
        <v>18</v>
      </c>
      <c r="J162">
        <v>3</v>
      </c>
    </row>
    <row r="163" spans="1:10" x14ac:dyDescent="0.35">
      <c r="A163" s="21" t="s">
        <v>84</v>
      </c>
      <c r="B163">
        <v>2680</v>
      </c>
      <c r="C163" s="1">
        <v>46038</v>
      </c>
      <c r="D163">
        <v>18660</v>
      </c>
      <c r="E163">
        <v>44559</v>
      </c>
      <c r="F163" s="1">
        <v>40897</v>
      </c>
      <c r="G163" s="21" t="s">
        <v>11</v>
      </c>
      <c r="H163" s="21" t="s">
        <v>12</v>
      </c>
      <c r="I163" s="21" t="s">
        <v>18</v>
      </c>
      <c r="J163">
        <v>1</v>
      </c>
    </row>
    <row r="164" spans="1:10" x14ac:dyDescent="0.35">
      <c r="A164" s="21" t="s">
        <v>185</v>
      </c>
      <c r="B164">
        <v>775</v>
      </c>
      <c r="C164" s="1">
        <v>46100</v>
      </c>
      <c r="D164">
        <v>19359</v>
      </c>
      <c r="E164">
        <v>45652</v>
      </c>
      <c r="F164" s="1">
        <v>46100</v>
      </c>
      <c r="G164" s="21" t="s">
        <v>15</v>
      </c>
      <c r="H164" s="21" t="s">
        <v>12</v>
      </c>
      <c r="I164" s="21" t="s">
        <v>16</v>
      </c>
      <c r="J164">
        <v>3</v>
      </c>
    </row>
    <row r="165" spans="1:10" x14ac:dyDescent="0.35">
      <c r="A165" s="21" t="s">
        <v>260</v>
      </c>
      <c r="B165">
        <v>2680</v>
      </c>
      <c r="C165" s="1">
        <v>46129</v>
      </c>
      <c r="D165">
        <v>19803</v>
      </c>
      <c r="E165">
        <v>46853</v>
      </c>
      <c r="F165" s="1">
        <v>42804</v>
      </c>
      <c r="G165" s="21" t="s">
        <v>11</v>
      </c>
      <c r="H165" s="21" t="s">
        <v>12</v>
      </c>
      <c r="I165" s="21" t="s">
        <v>18</v>
      </c>
      <c r="J165">
        <v>4</v>
      </c>
    </row>
    <row r="166" spans="1:10" x14ac:dyDescent="0.35">
      <c r="A166" s="21" t="s">
        <v>261</v>
      </c>
      <c r="B166">
        <v>1545</v>
      </c>
      <c r="C166" s="1">
        <v>46140</v>
      </c>
      <c r="D166">
        <v>19934</v>
      </c>
      <c r="E166">
        <v>47129</v>
      </c>
      <c r="F166" s="1">
        <v>40630</v>
      </c>
      <c r="G166" s="21" t="s">
        <v>11</v>
      </c>
      <c r="H166" s="21" t="s">
        <v>12</v>
      </c>
      <c r="I166" s="21" t="s">
        <v>18</v>
      </c>
      <c r="J166">
        <v>4</v>
      </c>
    </row>
    <row r="167" spans="1:10" x14ac:dyDescent="0.35">
      <c r="A167" s="21" t="s">
        <v>186</v>
      </c>
      <c r="B167">
        <v>5770</v>
      </c>
      <c r="C167" s="1">
        <v>46108</v>
      </c>
      <c r="D167">
        <v>19453</v>
      </c>
      <c r="E167">
        <v>45819</v>
      </c>
      <c r="F167" s="1">
        <v>37630</v>
      </c>
      <c r="G167" s="21" t="s">
        <v>91</v>
      </c>
      <c r="H167" s="21" t="s">
        <v>12</v>
      </c>
      <c r="I167" s="21" t="s">
        <v>18</v>
      </c>
      <c r="J167">
        <v>3</v>
      </c>
    </row>
    <row r="168" spans="1:10" x14ac:dyDescent="0.35">
      <c r="A168" s="21" t="s">
        <v>187</v>
      </c>
      <c r="B168">
        <v>1545</v>
      </c>
      <c r="C168" s="1">
        <v>46107</v>
      </c>
      <c r="D168">
        <v>19437</v>
      </c>
      <c r="E168">
        <v>45792</v>
      </c>
      <c r="F168" s="1">
        <v>41389</v>
      </c>
      <c r="G168" s="21" t="s">
        <v>0</v>
      </c>
      <c r="H168" s="21" t="s">
        <v>12</v>
      </c>
      <c r="I168" s="21" t="s">
        <v>18</v>
      </c>
      <c r="J168">
        <v>3</v>
      </c>
    </row>
    <row r="169" spans="1:10" x14ac:dyDescent="0.35">
      <c r="A169" s="21" t="s">
        <v>85</v>
      </c>
      <c r="B169">
        <v>2680</v>
      </c>
      <c r="C169" s="1">
        <v>46052</v>
      </c>
      <c r="D169">
        <v>18826</v>
      </c>
      <c r="E169">
        <v>44799</v>
      </c>
      <c r="F169" s="1">
        <v>42942</v>
      </c>
      <c r="G169" s="21" t="s">
        <v>11</v>
      </c>
      <c r="H169" s="21" t="s">
        <v>12</v>
      </c>
      <c r="I169" s="21" t="s">
        <v>18</v>
      </c>
      <c r="J169">
        <v>1</v>
      </c>
    </row>
    <row r="170" spans="1:10" x14ac:dyDescent="0.35">
      <c r="A170" s="21" t="s">
        <v>188</v>
      </c>
      <c r="B170">
        <v>1545</v>
      </c>
      <c r="C170" s="1">
        <v>46105</v>
      </c>
      <c r="D170">
        <v>19413</v>
      </c>
      <c r="E170">
        <v>45764</v>
      </c>
      <c r="F170" s="1">
        <v>40522</v>
      </c>
      <c r="G170" s="21" t="s">
        <v>11</v>
      </c>
      <c r="H170" s="21" t="s">
        <v>12</v>
      </c>
      <c r="I170" s="21" t="s">
        <v>18</v>
      </c>
      <c r="J170">
        <v>3</v>
      </c>
    </row>
    <row r="171" spans="1:10" x14ac:dyDescent="0.35">
      <c r="A171" s="21" t="s">
        <v>262</v>
      </c>
      <c r="B171">
        <v>24545</v>
      </c>
      <c r="C171" s="1">
        <v>46136</v>
      </c>
      <c r="D171">
        <v>19887</v>
      </c>
      <c r="E171">
        <v>47038</v>
      </c>
      <c r="F171" s="1">
        <v>39573</v>
      </c>
      <c r="G171" s="21" t="s">
        <v>17</v>
      </c>
      <c r="H171" s="21" t="s">
        <v>12</v>
      </c>
      <c r="I171" s="21" t="s">
        <v>18</v>
      </c>
      <c r="J171">
        <v>4</v>
      </c>
    </row>
    <row r="172" spans="1:10" x14ac:dyDescent="0.35">
      <c r="A172" s="21" t="s">
        <v>263</v>
      </c>
      <c r="B172">
        <v>18950</v>
      </c>
      <c r="C172" s="1">
        <v>46132</v>
      </c>
      <c r="D172">
        <v>19818</v>
      </c>
      <c r="E172">
        <v>46903</v>
      </c>
      <c r="F172" s="1">
        <v>36367</v>
      </c>
      <c r="G172" s="21" t="s">
        <v>17</v>
      </c>
      <c r="H172" s="21" t="s">
        <v>12</v>
      </c>
      <c r="I172" s="21" t="s">
        <v>18</v>
      </c>
      <c r="J172">
        <v>4</v>
      </c>
    </row>
    <row r="173" spans="1:10" x14ac:dyDescent="0.35">
      <c r="A173" s="21" t="s">
        <v>189</v>
      </c>
      <c r="B173">
        <v>775</v>
      </c>
      <c r="C173" s="1">
        <v>46111</v>
      </c>
      <c r="D173">
        <v>19470</v>
      </c>
      <c r="E173">
        <v>45856</v>
      </c>
      <c r="F173" s="1">
        <v>43922</v>
      </c>
      <c r="G173" s="21" t="s">
        <v>15</v>
      </c>
      <c r="H173" s="21" t="s">
        <v>12</v>
      </c>
      <c r="I173" s="21" t="s">
        <v>16</v>
      </c>
      <c r="J173">
        <v>3</v>
      </c>
    </row>
    <row r="174" spans="1:10" x14ac:dyDescent="0.35">
      <c r="A174" s="21" t="s">
        <v>190</v>
      </c>
      <c r="B174">
        <v>10170</v>
      </c>
      <c r="C174" s="1">
        <v>46101</v>
      </c>
      <c r="D174">
        <v>19377</v>
      </c>
      <c r="E174">
        <v>45703</v>
      </c>
      <c r="F174" s="1">
        <v>43347</v>
      </c>
      <c r="G174" s="21" t="s">
        <v>17</v>
      </c>
      <c r="H174" s="21" t="s">
        <v>12</v>
      </c>
      <c r="I174" s="21" t="s">
        <v>18</v>
      </c>
      <c r="J174">
        <v>3</v>
      </c>
    </row>
    <row r="175" spans="1:10" x14ac:dyDescent="0.35">
      <c r="A175" s="21" t="s">
        <v>191</v>
      </c>
      <c r="B175">
        <v>1545</v>
      </c>
      <c r="C175" s="1">
        <v>46101</v>
      </c>
      <c r="D175">
        <v>19372</v>
      </c>
      <c r="E175">
        <v>45683</v>
      </c>
      <c r="F175" s="1">
        <v>45415</v>
      </c>
      <c r="G175" s="21" t="s">
        <v>17</v>
      </c>
      <c r="H175" s="21" t="s">
        <v>12</v>
      </c>
      <c r="I175" s="21" t="s">
        <v>18</v>
      </c>
      <c r="J175">
        <v>3</v>
      </c>
    </row>
    <row r="176" spans="1:10" x14ac:dyDescent="0.35">
      <c r="A176" s="21" t="s">
        <v>264</v>
      </c>
      <c r="B176">
        <v>23375</v>
      </c>
      <c r="C176" s="1">
        <v>46129</v>
      </c>
      <c r="D176">
        <v>19799</v>
      </c>
      <c r="E176">
        <v>46844</v>
      </c>
      <c r="F176" s="1">
        <v>41346</v>
      </c>
      <c r="G176" s="21" t="s">
        <v>17</v>
      </c>
      <c r="H176" s="21" t="s">
        <v>12</v>
      </c>
      <c r="I176" s="21" t="s">
        <v>18</v>
      </c>
      <c r="J176">
        <v>4</v>
      </c>
    </row>
    <row r="177" spans="1:10" x14ac:dyDescent="0.35">
      <c r="A177" s="21" t="s">
        <v>192</v>
      </c>
      <c r="B177">
        <v>2370</v>
      </c>
      <c r="C177" s="1">
        <v>46100</v>
      </c>
      <c r="D177">
        <v>19365</v>
      </c>
      <c r="E177">
        <v>45676</v>
      </c>
      <c r="F177" s="1">
        <v>46100</v>
      </c>
      <c r="G177" s="21" t="s">
        <v>17</v>
      </c>
      <c r="H177" s="21" t="s">
        <v>12</v>
      </c>
      <c r="I177" s="21" t="s">
        <v>18</v>
      </c>
      <c r="J177">
        <v>3</v>
      </c>
    </row>
    <row r="178" spans="1:10" x14ac:dyDescent="0.35">
      <c r="A178" s="21" t="s">
        <v>193</v>
      </c>
      <c r="B178">
        <v>2990</v>
      </c>
      <c r="C178" s="1">
        <v>46087</v>
      </c>
      <c r="D178">
        <v>19228</v>
      </c>
      <c r="E178">
        <v>45393</v>
      </c>
      <c r="F178" s="1">
        <v>45775</v>
      </c>
      <c r="G178" s="21" t="s">
        <v>17</v>
      </c>
      <c r="H178" s="21" t="s">
        <v>12</v>
      </c>
      <c r="I178" s="21" t="s">
        <v>13</v>
      </c>
      <c r="J178"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BCA-9A13-40CC-9758-01914F9C1864}">
  <dimension ref="A1:E24"/>
  <sheetViews>
    <sheetView zoomScale="104" zoomScaleNormal="104" workbookViewId="0">
      <selection activeCell="H21" sqref="H21"/>
    </sheetView>
  </sheetViews>
  <sheetFormatPr defaultRowHeight="14.5" x14ac:dyDescent="0.35"/>
  <cols>
    <col min="2" max="2" width="11.90625" bestFit="1" customWidth="1"/>
    <col min="4" max="4" width="12.453125" bestFit="1" customWidth="1"/>
    <col min="5" max="5" width="11" bestFit="1" customWidth="1"/>
    <col min="6" max="6" width="9.7265625" bestFit="1" customWidth="1"/>
    <col min="14" max="14" width="12.453125" bestFit="1" customWidth="1"/>
    <col min="15" max="15" width="11" bestFit="1" customWidth="1"/>
  </cols>
  <sheetData>
    <row r="1" spans="1:5" x14ac:dyDescent="0.35">
      <c r="A1" t="s">
        <v>59</v>
      </c>
      <c r="B1" t="s">
        <v>60</v>
      </c>
    </row>
    <row r="2" spans="1:5" x14ac:dyDescent="0.35">
      <c r="A2" s="15">
        <v>0.1</v>
      </c>
      <c r="B2" s="16">
        <v>281453.33</v>
      </c>
      <c r="D2" s="2" t="s">
        <v>29</v>
      </c>
      <c r="E2" t="s">
        <v>61</v>
      </c>
    </row>
    <row r="3" spans="1:5" x14ac:dyDescent="0.35">
      <c r="A3" s="17">
        <v>0.2</v>
      </c>
      <c r="B3" s="18">
        <v>281453.33</v>
      </c>
      <c r="D3" s="19">
        <v>0.1</v>
      </c>
      <c r="E3">
        <v>1</v>
      </c>
    </row>
    <row r="4" spans="1:5" x14ac:dyDescent="0.35">
      <c r="A4" s="15">
        <v>0.3</v>
      </c>
      <c r="B4" s="16">
        <v>281453.33</v>
      </c>
      <c r="D4" s="19">
        <v>0.2</v>
      </c>
      <c r="E4">
        <v>1</v>
      </c>
    </row>
    <row r="5" spans="1:5" x14ac:dyDescent="0.35">
      <c r="A5" s="17">
        <v>0.4</v>
      </c>
      <c r="B5" s="18">
        <v>281453.33</v>
      </c>
      <c r="D5" s="19">
        <v>0.3</v>
      </c>
      <c r="E5">
        <v>1</v>
      </c>
    </row>
    <row r="6" spans="1:5" x14ac:dyDescent="0.35">
      <c r="A6" s="15">
        <v>0.5</v>
      </c>
      <c r="B6" s="16">
        <v>281453.33</v>
      </c>
      <c r="D6" s="19">
        <v>0.4</v>
      </c>
      <c r="E6">
        <v>1</v>
      </c>
    </row>
    <row r="7" spans="1:5" x14ac:dyDescent="0.35">
      <c r="A7" s="17">
        <v>0.6</v>
      </c>
      <c r="B7" s="18">
        <v>281453.33</v>
      </c>
      <c r="D7" s="19">
        <v>0.5</v>
      </c>
      <c r="E7">
        <v>1</v>
      </c>
    </row>
    <row r="8" spans="1:5" x14ac:dyDescent="0.35">
      <c r="A8" s="15">
        <v>0.7</v>
      </c>
      <c r="B8" s="16">
        <v>281453.33</v>
      </c>
      <c r="D8" s="19">
        <v>0.6</v>
      </c>
      <c r="E8">
        <v>1</v>
      </c>
    </row>
    <row r="9" spans="1:5" x14ac:dyDescent="0.35">
      <c r="A9" s="17">
        <v>0.8</v>
      </c>
      <c r="B9" s="18">
        <v>281453.33</v>
      </c>
      <c r="D9" s="19">
        <v>0.7</v>
      </c>
      <c r="E9">
        <v>1</v>
      </c>
    </row>
    <row r="10" spans="1:5" x14ac:dyDescent="0.35">
      <c r="A10" s="15">
        <v>0.9</v>
      </c>
      <c r="B10" s="16">
        <v>281453.33</v>
      </c>
      <c r="D10" s="19">
        <v>0.8</v>
      </c>
      <c r="E10">
        <v>1</v>
      </c>
    </row>
    <row r="11" spans="1:5" x14ac:dyDescent="0.35">
      <c r="A11" s="17">
        <v>1</v>
      </c>
      <c r="B11" s="18">
        <v>281453.33</v>
      </c>
      <c r="D11" s="19">
        <v>0.9</v>
      </c>
      <c r="E11">
        <v>1</v>
      </c>
    </row>
    <row r="12" spans="1:5" x14ac:dyDescent="0.35">
      <c r="A12" s="20">
        <v>1.1000000000000001</v>
      </c>
      <c r="B12" s="13">
        <v>281453.33</v>
      </c>
      <c r="D12" s="19">
        <v>1</v>
      </c>
      <c r="E12">
        <v>1</v>
      </c>
    </row>
    <row r="13" spans="1:5" x14ac:dyDescent="0.35">
      <c r="A13" s="17">
        <v>1.2</v>
      </c>
      <c r="B13" s="14">
        <v>0</v>
      </c>
      <c r="D13" s="19">
        <v>1.1000000000000001</v>
      </c>
      <c r="E13">
        <v>1</v>
      </c>
    </row>
    <row r="14" spans="1:5" x14ac:dyDescent="0.35">
      <c r="A14" s="15">
        <v>1.3</v>
      </c>
      <c r="B14" s="13">
        <v>0</v>
      </c>
      <c r="D14" s="19">
        <v>1.2</v>
      </c>
      <c r="E14">
        <v>1</v>
      </c>
    </row>
    <row r="15" spans="1:5" x14ac:dyDescent="0.35">
      <c r="A15" s="17">
        <v>1.4</v>
      </c>
      <c r="B15" s="14">
        <v>0</v>
      </c>
      <c r="D15" s="19">
        <v>1.3</v>
      </c>
      <c r="E15">
        <v>1</v>
      </c>
    </row>
    <row r="16" spans="1:5" x14ac:dyDescent="0.35">
      <c r="A16" s="15">
        <v>1.5</v>
      </c>
      <c r="B16" s="13">
        <v>0</v>
      </c>
      <c r="D16" s="19">
        <v>1.4</v>
      </c>
      <c r="E16">
        <v>1</v>
      </c>
    </row>
    <row r="17" spans="1:5" x14ac:dyDescent="0.35">
      <c r="A17" s="17">
        <v>1.6</v>
      </c>
      <c r="B17" s="14">
        <v>0</v>
      </c>
      <c r="D17" s="19">
        <v>1.5</v>
      </c>
      <c r="E17">
        <v>1</v>
      </c>
    </row>
    <row r="18" spans="1:5" x14ac:dyDescent="0.35">
      <c r="A18" s="15">
        <v>1.7</v>
      </c>
      <c r="B18" s="13">
        <v>0</v>
      </c>
      <c r="D18" s="19">
        <v>1.6</v>
      </c>
      <c r="E18">
        <v>1</v>
      </c>
    </row>
    <row r="19" spans="1:5" x14ac:dyDescent="0.35">
      <c r="A19" s="17">
        <v>1.8</v>
      </c>
      <c r="B19" s="14">
        <v>0</v>
      </c>
      <c r="D19" s="19">
        <v>1.7</v>
      </c>
      <c r="E19">
        <v>1</v>
      </c>
    </row>
    <row r="20" spans="1:5" x14ac:dyDescent="0.35">
      <c r="A20" s="15">
        <v>1.9</v>
      </c>
      <c r="B20" s="13">
        <v>0</v>
      </c>
      <c r="D20" s="19">
        <v>1.8</v>
      </c>
      <c r="E20">
        <v>1</v>
      </c>
    </row>
    <row r="21" spans="1:5" x14ac:dyDescent="0.35">
      <c r="A21" s="17">
        <v>2</v>
      </c>
      <c r="B21" s="14">
        <v>0</v>
      </c>
      <c r="D21" s="19">
        <v>1.9</v>
      </c>
      <c r="E21">
        <v>1</v>
      </c>
    </row>
    <row r="22" spans="1:5" x14ac:dyDescent="0.35">
      <c r="A22" s="15"/>
      <c r="B22" s="13"/>
      <c r="D22" s="19">
        <v>2</v>
      </c>
      <c r="E22">
        <v>1</v>
      </c>
    </row>
    <row r="23" spans="1:5" x14ac:dyDescent="0.35">
      <c r="A23" s="17"/>
      <c r="B23" s="14"/>
      <c r="D23" s="19" t="s">
        <v>30</v>
      </c>
      <c r="E23">
        <v>20</v>
      </c>
    </row>
    <row r="24" spans="1:5" x14ac:dyDescent="0.35">
      <c r="A24" s="15"/>
      <c r="B24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25C0-B303-4182-AB4A-C49C1F637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Breakdown</vt:lpstr>
      <vt:lpstr>Org Revenues</vt:lpstr>
      <vt:lpstr>Orgs</vt:lpstr>
      <vt:lpstr>Ind Revenues</vt:lpstr>
      <vt:lpstr>Individual</vt:lpstr>
      <vt:lpstr>Affiliate</vt:lpstr>
      <vt:lpstr>Yrs of Membership</vt:lpstr>
      <vt:lpstr>Accounts with Mem and Receipts</vt:lpstr>
      <vt:lpstr>draft_mem_goal_work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Laakso</dc:creator>
  <cp:lastModifiedBy>Lynn Laakso</cp:lastModifiedBy>
  <dcterms:created xsi:type="dcterms:W3CDTF">2025-01-07T16:26:24Z</dcterms:created>
  <dcterms:modified xsi:type="dcterms:W3CDTF">2026-05-01T13:11:32Z</dcterms:modified>
</cp:coreProperties>
</file>